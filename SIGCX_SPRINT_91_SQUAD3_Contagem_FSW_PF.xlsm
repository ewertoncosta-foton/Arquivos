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showInkAnnotation="0" codeName="EstaPasta_de_trabalho" defaultThemeVersion="124226"/>
  <bookViews>
    <workbookView xWindow="10305" yWindow="-15" windowWidth="10170" windowHeight="8175" tabRatio="709" activeTab="5"/>
  </bookViews>
  <sheets>
    <sheet name="FSDMS" sheetId="1" r:id="rId1"/>
    <sheet name="Funções Dados" sheetId="2" r:id="rId2"/>
    <sheet name="Funções Transação" sheetId="3" r:id="rId3"/>
    <sheet name="SNAP" sheetId="15" r:id="rId4"/>
    <sheet name="Funções X RTC" sheetId="16" r:id="rId5"/>
    <sheet name="Resumo" sheetId="4" r:id="rId6"/>
    <sheet name="Parâmetros" sheetId="8" state="hidden" r:id="rId7"/>
    <sheet name="PERSPECTIVA_NAO_FUNCIONAL_UST" sheetId="14" r:id="rId8"/>
    <sheet name="Itens_não_Mensuraveis" sheetId="10" state="hidden" r:id="rId9"/>
    <sheet name="INM_WEB_CMS" sheetId="12" state="hidden" r:id="rId10"/>
    <sheet name="INM_WEB_EXO" sheetId="13" state="hidden" r:id="rId11"/>
    <sheet name="Formulário Divergência" sheetId="5" r:id="rId12"/>
    <sheet name="Controle de Versões" sheetId="6" r:id="rId13"/>
    <sheet name="Glossário" sheetId="7" r:id="rId14"/>
  </sheets>
  <functionGroups builtInGroupCount="17"/>
  <externalReferences>
    <externalReference r:id="rId15"/>
  </externalReferences>
  <definedNames>
    <definedName name="_abc1">FSDMS!$A$4</definedName>
    <definedName name="_xlnm._FilterDatabase" localSheetId="1" hidden="1">'Funções Dados'!$A$8:$O$25</definedName>
    <definedName name="_xlnm._FilterDatabase" localSheetId="2" hidden="1">'Funções Transação'!$A$8:$O$105</definedName>
    <definedName name="_xlnm._FilterDatabase" localSheetId="3" hidden="1">SNAP!$A$8:$AA$100</definedName>
    <definedName name="_jh1">FSDMS!$AB$1</definedName>
    <definedName name="_zz1">FSDMS!$AB$1</definedName>
    <definedName name="AIE">Parâmetros!$A$7</definedName>
    <definedName name="ALI">Parâmetros!$A$6</definedName>
    <definedName name="ALI_AIE">Parâmetros!$A$6:$A$7</definedName>
    <definedName name="ALI_AIE_CODE" comment="Dados para preencher List Box na aba Funções de Dados">Parâmetros!$A$6:$A$10</definedName>
    <definedName name="_xlnm.Print_Area" localSheetId="0">FSDMS!$A:$E</definedName>
    <definedName name="_xlnm.Print_Area" localSheetId="1">'Funções Dados'!$A$1:$O$29</definedName>
    <definedName name="_xlnm.Print_Area" localSheetId="2">'Funções Transação'!$A$1:$O$109</definedName>
    <definedName name="_xlnm.Print_Area" localSheetId="9">INM_WEB_CMS!$A$1:$J$37</definedName>
    <definedName name="_xlnm.Print_Area" localSheetId="10">INM_WEB_EXO!$A$1:$J$27</definedName>
    <definedName name="_xlnm.Print_Area" localSheetId="8">Itens_não_Mensuraveis!$A$1:$J$44</definedName>
    <definedName name="_xlnm.Print_Area" localSheetId="7">PERSPECTIVA_NAO_FUNCIONAL_UST!$A$1:$J$61</definedName>
    <definedName name="_xlnm.Print_Area" localSheetId="3">SNAP!$A$1:$AA$104</definedName>
    <definedName name="CE">Parâmetros!$A$13</definedName>
    <definedName name="Detalhada">Parâmetros!$A$42</definedName>
    <definedName name="EE_SE_CE">Parâmetros!$A$11:$A$13</definedName>
    <definedName name="EE_SE_CE_CODE">Parâmetros!$A$11:$A$14</definedName>
    <definedName name="Estimada">Parâmetros!$A$41</definedName>
    <definedName name="Excel_BuiltIn__FilterDatabase_2">#N/A</definedName>
    <definedName name="Excel_BuiltIn__FilterDatabase_3">#N/A</definedName>
    <definedName name="FABRICAS">Parâmetros!$I$76:$J$160</definedName>
    <definedName name="Fase_1_Prod">#REF!</definedName>
    <definedName name="Fase_2_Prod">#REF!</definedName>
    <definedName name="Fase_3_Prod">#REF!</definedName>
    <definedName name="Fase_3_Prod_Cont">#REF!</definedName>
    <definedName name="Fase_4_Prod">#REF!</definedName>
    <definedName name="Fase_5_Prod">#REF!</definedName>
    <definedName name="Fase_6_Prod">#REF!</definedName>
    <definedName name="Fase1_Prod_Cont">#REF!</definedName>
    <definedName name="Fase2_Prod_Cont">#REF!</definedName>
    <definedName name="Fase4_Prod_Cont">#REF!</definedName>
    <definedName name="Fase5_Prod_Cont">#REF!</definedName>
    <definedName name="Fase6_Prod_Cont">#REF!</definedName>
    <definedName name="Fases">Parâmetros!$B$48:$B$58</definedName>
    <definedName name="Fases049">Parâmetros!$B$48:$B$54</definedName>
    <definedName name="Fases151">Parâmetros!$B$55:$B$58</definedName>
    <definedName name="Fator_Ajuste">#REF!</definedName>
    <definedName name="Fator_Ajuste_Antes">#REF!</definedName>
    <definedName name="Fator_Ajuste_Antes_Alteracao">'[1]11.1-Menu_Cálculo_Indicativo'!$F$10</definedName>
    <definedName name="Fator_Ajuste_Depois">#REF!</definedName>
    <definedName name="Fator_Ajuste_Depois_Alteracao">'[1]11.1-Menu_Cálculo_Indicativo'!#REF!</definedName>
    <definedName name="FSW">Parâmetros!$B$76:$B$160</definedName>
    <definedName name="FSW_DADOS" comment="Abrange todos os dados relativos às FSW para acessá-los via PROCV">Parâmetros!$B$76:$Z$160</definedName>
    <definedName name="FUNCOES_DADOS">Parâmetros!$A$11:$A$13</definedName>
    <definedName name="IAE">Parâmetros!$A$44:$A$46</definedName>
    <definedName name="Indicativa">Parâmetros!$A$40</definedName>
    <definedName name="Maximo_F1">#REF!</definedName>
    <definedName name="Maximo_F2">#REF!</definedName>
    <definedName name="Maximo_F3">#REF!</definedName>
    <definedName name="Maximo_F4">#REF!</definedName>
    <definedName name="Maximo_F5">#REF!</definedName>
    <definedName name="Maximo_F6">#REF!</definedName>
    <definedName name="Melhoria">Parâmetros!$B$1</definedName>
    <definedName name="Metodologias">Parâmetros!$A$54:$A$55</definedName>
    <definedName name="Nome_Aplicação">#REF!</definedName>
    <definedName name="Num_String_F1_Prod">#REF!</definedName>
    <definedName name="Num_String_F2_Prod">#REF!</definedName>
    <definedName name="Num_String_F3_Prod">#REF!</definedName>
    <definedName name="Num_String_F4_Prod">#REF!</definedName>
    <definedName name="Num_String_F5_Prod">#REF!</definedName>
    <definedName name="Num_String_F6_Prod">#REF!</definedName>
    <definedName name="Produtividade">Parâmetros!$B$3</definedName>
    <definedName name="Produto1">"Caixa de verificação 1"</definedName>
    <definedName name="SE">Parâmetros!$A$11</definedName>
    <definedName name="SubCategoria_SNAP">Parâmetros!$C$47:$C$60</definedName>
    <definedName name="Tab_Material_Para_Contagem">#REF!</definedName>
    <definedName name="Tab_Metodo_Contagem">#REF!</definedName>
    <definedName name="Tb_Fator_Programacao">#REF!</definedName>
    <definedName name="Tipo_Contagem">Parâmetros!$A$40:$A$42</definedName>
    <definedName name="Tipo_Contagem_SNAP">Parâmetros!$A$41:$A$42</definedName>
    <definedName name="Tipos">Parâmetros!$A$6:$A$12</definedName>
    <definedName name="Todas_Funcoes">Parâmetros!$A$6:$A$13</definedName>
    <definedName name="Total_PF_Ajustados">#REF!</definedName>
    <definedName name="Total_PF_Ajustados_Alteracao">'[1]11.1-Menu_Cálculo_Indicativo'!$F$14</definedName>
    <definedName name="Total_PF_Brutos">#REF!</definedName>
    <definedName name="Total_PF_Brutos_Alteracao">'[1]11.1-Menu_Cálculo_Indicativo'!$F$13</definedName>
    <definedName name="TOTAL_PF_DADOS">'Funções Dados'!$P$8</definedName>
    <definedName name="TOTAL_PF_TRANSACAO">'Funções Transação'!$P$8</definedName>
    <definedName name="VAF">Parâmetros!$B$2</definedName>
    <definedName name="VAF_">"$#REF!.$C$19"</definedName>
    <definedName name="VAF_ANTES_6">#N/A</definedName>
    <definedName name="VUST_CPM_MOB">Parâmetros!$F$103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3" i="3" l="1"/>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L62" i="3"/>
  <c r="L61" i="3"/>
  <c r="L55" i="3"/>
  <c r="L54" i="3"/>
  <c r="L52" i="3"/>
  <c r="L51" i="3"/>
  <c r="L49" i="3"/>
  <c r="L48" i="3"/>
  <c r="L43" i="3"/>
  <c r="M53" i="3"/>
  <c r="L50" i="3"/>
  <c r="L47" i="3"/>
  <c r="L46" i="3"/>
  <c r="L45" i="3"/>
  <c r="L44" i="3"/>
  <c r="M42" i="3"/>
  <c r="L58" i="3"/>
  <c r="M56" i="3"/>
  <c r="L57" i="3"/>
  <c r="M59" i="3"/>
  <c r="L60" i="3"/>
  <c r="M62" i="3"/>
  <c r="M61" i="3"/>
  <c r="M55" i="3"/>
  <c r="M54" i="3"/>
  <c r="M52" i="3"/>
  <c r="M51" i="3"/>
  <c r="M49" i="3"/>
  <c r="M48" i="3"/>
  <c r="M43" i="3"/>
  <c r="L53" i="3"/>
  <c r="M50" i="3"/>
  <c r="M47" i="3"/>
  <c r="M46" i="3"/>
  <c r="M45" i="3"/>
  <c r="M44" i="3"/>
  <c r="L42" i="3"/>
  <c r="M58" i="3"/>
  <c r="L56" i="3"/>
  <c r="M57" i="3"/>
  <c r="L59" i="3"/>
  <c r="M60" i="3"/>
  <c r="L39" i="3"/>
  <c r="M40" i="3"/>
  <c r="L37" i="3"/>
  <c r="L36" i="3"/>
  <c r="L41" i="3"/>
  <c r="L38" i="3"/>
  <c r="M36" i="3"/>
  <c r="L40" i="3"/>
  <c r="M41" i="3"/>
  <c r="M38" i="3"/>
  <c r="M39" i="3"/>
  <c r="M37" i="3"/>
  <c r="M35" i="3"/>
  <c r="M34" i="3"/>
  <c r="M33" i="3"/>
  <c r="L32" i="3"/>
  <c r="M31" i="3"/>
  <c r="M30" i="3"/>
  <c r="M29" i="3"/>
  <c r="M28" i="3"/>
  <c r="L27" i="3"/>
  <c r="L26" i="3"/>
  <c r="M25" i="3"/>
  <c r="M24" i="3"/>
  <c r="M23" i="3"/>
  <c r="L22" i="3"/>
  <c r="L35" i="3"/>
  <c r="L34" i="3"/>
  <c r="L33" i="3"/>
  <c r="M32" i="3"/>
  <c r="L31" i="3"/>
  <c r="L30" i="3"/>
  <c r="L29" i="3"/>
  <c r="L28" i="3"/>
  <c r="M27" i="3"/>
  <c r="M26" i="3"/>
  <c r="L25" i="3"/>
  <c r="L24" i="3"/>
  <c r="L23" i="3"/>
  <c r="M22" i="3"/>
  <c r="L21" i="3"/>
  <c r="L20" i="3"/>
  <c r="L19" i="3"/>
  <c r="L18" i="3"/>
  <c r="M17" i="3"/>
  <c r="M15" i="3"/>
  <c r="L16" i="3"/>
  <c r="M13" i="3"/>
  <c r="M14" i="3"/>
  <c r="M21" i="3"/>
  <c r="M20" i="3"/>
  <c r="M19" i="3"/>
  <c r="M18" i="3"/>
  <c r="L17" i="3"/>
  <c r="L15" i="3"/>
  <c r="M16" i="3"/>
  <c r="L14" i="3"/>
  <c r="L13" i="3"/>
  <c r="P58" i="3" l="1"/>
  <c r="P56" i="3"/>
  <c r="P57" i="3"/>
  <c r="P59" i="3"/>
  <c r="P60" i="3"/>
  <c r="P62" i="3"/>
  <c r="P61" i="3"/>
  <c r="P55" i="3"/>
  <c r="P53" i="3"/>
  <c r="P54" i="3"/>
  <c r="P52" i="3"/>
  <c r="P51" i="3"/>
  <c r="P50" i="3"/>
  <c r="P49" i="3"/>
  <c r="P48" i="3"/>
  <c r="P47" i="3"/>
  <c r="P46" i="3"/>
  <c r="P45" i="3"/>
  <c r="P44" i="3"/>
  <c r="P43" i="3"/>
  <c r="P42" i="3"/>
  <c r="P40" i="3"/>
  <c r="P39" i="3"/>
  <c r="P41" i="3"/>
  <c r="P38" i="3"/>
  <c r="P37" i="3"/>
  <c r="P36" i="3"/>
  <c r="P35" i="3"/>
  <c r="P34" i="3"/>
  <c r="P33" i="3"/>
  <c r="P32" i="3"/>
  <c r="P31" i="3"/>
  <c r="P30" i="3"/>
  <c r="P29" i="3"/>
  <c r="P28" i="3"/>
  <c r="P27" i="3"/>
  <c r="P26" i="3"/>
  <c r="P25" i="3"/>
  <c r="P24" i="3"/>
  <c r="P23" i="3"/>
  <c r="P22" i="3"/>
  <c r="P20" i="3"/>
  <c r="P21" i="3"/>
  <c r="P19" i="3"/>
  <c r="P18" i="3"/>
  <c r="P17" i="3"/>
  <c r="P16" i="3"/>
  <c r="P15" i="3"/>
  <c r="P14" i="3"/>
  <c r="P13" i="3"/>
  <c r="R62" i="3"/>
  <c r="R60" i="3"/>
  <c r="R58" i="3"/>
  <c r="R56" i="3"/>
  <c r="R54" i="3"/>
  <c r="R52" i="3"/>
  <c r="R50" i="3"/>
  <c r="R48" i="3"/>
  <c r="R46" i="3"/>
  <c r="R44" i="3"/>
  <c r="R42" i="3"/>
  <c r="R40" i="3"/>
  <c r="R38" i="3"/>
  <c r="R36" i="3"/>
  <c r="R34" i="3"/>
  <c r="R32" i="3"/>
  <c r="R30" i="3"/>
  <c r="R28" i="3"/>
  <c r="R26" i="3"/>
  <c r="R24" i="3"/>
  <c r="R22" i="3"/>
  <c r="R20" i="3"/>
  <c r="R18" i="3"/>
  <c r="R16" i="3"/>
  <c r="R14" i="3"/>
  <c r="R61" i="3"/>
  <c r="R59" i="3"/>
  <c r="R57" i="3"/>
  <c r="R55" i="3"/>
  <c r="R53" i="3"/>
  <c r="R51" i="3"/>
  <c r="R49" i="3"/>
  <c r="R47" i="3"/>
  <c r="R45" i="3"/>
  <c r="R43" i="3"/>
  <c r="R41" i="3"/>
  <c r="R39" i="3"/>
  <c r="R37" i="3"/>
  <c r="R35" i="3"/>
  <c r="R33" i="3"/>
  <c r="R31" i="3"/>
  <c r="R29" i="3"/>
  <c r="R27" i="3"/>
  <c r="R25" i="3"/>
  <c r="R23" i="3"/>
  <c r="R21" i="3"/>
  <c r="R19" i="3"/>
  <c r="R17" i="3"/>
  <c r="R15" i="3"/>
  <c r="R13" i="3"/>
  <c r="Q67" i="3"/>
  <c r="Q68" i="3"/>
  <c r="Q69" i="3"/>
  <c r="Q70" i="3"/>
  <c r="Q71" i="3"/>
  <c r="Q72" i="3"/>
  <c r="Q73" i="3"/>
  <c r="Q74" i="3"/>
  <c r="Q75" i="3"/>
  <c r="Q76" i="3"/>
  <c r="Q77" i="3"/>
  <c r="Q78" i="3"/>
  <c r="Q79" i="3"/>
  <c r="Q80" i="3"/>
  <c r="Q81" i="3"/>
  <c r="Q82" i="3"/>
  <c r="Q83" i="3"/>
  <c r="Q84" i="3"/>
  <c r="Q85" i="3"/>
  <c r="Q86" i="3"/>
  <c r="P84" i="3" l="1"/>
  <c r="P82" i="3"/>
  <c r="Q63" i="3"/>
  <c r="Q64" i="3"/>
  <c r="Q65" i="3"/>
  <c r="Q66" i="3"/>
  <c r="Q87" i="3"/>
  <c r="Q88" i="3"/>
  <c r="Q89" i="3"/>
  <c r="Q90" i="3"/>
  <c r="Q91" i="3"/>
  <c r="Q92" i="3"/>
  <c r="J159" i="8" l="1"/>
  <c r="I159" i="8"/>
  <c r="J158" i="8"/>
  <c r="I158" i="8"/>
  <c r="J157" i="8"/>
  <c r="I157" i="8"/>
  <c r="J156" i="8"/>
  <c r="I156" i="8"/>
  <c r="J160" i="8"/>
  <c r="I160" i="8"/>
  <c r="J155" i="8"/>
  <c r="I155" i="8"/>
  <c r="J154" i="8"/>
  <c r="I154" i="8"/>
  <c r="J153" i="8"/>
  <c r="I153" i="8"/>
  <c r="B4" i="3"/>
  <c r="P105" i="3"/>
  <c r="Q105" i="3"/>
  <c r="J152" i="8"/>
  <c r="I152" i="8"/>
  <c r="J151" i="8"/>
  <c r="I151" i="8"/>
  <c r="I150" i="8"/>
  <c r="J150" i="8"/>
  <c r="J149" i="8"/>
  <c r="I149" i="8"/>
  <c r="J148" i="8"/>
  <c r="I148" i="8"/>
  <c r="J147" i="8"/>
  <c r="I147" i="8"/>
  <c r="J146" i="8"/>
  <c r="I146" i="8"/>
  <c r="P103" i="3"/>
  <c r="P104" i="3"/>
  <c r="P106" i="3"/>
  <c r="AB4" i="15"/>
  <c r="J145" i="8"/>
  <c r="I145" i="8"/>
  <c r="J144" i="8"/>
  <c r="I144" i="8"/>
  <c r="J143" i="8"/>
  <c r="I143" i="8"/>
  <c r="J142" i="8"/>
  <c r="I142" i="8"/>
  <c r="A10" i="8"/>
  <c r="A9" i="8"/>
  <c r="A8" i="8"/>
  <c r="G10" i="13"/>
  <c r="E26" i="13" s="1"/>
  <c r="G11" i="13"/>
  <c r="G12" i="13"/>
  <c r="G14" i="13"/>
  <c r="G15" i="13"/>
  <c r="G16" i="13"/>
  <c r="G18" i="13"/>
  <c r="G20" i="13"/>
  <c r="G23" i="13"/>
  <c r="G24" i="13"/>
  <c r="G25" i="13"/>
  <c r="G10" i="12"/>
  <c r="E36" i="12" s="1"/>
  <c r="G12" i="12"/>
  <c r="G14" i="12"/>
  <c r="G15" i="12"/>
  <c r="G17" i="12"/>
  <c r="G18" i="12"/>
  <c r="G19" i="12"/>
  <c r="G20" i="12"/>
  <c r="G21" i="12"/>
  <c r="G22" i="12"/>
  <c r="G23" i="12"/>
  <c r="G24" i="12"/>
  <c r="G25" i="12"/>
  <c r="G26" i="12"/>
  <c r="G29" i="12"/>
  <c r="G30" i="12"/>
  <c r="G32" i="12"/>
  <c r="G34" i="12"/>
  <c r="G35" i="12"/>
  <c r="G10" i="10"/>
  <c r="F32" i="10"/>
  <c r="G13" i="10"/>
  <c r="G16" i="10"/>
  <c r="G19" i="10"/>
  <c r="G20" i="10"/>
  <c r="G23" i="10"/>
  <c r="G26" i="10"/>
  <c r="G29" i="10"/>
  <c r="G35" i="10"/>
  <c r="G36" i="10"/>
  <c r="G37" i="10"/>
  <c r="G38" i="10"/>
  <c r="G39" i="10"/>
  <c r="G40" i="10"/>
  <c r="G41" i="10"/>
  <c r="G42" i="10"/>
  <c r="G11" i="14"/>
  <c r="K11" i="14" s="1"/>
  <c r="G14" i="14"/>
  <c r="K14" i="14"/>
  <c r="G17" i="14"/>
  <c r="K17" i="14" s="1"/>
  <c r="G20" i="14"/>
  <c r="K20" i="14"/>
  <c r="G23" i="14"/>
  <c r="K23" i="14" s="1"/>
  <c r="G26" i="14"/>
  <c r="K26" i="14"/>
  <c r="G29" i="14"/>
  <c r="K29" i="14" s="1"/>
  <c r="G32" i="14"/>
  <c r="K32" i="14"/>
  <c r="G35" i="14"/>
  <c r="K35" i="14" s="1"/>
  <c r="G40" i="14"/>
  <c r="K40" i="14"/>
  <c r="G41" i="14"/>
  <c r="K41" i="14" s="1"/>
  <c r="G42" i="14"/>
  <c r="K42" i="14"/>
  <c r="G46" i="14"/>
  <c r="K46" i="14" s="1"/>
  <c r="G47" i="14"/>
  <c r="K47" i="14"/>
  <c r="G48" i="14"/>
  <c r="K48" i="14" s="1"/>
  <c r="G52" i="14"/>
  <c r="K52" i="14"/>
  <c r="G53" i="14"/>
  <c r="K53" i="14" s="1"/>
  <c r="G54" i="14"/>
  <c r="K54" i="14"/>
  <c r="G57" i="14"/>
  <c r="K57" i="14" s="1"/>
  <c r="G60" i="14"/>
  <c r="K60" i="14"/>
  <c r="G65" i="14"/>
  <c r="K65" i="14" s="1"/>
  <c r="G68" i="14"/>
  <c r="K68" i="14"/>
  <c r="G71" i="14"/>
  <c r="K71" i="14" s="1"/>
  <c r="G74" i="14"/>
  <c r="K74" i="14"/>
  <c r="G77" i="14"/>
  <c r="K77" i="14" s="1"/>
  <c r="G80" i="14"/>
  <c r="K80" i="14"/>
  <c r="G83" i="14"/>
  <c r="K83" i="14" s="1"/>
  <c r="G86" i="14"/>
  <c r="K86" i="14"/>
  <c r="G89" i="14"/>
  <c r="K89" i="14" s="1"/>
  <c r="G92" i="14"/>
  <c r="K92" i="14"/>
  <c r="G95" i="14"/>
  <c r="K95" i="14" s="1"/>
  <c r="G98" i="14"/>
  <c r="K98" i="14"/>
  <c r="G101" i="14"/>
  <c r="K101" i="14" s="1"/>
  <c r="G104" i="14"/>
  <c r="K104" i="14"/>
  <c r="G107" i="14"/>
  <c r="K107" i="14" s="1"/>
  <c r="G110" i="14"/>
  <c r="K110" i="14"/>
  <c r="G113" i="14"/>
  <c r="K113" i="14" s="1"/>
  <c r="G116" i="14"/>
  <c r="K116" i="14"/>
  <c r="G119" i="14"/>
  <c r="K119" i="14" s="1"/>
  <c r="G122" i="14"/>
  <c r="K122" i="14"/>
  <c r="G125" i="14"/>
  <c r="K125" i="14" s="1"/>
  <c r="G128" i="14"/>
  <c r="K128" i="14"/>
  <c r="G131" i="14"/>
  <c r="K131" i="14" s="1"/>
  <c r="G134" i="14"/>
  <c r="K134" i="14"/>
  <c r="G17" i="8"/>
  <c r="G18" i="8"/>
  <c r="G19" i="8"/>
  <c r="G20" i="8"/>
  <c r="G21" i="8"/>
  <c r="G22" i="8"/>
  <c r="G23" i="8"/>
  <c r="G24" i="8"/>
  <c r="G25" i="8"/>
  <c r="G26" i="8"/>
  <c r="G27" i="8"/>
  <c r="G28" i="8"/>
  <c r="G29" i="8"/>
  <c r="G30" i="8"/>
  <c r="G31" i="8"/>
  <c r="G32" i="8"/>
  <c r="G33" i="8"/>
  <c r="G34" i="8"/>
  <c r="G35" i="8"/>
  <c r="G36" i="8"/>
  <c r="G37" i="8"/>
  <c r="G38" i="8"/>
  <c r="G39" i="8"/>
  <c r="G40" i="8"/>
  <c r="G41" i="8"/>
  <c r="G42" i="8"/>
  <c r="G43" i="8"/>
  <c r="J74" i="8"/>
  <c r="I76" i="8"/>
  <c r="J76" i="8"/>
  <c r="I77" i="8"/>
  <c r="J77" i="8"/>
  <c r="I78" i="8"/>
  <c r="J78" i="8"/>
  <c r="I79" i="8"/>
  <c r="J79" i="8"/>
  <c r="I80" i="8"/>
  <c r="J80" i="8"/>
  <c r="I81" i="8"/>
  <c r="J81" i="8"/>
  <c r="I82" i="8"/>
  <c r="J82" i="8"/>
  <c r="I83" i="8"/>
  <c r="J83" i="8"/>
  <c r="I84" i="8"/>
  <c r="J84" i="8"/>
  <c r="I85" i="8"/>
  <c r="J85" i="8"/>
  <c r="I86" i="8"/>
  <c r="J86" i="8"/>
  <c r="I87" i="8"/>
  <c r="J87" i="8"/>
  <c r="I88" i="8"/>
  <c r="J88" i="8"/>
  <c r="I89" i="8"/>
  <c r="J89" i="8"/>
  <c r="I90" i="8"/>
  <c r="J90" i="8"/>
  <c r="I91" i="8"/>
  <c r="J91" i="8"/>
  <c r="I92" i="8"/>
  <c r="J92" i="8"/>
  <c r="I93" i="8"/>
  <c r="J93" i="8"/>
  <c r="I94" i="8"/>
  <c r="J94" i="8"/>
  <c r="I95" i="8"/>
  <c r="J95" i="8"/>
  <c r="I96" i="8"/>
  <c r="J96" i="8"/>
  <c r="I97" i="8"/>
  <c r="J97" i="8"/>
  <c r="I98" i="8"/>
  <c r="J98" i="8"/>
  <c r="I99" i="8"/>
  <c r="J99" i="8"/>
  <c r="I100" i="8"/>
  <c r="J100" i="8"/>
  <c r="I101" i="8"/>
  <c r="J101" i="8"/>
  <c r="I102" i="8"/>
  <c r="J102" i="8"/>
  <c r="I103" i="8"/>
  <c r="J103" i="8"/>
  <c r="I104" i="8"/>
  <c r="J104" i="8"/>
  <c r="I105" i="8"/>
  <c r="J105" i="8"/>
  <c r="I106" i="8"/>
  <c r="J106" i="8"/>
  <c r="I107" i="8"/>
  <c r="J107" i="8"/>
  <c r="I108" i="8"/>
  <c r="J108" i="8"/>
  <c r="I109" i="8"/>
  <c r="J109" i="8"/>
  <c r="I110" i="8"/>
  <c r="J110" i="8"/>
  <c r="I111" i="8"/>
  <c r="J111" i="8"/>
  <c r="I112" i="8"/>
  <c r="J112" i="8"/>
  <c r="I113" i="8"/>
  <c r="J113" i="8"/>
  <c r="I114" i="8"/>
  <c r="J114" i="8"/>
  <c r="I115" i="8"/>
  <c r="J115" i="8"/>
  <c r="I116" i="8"/>
  <c r="J116" i="8"/>
  <c r="I117" i="8"/>
  <c r="J117" i="8"/>
  <c r="I118" i="8"/>
  <c r="J118" i="8"/>
  <c r="I119" i="8"/>
  <c r="J119" i="8"/>
  <c r="I120" i="8"/>
  <c r="J120" i="8"/>
  <c r="I121" i="8"/>
  <c r="J121" i="8"/>
  <c r="I122" i="8"/>
  <c r="J122" i="8"/>
  <c r="I123" i="8"/>
  <c r="J123" i="8"/>
  <c r="I124" i="8"/>
  <c r="J124" i="8"/>
  <c r="I125" i="8"/>
  <c r="J125" i="8"/>
  <c r="I126" i="8"/>
  <c r="J126" i="8"/>
  <c r="I127" i="8"/>
  <c r="J127" i="8"/>
  <c r="I128" i="8"/>
  <c r="J128" i="8"/>
  <c r="I129" i="8"/>
  <c r="J129" i="8"/>
  <c r="I130" i="8"/>
  <c r="J130" i="8"/>
  <c r="I131" i="8"/>
  <c r="J131" i="8"/>
  <c r="I132" i="8"/>
  <c r="J132" i="8"/>
  <c r="I133" i="8"/>
  <c r="J133" i="8"/>
  <c r="I134" i="8"/>
  <c r="J134" i="8"/>
  <c r="I135" i="8"/>
  <c r="J135" i="8"/>
  <c r="I136" i="8"/>
  <c r="J136" i="8"/>
  <c r="I137" i="8"/>
  <c r="J137" i="8"/>
  <c r="I138" i="8"/>
  <c r="J138" i="8"/>
  <c r="I139" i="8"/>
  <c r="J139" i="8"/>
  <c r="I140" i="8"/>
  <c r="J140" i="8"/>
  <c r="I141" i="8"/>
  <c r="J141" i="8"/>
  <c r="C13" i="4"/>
  <c r="B41" i="4"/>
  <c r="E41" i="4" s="1"/>
  <c r="G1" i="15"/>
  <c r="G2" i="15"/>
  <c r="E1" i="3"/>
  <c r="E2" i="3"/>
  <c r="Q9" i="3"/>
  <c r="Q10" i="3"/>
  <c r="Q11" i="3"/>
  <c r="Q12" i="3"/>
  <c r="Q93" i="3"/>
  <c r="Q94" i="3"/>
  <c r="Q95" i="3"/>
  <c r="C12" i="4" s="1"/>
  <c r="Q96" i="3"/>
  <c r="Q97" i="3"/>
  <c r="Q98" i="3"/>
  <c r="Q99" i="3"/>
  <c r="Q100" i="3"/>
  <c r="Q101" i="3"/>
  <c r="Q102" i="3"/>
  <c r="Q103" i="3"/>
  <c r="Q104" i="3"/>
  <c r="Q106" i="3"/>
  <c r="R106" i="3"/>
  <c r="E1" i="2"/>
  <c r="E2" i="2"/>
  <c r="R26" i="2"/>
  <c r="G24" i="1"/>
  <c r="AB5" i="15" s="1"/>
  <c r="B4" i="4"/>
  <c r="G14" i="4"/>
  <c r="J75" i="8"/>
  <c r="B2" i="8" s="1"/>
  <c r="P4" i="2"/>
  <c r="L82" i="3"/>
  <c r="M82" i="3"/>
  <c r="L88" i="3"/>
  <c r="M87" i="3"/>
  <c r="L86" i="3"/>
  <c r="M85" i="3"/>
  <c r="M81" i="3"/>
  <c r="L80" i="3"/>
  <c r="M79" i="3"/>
  <c r="L78" i="3"/>
  <c r="M77" i="3"/>
  <c r="M73" i="3"/>
  <c r="L71" i="3"/>
  <c r="L70" i="3"/>
  <c r="M69" i="3"/>
  <c r="M89" i="3"/>
  <c r="L74" i="3"/>
  <c r="L68" i="3"/>
  <c r="M64" i="3"/>
  <c r="L65" i="3"/>
  <c r="L72" i="3"/>
  <c r="L90" i="3"/>
  <c r="L91" i="3"/>
  <c r="L84" i="3"/>
  <c r="M84" i="3"/>
  <c r="M88" i="3"/>
  <c r="L87" i="3"/>
  <c r="M86" i="3"/>
  <c r="L85" i="3"/>
  <c r="L81" i="3"/>
  <c r="M80" i="3"/>
  <c r="L79" i="3"/>
  <c r="M78" i="3"/>
  <c r="L77" i="3"/>
  <c r="L73" i="3"/>
  <c r="M71" i="3"/>
  <c r="M70" i="3"/>
  <c r="L69" i="3"/>
  <c r="L89" i="3"/>
  <c r="M76" i="3"/>
  <c r="M74" i="3"/>
  <c r="L75" i="3"/>
  <c r="M68" i="3"/>
  <c r="L67" i="3"/>
  <c r="L64" i="3"/>
  <c r="M63" i="3"/>
  <c r="M65" i="3"/>
  <c r="M66" i="3"/>
  <c r="M72" i="3"/>
  <c r="L83" i="3"/>
  <c r="M90" i="3"/>
  <c r="M92" i="3"/>
  <c r="M91" i="3"/>
  <c r="L76" i="3"/>
  <c r="M75" i="3"/>
  <c r="M67" i="3"/>
  <c r="L63" i="3"/>
  <c r="L66" i="3"/>
  <c r="M83" i="3"/>
  <c r="L92" i="3"/>
  <c r="G4" i="15" l="1"/>
  <c r="P76" i="3"/>
  <c r="P74" i="3"/>
  <c r="P75" i="3"/>
  <c r="P68" i="3"/>
  <c r="P67" i="3"/>
  <c r="P72" i="3"/>
  <c r="P83" i="3"/>
  <c r="P89" i="3"/>
  <c r="P86" i="3"/>
  <c r="P85" i="3"/>
  <c r="P81" i="3"/>
  <c r="P80" i="3"/>
  <c r="P79" i="3"/>
  <c r="P78" i="3"/>
  <c r="P77" i="3"/>
  <c r="P73" i="3"/>
  <c r="P71" i="3"/>
  <c r="P70" i="3"/>
  <c r="P69" i="3"/>
  <c r="R68" i="3"/>
  <c r="R70" i="3"/>
  <c r="R72" i="3"/>
  <c r="R74" i="3"/>
  <c r="R76" i="3"/>
  <c r="R78" i="3"/>
  <c r="R80" i="3"/>
  <c r="R82" i="3"/>
  <c r="R84" i="3"/>
  <c r="R86" i="3"/>
  <c r="R67" i="3"/>
  <c r="R69" i="3"/>
  <c r="R71" i="3"/>
  <c r="R73" i="3"/>
  <c r="R75" i="3"/>
  <c r="R77" i="3"/>
  <c r="R79" i="3"/>
  <c r="R81" i="3"/>
  <c r="R83" i="3"/>
  <c r="R85" i="3"/>
  <c r="P92" i="3"/>
  <c r="P91" i="3"/>
  <c r="P90" i="3"/>
  <c r="P88" i="3"/>
  <c r="P87" i="3"/>
  <c r="P66" i="3"/>
  <c r="P65" i="3"/>
  <c r="P64" i="3"/>
  <c r="P63" i="3"/>
  <c r="R64" i="3"/>
  <c r="R63" i="3"/>
  <c r="R91" i="3"/>
  <c r="R88" i="3"/>
  <c r="R65" i="3"/>
  <c r="R66" i="3"/>
  <c r="R87" i="3"/>
  <c r="R89" i="3"/>
  <c r="R92" i="3"/>
  <c r="R90" i="3"/>
  <c r="E4" i="2"/>
  <c r="G32" i="10"/>
  <c r="E43" i="10" s="1"/>
  <c r="G25" i="4"/>
  <c r="E42" i="1"/>
  <c r="B3" i="8" s="1"/>
  <c r="G34" i="4"/>
  <c r="P25" i="2"/>
  <c r="Q25" i="2" s="1"/>
  <c r="Q8" i="3"/>
  <c r="E4" i="3"/>
  <c r="E135" i="14"/>
  <c r="C33" i="4" s="1"/>
  <c r="C29" i="4"/>
  <c r="P17" i="2"/>
  <c r="Q17" i="2" s="1"/>
  <c r="P22" i="2"/>
  <c r="Q22" i="2" s="1"/>
  <c r="P23" i="2"/>
  <c r="Q23" i="2" s="1"/>
  <c r="P21" i="2"/>
  <c r="Q21" i="2" s="1"/>
  <c r="P19" i="2"/>
  <c r="Q19" i="2" s="1"/>
  <c r="G33" i="4"/>
  <c r="G35" i="4"/>
  <c r="P20" i="2"/>
  <c r="Q20" i="2" s="1"/>
  <c r="P15" i="2"/>
  <c r="Q15" i="2" s="1"/>
  <c r="P18" i="2"/>
  <c r="Q18" i="2" s="1"/>
  <c r="D29" i="4" l="1"/>
  <c r="E44" i="10"/>
  <c r="C19" i="4"/>
  <c r="D19" i="4"/>
  <c r="P14" i="2"/>
  <c r="Q14" i="2" s="1"/>
  <c r="P16" i="2"/>
  <c r="Q16" i="2" s="1"/>
  <c r="P24" i="2"/>
  <c r="Q24" i="2" s="1"/>
  <c r="G36" i="4"/>
  <c r="F41" i="4"/>
  <c r="G41" i="4"/>
  <c r="P101" i="3" l="1"/>
  <c r="P13" i="2"/>
  <c r="Q13" i="2" s="1"/>
  <c r="P102" i="3"/>
  <c r="J68" i="15" l="1"/>
  <c r="J71" i="15"/>
  <c r="J40" i="15"/>
  <c r="J80" i="15"/>
  <c r="J73" i="15"/>
  <c r="J26" i="15"/>
  <c r="J60" i="15"/>
  <c r="J49" i="15"/>
  <c r="J45" i="15"/>
  <c r="J41" i="15"/>
  <c r="J72" i="15"/>
  <c r="J53" i="15"/>
  <c r="J97" i="15"/>
  <c r="K71" i="15"/>
  <c r="K41" i="15"/>
  <c r="L103" i="3"/>
  <c r="J36" i="15"/>
  <c r="J31" i="15"/>
  <c r="J93" i="15"/>
  <c r="J47" i="15"/>
  <c r="J35" i="15"/>
  <c r="Q68" i="15"/>
  <c r="J96" i="15"/>
  <c r="J27" i="15"/>
  <c r="Q96" i="15"/>
  <c r="J46" i="15"/>
  <c r="J58" i="15"/>
  <c r="Y53" i="15"/>
  <c r="Y41" i="15"/>
  <c r="J56" i="15"/>
  <c r="N56" i="15"/>
  <c r="N36" i="15"/>
  <c r="X49" i="15"/>
  <c r="J87" i="15"/>
  <c r="J85" i="15"/>
  <c r="J19" i="15"/>
  <c r="J91" i="15"/>
  <c r="J67" i="15"/>
  <c r="N91" i="15"/>
  <c r="J48" i="15"/>
  <c r="J66" i="15"/>
  <c r="J88" i="15"/>
  <c r="J38" i="15"/>
  <c r="J89" i="15"/>
  <c r="Q49" i="15"/>
  <c r="N53" i="15"/>
  <c r="L20" i="2"/>
  <c r="L24" i="2"/>
  <c r="Q19" i="15"/>
  <c r="J92" i="15"/>
  <c r="J51" i="15"/>
  <c r="J22" i="15"/>
  <c r="J63" i="15"/>
  <c r="N40" i="15"/>
  <c r="J75" i="15"/>
  <c r="J81" i="15"/>
  <c r="Y87" i="15"/>
  <c r="K75" i="15"/>
  <c r="J28" i="15"/>
  <c r="J77" i="15"/>
  <c r="J64" i="15"/>
  <c r="J59" i="15"/>
  <c r="Y27" i="15"/>
  <c r="K31" i="15"/>
  <c r="N60" i="15"/>
  <c r="Y89" i="15"/>
  <c r="M25" i="2"/>
  <c r="X51" i="15"/>
  <c r="Y71" i="15"/>
  <c r="Y45" i="15"/>
  <c r="Y47" i="15"/>
  <c r="X96" i="15"/>
  <c r="L22" i="2"/>
  <c r="Q35" i="15"/>
  <c r="N87" i="15"/>
  <c r="K97" i="15"/>
  <c r="X88" i="15"/>
  <c r="N35" i="15"/>
  <c r="AB47" i="15"/>
  <c r="Q73" i="15"/>
  <c r="Y72" i="15"/>
  <c r="AB53" i="15"/>
  <c r="AB71" i="15"/>
  <c r="Y68" i="15"/>
  <c r="AC68" i="15" s="1"/>
  <c r="C34" i="4"/>
  <c r="J43" i="15"/>
  <c r="Y43" i="15" s="1"/>
  <c r="J20" i="15"/>
  <c r="N20" i="15" s="1"/>
  <c r="J55" i="15"/>
  <c r="L104" i="3"/>
  <c r="J95" i="15"/>
  <c r="X95" i="15" s="1"/>
  <c r="J24" i="15"/>
  <c r="X71" i="15"/>
  <c r="J39" i="15"/>
  <c r="J65" i="15"/>
  <c r="N65" i="15" s="1"/>
  <c r="J44" i="15"/>
  <c r="X44" i="15" s="1"/>
  <c r="J30" i="15"/>
  <c r="N55" i="15"/>
  <c r="X55" i="15"/>
  <c r="J79" i="15"/>
  <c r="Y79" i="15" s="1"/>
  <c r="AB79" i="15" s="1"/>
  <c r="J25" i="15"/>
  <c r="J90" i="15"/>
  <c r="Y80" i="15"/>
  <c r="J76" i="15"/>
  <c r="K76" i="15" s="1"/>
  <c r="N47" i="15"/>
  <c r="J29" i="15"/>
  <c r="L17" i="2"/>
  <c r="J32" i="15"/>
  <c r="K32" i="15" s="1"/>
  <c r="X68" i="15"/>
  <c r="J34" i="15"/>
  <c r="J94" i="15"/>
  <c r="X43" i="15"/>
  <c r="J42" i="15"/>
  <c r="J54" i="15"/>
  <c r="Y54" i="15" s="1"/>
  <c r="J61" i="15"/>
  <c r="N61" i="15" s="1"/>
  <c r="N43" i="15"/>
  <c r="Y93" i="15"/>
  <c r="K20" i="15"/>
  <c r="L16" i="2"/>
  <c r="Q47" i="15"/>
  <c r="X45" i="15"/>
  <c r="Q45" i="15"/>
  <c r="N41" i="15"/>
  <c r="N96" i="15"/>
  <c r="J82" i="15"/>
  <c r="J37" i="15"/>
  <c r="J33" i="15"/>
  <c r="L14" i="2"/>
  <c r="J21" i="15"/>
  <c r="J99" i="15"/>
  <c r="Q82" i="15"/>
  <c r="N85" i="15"/>
  <c r="J78" i="15"/>
  <c r="N78" i="15" s="1"/>
  <c r="X60" i="15"/>
  <c r="K40" i="15"/>
  <c r="J23" i="15"/>
  <c r="J70" i="15"/>
  <c r="Q70" i="15" s="1"/>
  <c r="J84" i="15"/>
  <c r="K84" i="15" s="1"/>
  <c r="M17" i="2"/>
  <c r="Y60" i="15"/>
  <c r="M18" i="2"/>
  <c r="K68" i="15"/>
  <c r="Y36" i="15"/>
  <c r="J50" i="15"/>
  <c r="K50" i="15" s="1"/>
  <c r="Q51" i="15"/>
  <c r="N90" i="15"/>
  <c r="J83" i="15"/>
  <c r="J52" i="15"/>
  <c r="Q52" i="15" s="1"/>
  <c r="J57" i="15"/>
  <c r="N93" i="15"/>
  <c r="J100" i="15"/>
  <c r="J98" i="15"/>
  <c r="J74" i="15"/>
  <c r="Y40" i="15"/>
  <c r="J62" i="15"/>
  <c r="M22" i="2"/>
  <c r="Q63" i="15"/>
  <c r="J86" i="15"/>
  <c r="Q86" i="15" s="1"/>
  <c r="X97" i="15"/>
  <c r="J69" i="15"/>
  <c r="N62" i="15"/>
  <c r="N69" i="15"/>
  <c r="N44" i="15"/>
  <c r="Q46" i="15"/>
  <c r="K23" i="15"/>
  <c r="X99" i="15"/>
  <c r="Y26" i="15"/>
  <c r="X81" i="15"/>
  <c r="N38" i="15"/>
  <c r="X73" i="15"/>
  <c r="N31" i="15"/>
  <c r="AC43" i="15"/>
  <c r="M15" i="2"/>
  <c r="Y56" i="15"/>
  <c r="K86" i="15"/>
  <c r="L15" i="2"/>
  <c r="K95" i="15"/>
  <c r="Q43" i="15"/>
  <c r="M21" i="2"/>
  <c r="X91" i="15"/>
  <c r="N79" i="15"/>
  <c r="Y30" i="15"/>
  <c r="K43" i="15"/>
  <c r="N77" i="15"/>
  <c r="K35" i="15"/>
  <c r="M104" i="3"/>
  <c r="Y61" i="15"/>
  <c r="Q44" i="15"/>
  <c r="M14" i="2"/>
  <c r="Q77" i="15"/>
  <c r="Y35" i="15"/>
  <c r="AB41" i="15"/>
  <c r="M23" i="2"/>
  <c r="Q55" i="15"/>
  <c r="AB56" i="15"/>
  <c r="Q39" i="15"/>
  <c r="K56" i="15"/>
  <c r="L23" i="2"/>
  <c r="X89" i="15"/>
  <c r="L18" i="2"/>
  <c r="K69" i="15"/>
  <c r="Q69" i="15"/>
  <c r="K30" i="15"/>
  <c r="Q50" i="15"/>
  <c r="K80" i="15"/>
  <c r="X28" i="15"/>
  <c r="Q72" i="15"/>
  <c r="L105" i="3"/>
  <c r="X53" i="15"/>
  <c r="Y49" i="15"/>
  <c r="K93" i="15"/>
  <c r="M105" i="3"/>
  <c r="AC60" i="15"/>
  <c r="Y25" i="15"/>
  <c r="X83" i="15"/>
  <c r="K19" i="15"/>
  <c r="Q62" i="15"/>
  <c r="AB43" i="15"/>
  <c r="AB68" i="15"/>
  <c r="X34" i="15"/>
  <c r="N71" i="15"/>
  <c r="N97" i="15"/>
  <c r="AC72" i="15"/>
  <c r="N42" i="15"/>
  <c r="N24" i="15"/>
  <c r="X31" i="15"/>
  <c r="K89" i="15"/>
  <c r="Y91" i="15"/>
  <c r="AC25" i="15"/>
  <c r="N39" i="15"/>
  <c r="Q61" i="15"/>
  <c r="K81" i="15"/>
  <c r="N68" i="15"/>
  <c r="M16" i="2"/>
  <c r="N59" i="15"/>
  <c r="K46" i="15"/>
  <c r="AC30" i="15"/>
  <c r="M24" i="2"/>
  <c r="Y33" i="15"/>
  <c r="K66" i="15"/>
  <c r="Y62" i="15"/>
  <c r="X100" i="15"/>
  <c r="Q66" i="15"/>
  <c r="K92" i="15"/>
  <c r="K26" i="15"/>
  <c r="Q24" i="15"/>
  <c r="Y67" i="15"/>
  <c r="X20" i="15"/>
  <c r="Q67" i="15"/>
  <c r="Q31" i="15"/>
  <c r="M102" i="3"/>
  <c r="N72" i="15"/>
  <c r="X22" i="15"/>
  <c r="N75" i="15"/>
  <c r="Y76" i="15"/>
  <c r="AC26" i="15"/>
  <c r="K65" i="15"/>
  <c r="N25" i="15"/>
  <c r="M19" i="2"/>
  <c r="Q83" i="15"/>
  <c r="K90" i="15"/>
  <c r="X59" i="15"/>
  <c r="Q23" i="15"/>
  <c r="X47" i="15"/>
  <c r="Q74" i="15"/>
  <c r="Y23" i="15"/>
  <c r="Y90" i="15"/>
  <c r="Y44" i="15"/>
  <c r="X24" i="15"/>
  <c r="Q65" i="15"/>
  <c r="Q85" i="15"/>
  <c r="X50" i="15"/>
  <c r="L102" i="3"/>
  <c r="K73" i="15"/>
  <c r="Q40" i="15"/>
  <c r="AB67" i="15"/>
  <c r="Y83" i="15"/>
  <c r="Y20" i="15"/>
  <c r="Q78" i="15"/>
  <c r="AC35" i="15"/>
  <c r="M20" i="2"/>
  <c r="AC41" i="15"/>
  <c r="X23" i="15"/>
  <c r="X42" i="15"/>
  <c r="N45" i="15"/>
  <c r="AB45" i="15"/>
  <c r="K47" i="15"/>
  <c r="Q88" i="15"/>
  <c r="Y46" i="15"/>
  <c r="Y22" i="15"/>
  <c r="X72" i="15"/>
  <c r="AC20" i="15"/>
  <c r="AB76" i="15"/>
  <c r="AC71" i="15"/>
  <c r="N58" i="15"/>
  <c r="Q29" i="15"/>
  <c r="Y96" i="15"/>
  <c r="AC54" i="15"/>
  <c r="AC91" i="15"/>
  <c r="K42" i="15"/>
  <c r="AB22" i="15"/>
  <c r="AC90" i="15"/>
  <c r="X90" i="15"/>
  <c r="K44" i="15"/>
  <c r="Y88" i="15"/>
  <c r="X65" i="15"/>
  <c r="AB46" i="15"/>
  <c r="AC56" i="15"/>
  <c r="X41" i="15"/>
  <c r="N82" i="15"/>
  <c r="K60" i="15"/>
  <c r="X66" i="15"/>
  <c r="Q25" i="15"/>
  <c r="K62" i="15"/>
  <c r="AC36" i="15"/>
  <c r="Y74" i="15"/>
  <c r="Q41" i="15"/>
  <c r="Q26" i="15"/>
  <c r="Y100" i="15"/>
  <c r="K74" i="15"/>
  <c r="K37" i="15"/>
  <c r="Q71" i="15"/>
  <c r="X64" i="15"/>
  <c r="X80" i="15"/>
  <c r="K55" i="15"/>
  <c r="N29" i="15"/>
  <c r="M103" i="3"/>
  <c r="K96" i="15"/>
  <c r="AC61" i="15"/>
  <c r="N81" i="15"/>
  <c r="L25" i="2"/>
  <c r="Q21" i="15"/>
  <c r="AB35" i="15"/>
  <c r="X85" i="15"/>
  <c r="K64" i="15"/>
  <c r="N54" i="15"/>
  <c r="AC79" i="15"/>
  <c r="AB61" i="15"/>
  <c r="N27" i="15"/>
  <c r="K72" i="15"/>
  <c r="AC27" i="15"/>
  <c r="K87" i="15"/>
  <c r="Y39" i="15"/>
  <c r="Y66" i="15"/>
  <c r="N28" i="15"/>
  <c r="K58" i="15"/>
  <c r="Q30" i="15"/>
  <c r="Q87" i="15"/>
  <c r="Y29" i="15"/>
  <c r="X40" i="15"/>
  <c r="X58" i="15"/>
  <c r="AC93" i="15"/>
  <c r="Q80" i="15"/>
  <c r="X30" i="15"/>
  <c r="N23" i="15"/>
  <c r="X29" i="15"/>
  <c r="Q94" i="15"/>
  <c r="Q91" i="15"/>
  <c r="Y94" i="15"/>
  <c r="X84" i="15"/>
  <c r="K63" i="15"/>
  <c r="X94" i="15"/>
  <c r="Q100" i="15"/>
  <c r="X61" i="15"/>
  <c r="N95" i="15"/>
  <c r="AC40" i="15"/>
  <c r="Y59" i="15"/>
  <c r="AC45" i="15"/>
  <c r="X92" i="15"/>
  <c r="AB36" i="15"/>
  <c r="N32" i="15"/>
  <c r="N80" i="15"/>
  <c r="L21" i="2"/>
  <c r="K94" i="15"/>
  <c r="X54" i="15"/>
  <c r="Q75" i="15"/>
  <c r="AB26" i="15"/>
  <c r="AB87" i="15"/>
  <c r="Q92" i="15"/>
  <c r="Y77" i="15"/>
  <c r="Q54" i="15"/>
  <c r="X77" i="15"/>
  <c r="AB29" i="15"/>
  <c r="Q56" i="15"/>
  <c r="N100" i="15"/>
  <c r="Y73" i="15"/>
  <c r="K57" i="15"/>
  <c r="AC77" i="15"/>
  <c r="K54" i="15"/>
  <c r="N49" i="15"/>
  <c r="Y32" i="15"/>
  <c r="X26" i="15"/>
  <c r="N26" i="15"/>
  <c r="AB62" i="15"/>
  <c r="Q27" i="15"/>
  <c r="N64" i="15"/>
  <c r="AC94" i="15"/>
  <c r="X78" i="15"/>
  <c r="Y28" i="15"/>
  <c r="AB28" i="15" s="1"/>
  <c r="AC100" i="15"/>
  <c r="K39" i="15"/>
  <c r="X57" i="15"/>
  <c r="AC89" i="15"/>
  <c r="K29" i="15"/>
  <c r="Q59" i="15"/>
  <c r="L19" i="2"/>
  <c r="K48" i="15"/>
  <c r="Q93" i="15"/>
  <c r="X62" i="15"/>
  <c r="N76" i="15"/>
  <c r="Y70" i="15"/>
  <c r="Q64" i="15"/>
  <c r="AB20" i="15"/>
  <c r="N88" i="15"/>
  <c r="X93" i="15"/>
  <c r="Q28" i="15"/>
  <c r="N46" i="15"/>
  <c r="X56" i="15"/>
  <c r="AB32" i="15"/>
  <c r="Y55" i="15"/>
  <c r="Y99" i="15"/>
  <c r="X79" i="15"/>
  <c r="K36" i="15"/>
  <c r="N98" i="15"/>
  <c r="K34" i="15"/>
  <c r="AB49" i="15"/>
  <c r="M98" i="3"/>
  <c r="L101" i="3"/>
  <c r="X63" i="15"/>
  <c r="AB77" i="15"/>
  <c r="Q58" i="15"/>
  <c r="Y69" i="15"/>
  <c r="Q95" i="15"/>
  <c r="X70" i="15"/>
  <c r="AC32" i="15"/>
  <c r="AC46" i="15"/>
  <c r="K70" i="15"/>
  <c r="Y58" i="15"/>
  <c r="N34" i="15"/>
  <c r="Y31" i="15"/>
  <c r="Q36" i="15"/>
  <c r="K67" i="15"/>
  <c r="K38" i="15"/>
  <c r="AC83" i="15"/>
  <c r="Q20" i="15"/>
  <c r="AB70" i="15"/>
  <c r="Y86" i="15"/>
  <c r="Q34" i="15"/>
  <c r="AC47" i="15"/>
  <c r="Y50" i="15"/>
  <c r="Y95" i="15"/>
  <c r="N70" i="15"/>
  <c r="AC88" i="15"/>
  <c r="AB83" i="15"/>
  <c r="AC67" i="15"/>
  <c r="N83" i="15"/>
  <c r="AB30" i="15"/>
  <c r="N19" i="15"/>
  <c r="Q89" i="15"/>
  <c r="AC99" i="15"/>
  <c r="X36" i="15"/>
  <c r="Q98" i="15"/>
  <c r="Y81" i="15"/>
  <c r="AC49" i="15"/>
  <c r="AB81" i="15"/>
  <c r="AC44" i="15"/>
  <c r="Y34" i="15"/>
  <c r="Q48" i="15"/>
  <c r="AB91" i="15"/>
  <c r="Q81" i="15"/>
  <c r="AC87" i="15"/>
  <c r="N84" i="15"/>
  <c r="K49" i="15"/>
  <c r="AC70" i="15"/>
  <c r="AB27" i="15"/>
  <c r="Y75" i="15"/>
  <c r="AB99" i="15"/>
  <c r="N33" i="15"/>
  <c r="K85" i="15"/>
  <c r="N21" i="15"/>
  <c r="N99" i="15"/>
  <c r="Y48" i="15"/>
  <c r="N48" i="15"/>
  <c r="Y84" i="15"/>
  <c r="K22" i="15"/>
  <c r="Y52" i="15"/>
  <c r="AC59" i="15"/>
  <c r="AB95" i="15"/>
  <c r="AB75" i="15"/>
  <c r="AB84" i="15"/>
  <c r="K78" i="15"/>
  <c r="AC23" i="15"/>
  <c r="AB72" i="15"/>
  <c r="AC96" i="15"/>
  <c r="K28" i="15"/>
  <c r="AC29" i="15"/>
  <c r="Y97" i="15"/>
  <c r="AB97" i="15" s="1"/>
  <c r="AC55" i="15"/>
  <c r="K79" i="15"/>
  <c r="K51" i="15"/>
  <c r="Q32" i="15"/>
  <c r="K27" i="15"/>
  <c r="M101" i="3"/>
  <c r="M100" i="3"/>
  <c r="L98" i="3"/>
  <c r="M99" i="3"/>
  <c r="X86" i="15"/>
  <c r="X52" i="15"/>
  <c r="K59" i="15"/>
  <c r="K24" i="15"/>
  <c r="Y38" i="15"/>
  <c r="K53" i="15"/>
  <c r="AB38" i="15"/>
  <c r="Q97" i="15"/>
  <c r="Q42" i="15"/>
  <c r="AC22" i="15"/>
  <c r="AB89" i="15"/>
  <c r="X67" i="15"/>
  <c r="X74" i="15"/>
  <c r="AC39" i="15"/>
  <c r="N52" i="15"/>
  <c r="N89" i="15"/>
  <c r="N94" i="15"/>
  <c r="AB31" i="15"/>
  <c r="X35" i="15"/>
  <c r="N73" i="15"/>
  <c r="Q57" i="15"/>
  <c r="K61" i="15"/>
  <c r="Y92" i="15"/>
  <c r="AB92" i="15" s="1"/>
  <c r="AC74" i="15"/>
  <c r="Y78" i="15"/>
  <c r="X38" i="15"/>
  <c r="AB100" i="15"/>
  <c r="AC78" i="15"/>
  <c r="AC28" i="15"/>
  <c r="AB23" i="15"/>
  <c r="X76" i="15"/>
  <c r="Q53" i="15"/>
  <c r="AB54" i="15"/>
  <c r="Y65" i="15"/>
  <c r="AB33" i="15"/>
  <c r="AC65" i="15"/>
  <c r="Q79" i="15"/>
  <c r="N51" i="15"/>
  <c r="X32" i="15"/>
  <c r="X27" i="15"/>
  <c r="AB58" i="15"/>
  <c r="L99" i="3"/>
  <c r="L100" i="3"/>
  <c r="AC50" i="15"/>
  <c r="Y64" i="15"/>
  <c r="Y98" i="15"/>
  <c r="AC98" i="15" s="1"/>
  <c r="Y24" i="15"/>
  <c r="AC24" i="15" s="1"/>
  <c r="AC92" i="15"/>
  <c r="AB93" i="15"/>
  <c r="AB60" i="15"/>
  <c r="K45" i="15"/>
  <c r="AB65" i="15"/>
  <c r="AC34" i="15"/>
  <c r="AB24" i="15"/>
  <c r="AB98" i="15"/>
  <c r="AC53" i="15"/>
  <c r="N74" i="15"/>
  <c r="X39" i="15"/>
  <c r="AB25" i="15"/>
  <c r="AB40" i="15"/>
  <c r="N30" i="15"/>
  <c r="Q60" i="15"/>
  <c r="AB34" i="15"/>
  <c r="Q33" i="15"/>
  <c r="Y85" i="15"/>
  <c r="AC85" i="15" s="1"/>
  <c r="K21" i="15"/>
  <c r="K99" i="15"/>
  <c r="Q99" i="15"/>
  <c r="X48" i="15"/>
  <c r="Q84" i="15"/>
  <c r="Q22" i="15"/>
  <c r="N63" i="15"/>
  <c r="Y57" i="15"/>
  <c r="AB57" i="15" s="1"/>
  <c r="AB59" i="15"/>
  <c r="AC69" i="15"/>
  <c r="AC86" i="15"/>
  <c r="AC75" i="15"/>
  <c r="AB85" i="15"/>
  <c r="AC84" i="15"/>
  <c r="AC52" i="15"/>
  <c r="AC57" i="15"/>
  <c r="AB69" i="15"/>
  <c r="AC48" i="15"/>
  <c r="AB52" i="15"/>
  <c r="AB86" i="15"/>
  <c r="AB88" i="15"/>
  <c r="X69" i="15"/>
  <c r="N57" i="15"/>
  <c r="N22" i="15"/>
  <c r="X46" i="15"/>
  <c r="AB78" i="15"/>
  <c r="AB55" i="15"/>
  <c r="Y63" i="15"/>
  <c r="Y42" i="15"/>
  <c r="AC63" i="15"/>
  <c r="AB42" i="15"/>
  <c r="N86" i="15"/>
  <c r="N50" i="15"/>
  <c r="AB63" i="15"/>
  <c r="AC95" i="15"/>
  <c r="AC97" i="15"/>
  <c r="AC76" i="15"/>
  <c r="AB74" i="15"/>
  <c r="K77" i="15"/>
  <c r="K83" i="15"/>
  <c r="N92" i="15"/>
  <c r="Q76" i="15"/>
  <c r="AB48" i="15"/>
  <c r="AB96" i="15"/>
  <c r="K52" i="15"/>
  <c r="Q90" i="15"/>
  <c r="AC42" i="15"/>
  <c r="K25" i="15"/>
  <c r="X25" i="15"/>
  <c r="AB80" i="15"/>
  <c r="AC80" i="15"/>
  <c r="K82" i="15"/>
  <c r="Y82" i="15"/>
  <c r="Y37" i="15"/>
  <c r="X37" i="15"/>
  <c r="N37" i="15"/>
  <c r="X33" i="15"/>
  <c r="K33" i="15"/>
  <c r="X21" i="15"/>
  <c r="Y21" i="15"/>
  <c r="X98" i="15"/>
  <c r="K98" i="15"/>
  <c r="AC66" i="15"/>
  <c r="AC73" i="15"/>
  <c r="AB64" i="15"/>
  <c r="AC64" i="15"/>
  <c r="AC82" i="15"/>
  <c r="AB82" i="15"/>
  <c r="AC37" i="15"/>
  <c r="AB37" i="15"/>
  <c r="AC21" i="15"/>
  <c r="AB21" i="15"/>
  <c r="J17" i="15"/>
  <c r="N17" i="15"/>
  <c r="K17" i="15"/>
  <c r="X19" i="15"/>
  <c r="Y19" i="15"/>
  <c r="AC19" i="15"/>
  <c r="J18" i="15"/>
  <c r="N18" i="15"/>
  <c r="X18" i="15"/>
  <c r="Y18" i="15"/>
  <c r="K18" i="15"/>
  <c r="AB18" i="15"/>
  <c r="X17" i="15"/>
  <c r="Y17" i="15"/>
  <c r="AC17" i="15"/>
  <c r="AB17" i="15"/>
  <c r="M96" i="3"/>
  <c r="L97" i="3"/>
  <c r="L95" i="3"/>
  <c r="M94" i="3"/>
  <c r="M93" i="3"/>
  <c r="L96" i="3"/>
  <c r="M97" i="3"/>
  <c r="M95" i="3"/>
  <c r="L94" i="3"/>
  <c r="L93" i="3"/>
  <c r="M13" i="2"/>
  <c r="L12" i="2"/>
  <c r="L13" i="2"/>
  <c r="M12" i="2"/>
  <c r="J9" i="15"/>
  <c r="Q9" i="15"/>
  <c r="K9" i="15"/>
  <c r="N9" i="15"/>
  <c r="Y9" i="15"/>
  <c r="AC9" i="15"/>
  <c r="X9" i="15"/>
  <c r="M11" i="2"/>
  <c r="L10" i="2"/>
  <c r="L11" i="2"/>
  <c r="M10" i="2"/>
  <c r="J16" i="15"/>
  <c r="Y16" i="15"/>
  <c r="X16" i="15"/>
  <c r="J15" i="15"/>
  <c r="K15" i="15"/>
  <c r="Y15" i="15"/>
  <c r="X15" i="15"/>
  <c r="J14" i="15"/>
  <c r="Y14" i="15"/>
  <c r="N14" i="15"/>
  <c r="N16" i="15"/>
  <c r="AB16" i="15"/>
  <c r="AC16" i="15"/>
  <c r="N15" i="15"/>
  <c r="Q15" i="15"/>
  <c r="AB15" i="15"/>
  <c r="AC15" i="15"/>
  <c r="K14" i="15"/>
  <c r="AB14" i="15"/>
  <c r="Q14" i="15"/>
  <c r="J13" i="15"/>
  <c r="L9" i="2"/>
  <c r="M9" i="2"/>
  <c r="Y13" i="15"/>
  <c r="X13" i="15"/>
  <c r="M12" i="3"/>
  <c r="L12" i="3"/>
  <c r="J12" i="15"/>
  <c r="J10" i="15"/>
  <c r="Q10" i="15"/>
  <c r="X12" i="15"/>
  <c r="X10" i="15"/>
  <c r="K12" i="15"/>
  <c r="Q12" i="15"/>
  <c r="K10" i="15"/>
  <c r="N10" i="15"/>
  <c r="Y12" i="15"/>
  <c r="Y10" i="15"/>
  <c r="N12" i="15"/>
  <c r="J11" i="15"/>
  <c r="X11" i="15"/>
  <c r="L11" i="3"/>
  <c r="M10" i="3"/>
  <c r="M11" i="3"/>
  <c r="L10" i="3"/>
  <c r="Q11" i="15"/>
  <c r="K11" i="15"/>
  <c r="N11" i="15"/>
  <c r="L9" i="3"/>
  <c r="M9" i="3"/>
  <c r="B5" i="4" l="1"/>
  <c r="P12" i="2"/>
  <c r="Q12" i="2" s="1"/>
  <c r="P11" i="2"/>
  <c r="Q11" i="2" s="1"/>
  <c r="C14" i="4" s="1"/>
  <c r="B3" i="4"/>
  <c r="B7" i="4"/>
  <c r="M107" i="3"/>
  <c r="R100" i="3"/>
  <c r="R99" i="3"/>
  <c r="P9" i="3"/>
  <c r="P10" i="2"/>
  <c r="Q10" i="2" s="1"/>
  <c r="R11" i="2"/>
  <c r="B6" i="4"/>
  <c r="P12" i="3"/>
  <c r="P11" i="3"/>
  <c r="P96" i="3"/>
  <c r="P99" i="3"/>
  <c r="P97" i="3"/>
  <c r="R96" i="3"/>
  <c r="R98" i="3"/>
  <c r="R97" i="3"/>
  <c r="P100" i="3"/>
  <c r="P94" i="3"/>
  <c r="R12" i="2"/>
  <c r="P9" i="2"/>
  <c r="M27" i="2"/>
  <c r="P93" i="3"/>
  <c r="R95" i="3"/>
  <c r="R101" i="3"/>
  <c r="R93" i="3"/>
  <c r="R94" i="3"/>
  <c r="P95" i="3"/>
  <c r="P98" i="3"/>
  <c r="R9" i="2"/>
  <c r="R19" i="2"/>
  <c r="B8" i="4"/>
  <c r="P10" i="3"/>
  <c r="R10" i="3"/>
  <c r="R10" i="2"/>
  <c r="R21" i="2"/>
  <c r="R25" i="2"/>
  <c r="R9" i="3"/>
  <c r="R12" i="3"/>
  <c r="R11" i="3"/>
  <c r="R102" i="3"/>
  <c r="R105" i="3"/>
  <c r="R18" i="2"/>
  <c r="R23" i="2"/>
  <c r="R15" i="2"/>
  <c r="R14" i="2"/>
  <c r="R16" i="2"/>
  <c r="R17" i="2"/>
  <c r="R104" i="3"/>
  <c r="C35" i="4"/>
  <c r="R13" i="2"/>
  <c r="R22" i="2"/>
  <c r="R24" i="2"/>
  <c r="R20" i="2"/>
  <c r="R103" i="3"/>
  <c r="AC81" i="15"/>
  <c r="AC31" i="15"/>
  <c r="AC58" i="15"/>
  <c r="AB73" i="15"/>
  <c r="AB94" i="15"/>
  <c r="AB39" i="15"/>
  <c r="AB90" i="15"/>
  <c r="AC33" i="15"/>
  <c r="X82" i="15"/>
  <c r="Y51" i="15"/>
  <c r="Q38" i="15"/>
  <c r="N66" i="15"/>
  <c r="K91" i="15"/>
  <c r="X87" i="15"/>
  <c r="AC38" i="15"/>
  <c r="AB50" i="15"/>
  <c r="AB66" i="15"/>
  <c r="AB44" i="15"/>
  <c r="AC62" i="15"/>
  <c r="K100" i="15"/>
  <c r="Q37" i="15"/>
  <c r="X75" i="15"/>
  <c r="K88" i="15"/>
  <c r="N67" i="15"/>
  <c r="AC51" i="15"/>
  <c r="AB51" i="15"/>
  <c r="Q17" i="15"/>
  <c r="AB19" i="15"/>
  <c r="AC18" i="15"/>
  <c r="Q18" i="15"/>
  <c r="AB9" i="15"/>
  <c r="K16" i="15"/>
  <c r="AC14" i="15"/>
  <c r="X14" i="15"/>
  <c r="Q16" i="15"/>
  <c r="AC13" i="15"/>
  <c r="K13" i="15"/>
  <c r="N13" i="15"/>
  <c r="AB13" i="15"/>
  <c r="Q13" i="15"/>
  <c r="AC12" i="15"/>
  <c r="Y11" i="15"/>
  <c r="AB10" i="15"/>
  <c r="AB12" i="15"/>
  <c r="AB11" i="15"/>
  <c r="AC10" i="15"/>
  <c r="I25" i="4"/>
  <c r="C25" i="4" l="1"/>
  <c r="C24" i="4"/>
  <c r="P8" i="2"/>
  <c r="G12" i="4"/>
  <c r="G13" i="4"/>
  <c r="P8" i="3"/>
  <c r="B9" i="4"/>
  <c r="Y102" i="15"/>
  <c r="G18" i="4" s="1"/>
  <c r="C23" i="4"/>
  <c r="Q9" i="2"/>
  <c r="Q8" i="2" s="1"/>
  <c r="E6" i="4"/>
  <c r="C7" i="4"/>
  <c r="D7" i="4"/>
  <c r="E7" i="4"/>
  <c r="C8" i="4"/>
  <c r="C6" i="4"/>
  <c r="E8" i="4"/>
  <c r="D6" i="4"/>
  <c r="D8" i="4"/>
  <c r="C3" i="4"/>
  <c r="D4" i="4"/>
  <c r="D3" i="4"/>
  <c r="C4" i="4"/>
  <c r="D5" i="4"/>
  <c r="C5" i="4"/>
  <c r="E3" i="4"/>
  <c r="E4" i="4"/>
  <c r="E5" i="4"/>
  <c r="AC11" i="15"/>
  <c r="I24" i="4"/>
  <c r="I23" i="4"/>
  <c r="C18" i="4" l="1"/>
  <c r="G23" i="4"/>
  <c r="C17" i="4"/>
  <c r="C20" i="4" s="1"/>
  <c r="C26" i="4"/>
  <c r="G24" i="4"/>
  <c r="G26" i="4" s="1"/>
  <c r="C16" i="4"/>
  <c r="G17" i="4"/>
  <c r="E9" i="4"/>
  <c r="D9" i="4"/>
  <c r="C9" i="4"/>
  <c r="D20" i="4" l="1"/>
</calcChain>
</file>

<file path=xl/comments1.xml><?xml version="1.0" encoding="utf-8"?>
<comments xmlns="http://schemas.openxmlformats.org/spreadsheetml/2006/main">
  <authors>
    <author>Mario.Varella</author>
  </authors>
  <commentList>
    <comment ref="E43" authorId="0">
      <text>
        <r>
          <rPr>
            <b/>
            <sz val="9"/>
            <color indexed="81"/>
            <rFont val="Tahoma"/>
            <family val="2"/>
          </rPr>
          <t>A escolha da FSW é obrigatória para cálculo do Fator de Ajuste e para contagem SNAP</t>
        </r>
      </text>
    </comment>
  </commentList>
</comments>
</file>

<file path=xl/comments2.xml><?xml version="1.0" encoding="utf-8"?>
<comments xmlns="http://schemas.openxmlformats.org/spreadsheetml/2006/main">
  <authors>
    <author>Fábio Santos Claudino</author>
  </authors>
  <commentList>
    <comment ref="N7" authorId="0">
      <text>
        <r>
          <rPr>
            <b/>
            <sz val="8"/>
            <color indexed="81"/>
            <rFont val="Tahoma"/>
            <family val="2"/>
          </rPr>
          <t>SME: Coluna para registro somente de funcionalidades alteradas em uma "Alteração de Escopo"</t>
        </r>
        <r>
          <rPr>
            <sz val="8"/>
            <color indexed="81"/>
            <rFont val="Tahoma"/>
            <family val="2"/>
          </rPr>
          <t xml:space="preserve">
</t>
        </r>
      </text>
    </comment>
  </commentList>
</comments>
</file>

<file path=xl/comments3.xml><?xml version="1.0" encoding="utf-8"?>
<comments xmlns="http://schemas.openxmlformats.org/spreadsheetml/2006/main">
  <authors>
    <author>Fábio Santos Claudino</author>
  </authors>
  <commentList>
    <comment ref="N7" authorId="0">
      <text>
        <r>
          <rPr>
            <b/>
            <sz val="8"/>
            <color indexed="81"/>
            <rFont val="Tahoma"/>
            <family val="2"/>
          </rPr>
          <t>SME: Coluna para registro somente de funcionalidades alteradas em uma "Alteração de Escopo"</t>
        </r>
        <r>
          <rPr>
            <sz val="8"/>
            <color indexed="81"/>
            <rFont val="Tahoma"/>
            <family val="2"/>
          </rPr>
          <t xml:space="preserve">
</t>
        </r>
      </text>
    </comment>
  </commentList>
</comments>
</file>

<file path=xl/comments4.xml><?xml version="1.0" encoding="utf-8"?>
<comments xmlns="http://schemas.openxmlformats.org/spreadsheetml/2006/main">
  <authors>
    <author>Fábio Santos Claudino</author>
  </authors>
  <commentList>
    <comment ref="Z7" authorId="0">
      <text>
        <r>
          <rPr>
            <b/>
            <sz val="8"/>
            <color indexed="81"/>
            <rFont val="Tahoma"/>
            <family val="2"/>
          </rPr>
          <t>SME: Coluna para registro somente de funcionalidades alteradas em uma "Alteração de Escopo"</t>
        </r>
        <r>
          <rPr>
            <sz val="8"/>
            <color indexed="81"/>
            <rFont val="Tahoma"/>
            <family val="2"/>
          </rPr>
          <t xml:space="preserve">
</t>
        </r>
      </text>
    </comment>
  </commentList>
</comments>
</file>

<file path=xl/comments5.xml><?xml version="1.0" encoding="utf-8"?>
<comments xmlns="http://schemas.openxmlformats.org/spreadsheetml/2006/main">
  <authors>
    <author>f941111</author>
  </authors>
  <commentList>
    <comment ref="B5" authorId="0">
      <text>
        <r>
          <rPr>
            <b/>
            <sz val="10"/>
            <color indexed="81"/>
            <rFont val="Tahoma"/>
            <family val="2"/>
          </rPr>
          <t>Modo de usar:</t>
        </r>
        <r>
          <rPr>
            <sz val="10"/>
            <color indexed="81"/>
            <rFont val="Tahoma"/>
            <family val="2"/>
          </rPr>
          <t xml:space="preserve">
1) Faça a medição em APF ou SNAP normalmente;
2) Preencha a coluna B desta planilha com os RTCs da demanda;
3) Aperte o botão número 1 para montar a referência cruzada Funções x RTC;
4) Marque com X a interseção entre o nome da funcionalide e o RTC onde ela foi afetada;
5) Pode haver mais de um RTC que afetou a mesma funcionalidade, marque com um X todos os RTCs que afetaram a funcionalidade;
6) Aperte o botão número 2 para realizar o cálculo da distribuição de tamanho;
7) Se houver alteração na quantidade de RTCs envolvidos ou na quantidade de funções na medição, repita os passos 2 a 6 acima. Neste caso, toda a marcação feita no item 4 será apagada e precisará ser refeita.</t>
        </r>
      </text>
    </comment>
  </commentList>
</comments>
</file>

<file path=xl/comments6.xml><?xml version="1.0" encoding="utf-8"?>
<comments xmlns="http://schemas.openxmlformats.org/spreadsheetml/2006/main">
  <authors>
    <author>TI Métricas 47</author>
    <author>CAIXA</author>
    <author>Sidônio</author>
  </authors>
  <commentList>
    <comment ref="Y74" authorId="0">
      <text>
        <r>
          <rPr>
            <sz val="9"/>
            <color indexed="81"/>
            <rFont val="Segoe UI"/>
            <family val="2"/>
          </rPr>
          <t>1 - Sem previsão Contrtual, vale Guia de Métricas (não paga).
2 - Contrato: AIEs são contados mas não remunerados e nem impactam prazo de atendimento.
3 - Contrato: AIEs serão remunerados à Contratada..
4 - Contrato: A Equipe CAIXA deverá indicar o que é AIE Esforço e o que não é.</t>
        </r>
      </text>
    </comment>
    <comment ref="D75" authorId="1">
      <text>
        <r>
          <rPr>
            <b/>
            <sz val="8"/>
            <color indexed="81"/>
            <rFont val="Tahoma"/>
            <family val="2"/>
          </rPr>
          <t>CAIXA:</t>
        </r>
        <r>
          <rPr>
            <sz val="8"/>
            <color indexed="81"/>
            <rFont val="Tahoma"/>
            <family val="2"/>
          </rPr>
          <t xml:space="preserve">
PRODUTIVIDADE DA MANUTENÇÃO DE SISTEMAS</t>
        </r>
      </text>
    </comment>
    <comment ref="D82" authorId="2">
      <text>
        <r>
          <rPr>
            <b/>
            <sz val="8"/>
            <color indexed="81"/>
            <rFont val="Tahoma"/>
            <family val="2"/>
          </rPr>
          <t xml:space="preserve">
Produtividade de Manutenção de Sistemas</t>
        </r>
      </text>
    </comment>
    <comment ref="E82" authorId="2">
      <text>
        <r>
          <rPr>
            <b/>
            <sz val="8"/>
            <color indexed="81"/>
            <rFont val="Tahoma"/>
            <family val="2"/>
          </rPr>
          <t>Mesmo valor para PF e PF expresso.</t>
        </r>
      </text>
    </comment>
    <comment ref="D83" authorId="2">
      <text>
        <r>
          <rPr>
            <b/>
            <sz val="8"/>
            <color indexed="81"/>
            <rFont val="Tahoma"/>
            <family val="2"/>
          </rPr>
          <t>Produtividade de Manutenção de Sistemas</t>
        </r>
      </text>
    </comment>
    <comment ref="E83" authorId="2">
      <text>
        <r>
          <rPr>
            <b/>
            <sz val="8"/>
            <color indexed="81"/>
            <rFont val="Tahoma"/>
            <family val="2"/>
          </rPr>
          <t>Mesmo valor para PF e PF expresso.</t>
        </r>
      </text>
    </comment>
    <comment ref="D85" authorId="2">
      <text>
        <r>
          <rPr>
            <b/>
            <sz val="8"/>
            <color indexed="81"/>
            <rFont val="Tahoma"/>
            <family val="2"/>
          </rPr>
          <t>Produtividade de Manutenção de Sistemas</t>
        </r>
      </text>
    </comment>
    <comment ref="E85" authorId="2">
      <text>
        <r>
          <rPr>
            <b/>
            <sz val="8"/>
            <color indexed="81"/>
            <rFont val="Tahoma"/>
            <family val="2"/>
          </rPr>
          <t>PF Normal (diferente do valor de PF expresso, não utilizados nesta planilha)</t>
        </r>
      </text>
    </comment>
    <comment ref="D86" authorId="2">
      <text>
        <r>
          <rPr>
            <b/>
            <sz val="8"/>
            <color indexed="81"/>
            <rFont val="Tahoma"/>
            <family val="2"/>
          </rPr>
          <t>Produtividade de Manutenção de Sistemas</t>
        </r>
      </text>
    </comment>
    <comment ref="E86" authorId="2">
      <text>
        <r>
          <rPr>
            <b/>
            <sz val="8"/>
            <color indexed="81"/>
            <rFont val="Tahoma"/>
            <family val="2"/>
          </rPr>
          <t>PF Normal (diferente do valor de PF expresso, não utilizados nesta planilha)</t>
        </r>
      </text>
    </comment>
    <comment ref="D87" authorId="2">
      <text>
        <r>
          <rPr>
            <b/>
            <sz val="8"/>
            <color indexed="81"/>
            <rFont val="Tahoma"/>
            <family val="2"/>
          </rPr>
          <t>Produtividade de Manutenção de Sistemas</t>
        </r>
      </text>
    </comment>
    <comment ref="E87" authorId="2">
      <text>
        <r>
          <rPr>
            <b/>
            <sz val="8"/>
            <color indexed="81"/>
            <rFont val="Tahoma"/>
            <family val="2"/>
          </rPr>
          <t>PF Normal (diferente do valor de PF expresso, não utilizados nesta planilha)</t>
        </r>
      </text>
    </comment>
    <comment ref="D88" authorId="2">
      <text>
        <r>
          <rPr>
            <b/>
            <sz val="8"/>
            <color indexed="81"/>
            <rFont val="Tahoma"/>
            <family val="2"/>
          </rPr>
          <t>Produtividade de Manutenção de Sistemas</t>
        </r>
      </text>
    </comment>
    <comment ref="E88" authorId="2">
      <text>
        <r>
          <rPr>
            <b/>
            <sz val="8"/>
            <color indexed="81"/>
            <rFont val="Tahoma"/>
            <family val="2"/>
          </rPr>
          <t>PF Normal (diferente do valor de PF expresso, não utilizados nesta planilha)</t>
        </r>
      </text>
    </comment>
    <comment ref="E89" authorId="2">
      <text>
        <r>
          <rPr>
            <b/>
            <sz val="8"/>
            <color indexed="81"/>
            <rFont val="Tahoma"/>
            <family val="2"/>
          </rPr>
          <t>PF Normal (diferente do valor de PF expresso, não utilizados nesta planilha)</t>
        </r>
      </text>
    </comment>
    <comment ref="D90" authorId="2">
      <text>
        <r>
          <rPr>
            <b/>
            <sz val="8"/>
            <color indexed="81"/>
            <rFont val="Tahoma"/>
            <family val="2"/>
          </rPr>
          <t>Produtividade de Manutenção de Sistemas</t>
        </r>
      </text>
    </comment>
    <comment ref="E90" authorId="2">
      <text>
        <r>
          <rPr>
            <b/>
            <sz val="8"/>
            <color indexed="81"/>
            <rFont val="Tahoma"/>
            <family val="2"/>
          </rPr>
          <t>PF Normal (diferente do valor de PF expresso, não utilizados nesta planilha)</t>
        </r>
      </text>
    </comment>
    <comment ref="D91" authorId="2">
      <text>
        <r>
          <rPr>
            <b/>
            <sz val="8"/>
            <color indexed="81"/>
            <rFont val="Tahoma"/>
            <family val="2"/>
          </rPr>
          <t>Produtividade de Manutenção de Sistemas</t>
        </r>
      </text>
    </comment>
    <comment ref="D92" authorId="2">
      <text>
        <r>
          <rPr>
            <b/>
            <sz val="8"/>
            <color indexed="81"/>
            <rFont val="Tahoma"/>
            <family val="2"/>
          </rPr>
          <t>Produtividade de Manutenção de Sistemas</t>
        </r>
      </text>
    </comment>
    <comment ref="E92" authorId="2">
      <text>
        <r>
          <rPr>
            <b/>
            <sz val="8"/>
            <color indexed="81"/>
            <rFont val="Tahoma"/>
            <family val="2"/>
          </rPr>
          <t>PF Normal (diferente do valor de PF expresso, não utilizados nesta planilha)</t>
        </r>
      </text>
    </comment>
    <comment ref="D93" authorId="2">
      <text>
        <r>
          <rPr>
            <b/>
            <sz val="8"/>
            <color indexed="81"/>
            <rFont val="Tahoma"/>
            <family val="2"/>
          </rPr>
          <t>Produtividade de Manutenção de Sistemas</t>
        </r>
      </text>
    </comment>
    <comment ref="E93" authorId="2">
      <text>
        <r>
          <rPr>
            <b/>
            <sz val="8"/>
            <color indexed="81"/>
            <rFont val="Tahoma"/>
            <family val="2"/>
          </rPr>
          <t>PF Normal (diferente do valor de PF expresso, não utilizados nesta planilha)</t>
        </r>
      </text>
    </comment>
    <comment ref="D94" authorId="2">
      <text>
        <r>
          <rPr>
            <b/>
            <sz val="8"/>
            <color indexed="81"/>
            <rFont val="Tahoma"/>
            <family val="2"/>
          </rPr>
          <t>Produtividade de Manutenção de Sistemas</t>
        </r>
      </text>
    </comment>
    <comment ref="E94" authorId="2">
      <text>
        <r>
          <rPr>
            <b/>
            <sz val="8"/>
            <color indexed="81"/>
            <rFont val="Tahoma"/>
            <family val="2"/>
          </rPr>
          <t>Para este contrato não há denominação de PF Normal e PF expresso, há somente um valor.</t>
        </r>
      </text>
    </comment>
    <comment ref="D95" authorId="2">
      <text>
        <r>
          <rPr>
            <b/>
            <sz val="8"/>
            <color indexed="81"/>
            <rFont val="Tahoma"/>
            <family val="2"/>
          </rPr>
          <t>Produtividade de Manutenção de Sistemas</t>
        </r>
      </text>
    </comment>
    <comment ref="E95" authorId="2">
      <text>
        <r>
          <rPr>
            <b/>
            <sz val="8"/>
            <color indexed="81"/>
            <rFont val="Tahoma"/>
            <family val="2"/>
          </rPr>
          <t>PF Normal (diferente do valor de PF expresso, não utilizados nesta planilha)</t>
        </r>
      </text>
    </comment>
    <comment ref="D96" authorId="2">
      <text>
        <r>
          <rPr>
            <b/>
            <sz val="8"/>
            <color indexed="81"/>
            <rFont val="Tahoma"/>
            <family val="2"/>
          </rPr>
          <t>Produtividade de Manutenção de Sistemas</t>
        </r>
      </text>
    </comment>
    <comment ref="E96" authorId="2">
      <text>
        <r>
          <rPr>
            <b/>
            <sz val="8"/>
            <color indexed="81"/>
            <rFont val="Tahoma"/>
            <family val="2"/>
          </rPr>
          <t>PF Normal (diferente do valor de PF expresso, não utilizados nesta planilha)</t>
        </r>
      </text>
    </comment>
    <comment ref="D97" authorId="2">
      <text>
        <r>
          <rPr>
            <b/>
            <sz val="8"/>
            <color indexed="81"/>
            <rFont val="Tahoma"/>
            <family val="2"/>
          </rPr>
          <t>Produtividade de Manutenção de Sistemas</t>
        </r>
      </text>
    </comment>
    <comment ref="E97" authorId="2">
      <text>
        <r>
          <rPr>
            <b/>
            <sz val="8"/>
            <color indexed="81"/>
            <rFont val="Tahoma"/>
            <family val="2"/>
          </rPr>
          <t>PF Normal (diferente do valor de PF expresso, não utilizados nesta planilha)</t>
        </r>
      </text>
    </comment>
    <comment ref="D98" authorId="2">
      <text>
        <r>
          <rPr>
            <b/>
            <sz val="8"/>
            <color indexed="81"/>
            <rFont val="Tahoma"/>
            <family val="2"/>
          </rPr>
          <t>Produtividade de Manutenção de Sistemas</t>
        </r>
      </text>
    </comment>
    <comment ref="E98" authorId="2">
      <text>
        <r>
          <rPr>
            <b/>
            <sz val="8"/>
            <color indexed="81"/>
            <rFont val="Tahoma"/>
            <family val="2"/>
          </rPr>
          <t>PF Normal (diferente do valor de PF expresso, não utilizados nesta planilha)</t>
        </r>
      </text>
    </comment>
    <comment ref="D99" authorId="2">
      <text>
        <r>
          <rPr>
            <b/>
            <sz val="8"/>
            <color indexed="81"/>
            <rFont val="Tahoma"/>
            <family val="2"/>
          </rPr>
          <t>Produtividade de Manutenção de Sistemas</t>
        </r>
      </text>
    </comment>
    <comment ref="E99" authorId="2">
      <text>
        <r>
          <rPr>
            <b/>
            <sz val="8"/>
            <color indexed="81"/>
            <rFont val="Tahoma"/>
            <family val="2"/>
          </rPr>
          <t>PF Normal (diferente do valor de PF expresso, não utilizados nesta planilha)</t>
        </r>
      </text>
    </comment>
    <comment ref="D100" authorId="2">
      <text>
        <r>
          <rPr>
            <b/>
            <sz val="8"/>
            <color indexed="81"/>
            <rFont val="Tahoma"/>
            <family val="2"/>
          </rPr>
          <t>FSW inserida apenas para efeito de preenchimento do FSDMS, não será utilizada nas planilhas de estimativas</t>
        </r>
      </text>
    </comment>
    <comment ref="E100" authorId="2">
      <text>
        <r>
          <rPr>
            <b/>
            <sz val="8"/>
            <color indexed="81"/>
            <rFont val="Tahoma"/>
            <family val="2"/>
          </rPr>
          <t>PF Normal (diferente do valor de PF expresso, não utilizados nesta planilha)</t>
        </r>
      </text>
    </comment>
    <comment ref="D101" authorId="2">
      <text>
        <r>
          <rPr>
            <b/>
            <sz val="8"/>
            <color indexed="81"/>
            <rFont val="Tahoma"/>
            <family val="2"/>
          </rPr>
          <t>FSW inserida apenas para efeito de preenchimento do FSDMS, não será utilizada nas planilhas de estimativas</t>
        </r>
      </text>
    </comment>
    <comment ref="E101" authorId="2">
      <text>
        <r>
          <rPr>
            <b/>
            <sz val="8"/>
            <color indexed="81"/>
            <rFont val="Tahoma"/>
            <family val="2"/>
          </rPr>
          <t>PF Normal (diferente do valor de PF expresso, não utilizados nesta planilha)</t>
        </r>
      </text>
    </comment>
    <comment ref="D103" authorId="2">
      <text>
        <r>
          <rPr>
            <b/>
            <sz val="8"/>
            <color indexed="81"/>
            <rFont val="Tahoma"/>
            <family val="2"/>
          </rPr>
          <t>Produtividade de Manutenção de Sistemas</t>
        </r>
      </text>
    </comment>
  </commentList>
</comments>
</file>

<file path=xl/sharedStrings.xml><?xml version="1.0" encoding="utf-8"?>
<sst xmlns="http://schemas.openxmlformats.org/spreadsheetml/2006/main" count="1871" uniqueCount="1031">
  <si>
    <t>CK!A)=a=uEcYRJb</t>
  </si>
  <si>
    <t>FORMULÁRIO DE SOLICITAÇÃO DE DEMANDA DE MENSURAÇÃO DE SOFTWARE</t>
  </si>
  <si>
    <t>Data</t>
  </si>
  <si>
    <t xml:space="preserve">1. Solicitante (Supervisor de TI/Gerente de Projeto
da CAIXA e unidade responsável): </t>
  </si>
  <si>
    <t>2. Telefone para contato:</t>
  </si>
  <si>
    <t xml:space="preserve">3. Responsável pela abertura da demanda, 
caso não seja o próprio solicitante: </t>
  </si>
  <si>
    <t>4. Telefone para contato:</t>
  </si>
  <si>
    <t>5. Sigla do Sistema – Subsistema - Módulo a ser contado:</t>
  </si>
  <si>
    <t>6. Código do Projeto / Serviço SIAPP:</t>
  </si>
  <si>
    <t>6a. Vários RTCs/Itens de backlog?</t>
  </si>
  <si>
    <t>7. Número da Solicitação</t>
  </si>
  <si>
    <t xml:space="preserve">8. Código da Demanda/OS </t>
  </si>
  <si>
    <t>9. Tipo da demanda:</t>
  </si>
  <si>
    <t>Contagem de PF / SNAP / UST</t>
  </si>
  <si>
    <t>Validação de contagem  PF / SNAP / UST</t>
  </si>
  <si>
    <t xml:space="preserve">Outros. Qual? </t>
  </si>
  <si>
    <t>10. Tipo da contagem:</t>
  </si>
  <si>
    <t>11.  Método da contagem:</t>
  </si>
  <si>
    <t>Novo Desenvolvimento</t>
  </si>
  <si>
    <t>Indicativa - NESMA</t>
  </si>
  <si>
    <t>Melhoria</t>
  </si>
  <si>
    <t>Estimada - NESMA</t>
  </si>
  <si>
    <t>Aplicação</t>
  </si>
  <si>
    <t>Detalhada - IFPUG</t>
  </si>
  <si>
    <t>Estimada - SNAP</t>
  </si>
  <si>
    <t>Detalhada - SNAP</t>
  </si>
  <si>
    <t>12. A contagem refere-se a uma ALTERAÇÃO DE ESCOPO?</t>
  </si>
  <si>
    <t xml:space="preserve">Sim </t>
  </si>
  <si>
    <t>Não</t>
  </si>
  <si>
    <t>13.  Propósito da Contagem (objetivo ou finalidade da contagem) marcar com X:</t>
  </si>
  <si>
    <t>Contratação de uma ou mais fases de Projetos</t>
  </si>
  <si>
    <t>Contratação de Manutenção Evolutiva</t>
  </si>
  <si>
    <t>Contratação de Manutenção Perfectiva</t>
  </si>
  <si>
    <t>Contratação de Manutenção Adaptativa</t>
  </si>
  <si>
    <t>Contratação de Manutenção Corretiva</t>
  </si>
  <si>
    <t>Ajuste financeiro</t>
  </si>
  <si>
    <t>Obter estimativa de duração para elaboração de documentação (sistema legado)</t>
  </si>
  <si>
    <t>Projeto de Migração de Base de Dados</t>
  </si>
  <si>
    <t>Determinar o tamanho da aplicação instalada</t>
  </si>
  <si>
    <t>Projeto de Geração de Interface e Integração</t>
  </si>
  <si>
    <t>14. Caso o tipo da demanda seja Contagem Interna ou Validação, favor preencher o quadro abaixo:</t>
  </si>
  <si>
    <t>Quem executou a contagem?</t>
  </si>
  <si>
    <t>Responsável pela contagem</t>
  </si>
  <si>
    <t>Telefone de contato</t>
  </si>
  <si>
    <t>Empregado CAIXA</t>
  </si>
  <si>
    <t>15. Metodologia utilizada pelo projeto:</t>
  </si>
  <si>
    <t>16. Fase do projeto:
(se for o caso, identificar a iteração)</t>
  </si>
  <si>
    <t>Estimativa de Pontos de Função para o atendimento a ser informado no SIGCP (Instruções em anexo)</t>
  </si>
  <si>
    <t>Não se Aplica</t>
  </si>
  <si>
    <t xml:space="preserve">17a. VFA: Valor do Fator de Ajuste autorizado (preencher se diferente de 1): </t>
  </si>
  <si>
    <t xml:space="preserve">17b. Fábrica de Software responsável pelo Serviço: </t>
  </si>
  <si>
    <t xml:space="preserve">18. AIE passíveis de remuneração (listar os AIE que não possuem componentes de integração desenvolvidos) </t>
  </si>
  <si>
    <t xml:space="preserve">19. Forma de disponibilização da documentação para a contagem  </t>
  </si>
  <si>
    <t xml:space="preserve">ClearCase </t>
  </si>
  <si>
    <t>Em pasta pública de computador CAIXA (Apenas para RJ e SP, até o fim da implantação do ClearCase)</t>
  </si>
  <si>
    <t xml:space="preserve">Enviada em anexo por email                                  </t>
  </si>
  <si>
    <t>Anexa ao RTC</t>
  </si>
  <si>
    <t>SAP Solution Manager</t>
  </si>
  <si>
    <t>20. Documentação da Contagem (listar os documentos disponíveis para contagem)</t>
  </si>
  <si>
    <t xml:space="preserve">Quantidade de Requisitos/Casos de Uso: </t>
  </si>
  <si>
    <t>20a.CASO DE USO OU REQUISITO</t>
  </si>
  <si>
    <t>Cód. do
Item</t>
  </si>
  <si>
    <t>Nome do Requisito/Caso de Uso</t>
  </si>
  <si>
    <t>Versão</t>
  </si>
  <si>
    <t>Situação do item 
(Incluído, Alterado, Excluído, N/A)</t>
  </si>
  <si>
    <t>Endereço ( e outras observações)</t>
  </si>
  <si>
    <t>1.</t>
  </si>
  <si>
    <t>2.</t>
  </si>
  <si>
    <t>3.</t>
  </si>
  <si>
    <t>4.</t>
  </si>
  <si>
    <t>5.</t>
  </si>
  <si>
    <t>6.</t>
  </si>
  <si>
    <t>7.</t>
  </si>
  <si>
    <t>8.</t>
  </si>
  <si>
    <t>9.</t>
  </si>
  <si>
    <t>10.</t>
  </si>
  <si>
    <t>11.</t>
  </si>
  <si>
    <t>12.</t>
  </si>
  <si>
    <t>13.</t>
  </si>
  <si>
    <t>14.</t>
  </si>
  <si>
    <t>15.</t>
  </si>
  <si>
    <t>20b. Outros artefatos disponíveis para a contagem</t>
  </si>
  <si>
    <t>Artefato</t>
  </si>
  <si>
    <t>21. Considerações Gerais</t>
  </si>
  <si>
    <t>Preenchimento Responsável pela mensuração</t>
  </si>
  <si>
    <t>22. Considerações sobre a Documentação</t>
  </si>
  <si>
    <t>23. Considerações sobre a Contagem</t>
  </si>
  <si>
    <t>24. Responsável pela mensuração</t>
  </si>
  <si>
    <t>CFPS</t>
  </si>
  <si>
    <t>Nome</t>
  </si>
  <si>
    <t xml:space="preserve">25. Versão da Contagem </t>
  </si>
  <si>
    <t>Obs: Caso haja necessidade de mais linhas, executar a macro de inserção de linhas (Alt + F8) e informar a quantidade de linhas necessárias.</t>
  </si>
  <si>
    <t xml:space="preserve">Método: </t>
  </si>
  <si>
    <t>Funções de Dados</t>
  </si>
  <si>
    <t>Grupo do Requisito/UC</t>
  </si>
  <si>
    <t>Nº do Requisito/UC</t>
  </si>
  <si>
    <t>Nome do Requisito/UC</t>
  </si>
  <si>
    <t>Nome da Função</t>
  </si>
  <si>
    <t>Status no Serviço</t>
  </si>
  <si>
    <t>Status Alteração  Escopo</t>
  </si>
  <si>
    <t>Tipo</t>
  </si>
  <si>
    <t>RLR</t>
  </si>
  <si>
    <t>DER</t>
  </si>
  <si>
    <t>Complexidade</t>
  </si>
  <si>
    <t>PF</t>
  </si>
  <si>
    <t>PF
Anterior</t>
  </si>
  <si>
    <t>Observações</t>
  </si>
  <si>
    <t>PF Normal</t>
  </si>
  <si>
    <t>PF Alt Escopo</t>
  </si>
  <si>
    <t>Função</t>
  </si>
  <si>
    <t>Qtd</t>
  </si>
  <si>
    <t>Descrição</t>
  </si>
  <si>
    <t>FIMDADOS</t>
  </si>
  <si>
    <t>TOTAL</t>
  </si>
  <si>
    <t>Funções Transacionais</t>
  </si>
  <si>
    <t>ALR</t>
  </si>
  <si>
    <t>FIMTRANSACAO</t>
  </si>
  <si>
    <t>Estimada</t>
  </si>
  <si>
    <t>UNIDADE DE CONTAGEM SNAP</t>
  </si>
  <si>
    <t>Identificação da UCS</t>
  </si>
  <si>
    <t>Tipo de Função</t>
  </si>
  <si>
    <t>Tamanho PF</t>
  </si>
  <si>
    <t>Status Serviço</t>
  </si>
  <si>
    <t>Subcategoria</t>
  </si>
  <si>
    <t>Tipo UCS</t>
  </si>
  <si>
    <t>Parâmetro de Complexidade 1</t>
  </si>
  <si>
    <t>Parâmetro de Complexidade 2</t>
  </si>
  <si>
    <t>Parâmetro de Complexidade 3</t>
  </si>
  <si>
    <t xml:space="preserve">PS </t>
  </si>
  <si>
    <t>PS
Anterior</t>
  </si>
  <si>
    <t>Homologado</t>
  </si>
  <si>
    <t>Convertido</t>
  </si>
  <si>
    <t>Tipo Parâmetro</t>
  </si>
  <si>
    <t>Parâmetro</t>
  </si>
  <si>
    <t>FIMSNAP</t>
  </si>
  <si>
    <t>MARCADOR DE TOTAL DA PANILHA SNAP</t>
  </si>
  <si>
    <t>Formulário de Informações de RTCs</t>
  </si>
  <si>
    <t>Só utilize esta planilha caso a contagem esteja vinculada a mais de um RTC/Item de backlog</t>
  </si>
  <si>
    <t>? Ajuda</t>
  </si>
  <si>
    <t>Nº</t>
  </si>
  <si>
    <t>RTC/Itens de backlog</t>
  </si>
  <si>
    <t>PFI</t>
  </si>
  <si>
    <t>PFA</t>
  </si>
  <si>
    <t>PFE</t>
  </si>
  <si>
    <t>FUNÇÕES DE DADOS / 
FUNÇÕES TRANSACIONAIS / 
IDENTIFICAÇÃO DA UCS</t>
  </si>
  <si>
    <t>Mnt</t>
  </si>
  <si>
    <t>R T C</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</si>
  <si>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</si>
  <si>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</si>
  <si>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</si>
  <si>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</si>
  <si>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</si>
  <si>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</si>
  <si>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</si>
  <si>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</si>
  <si>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</si>
  <si>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</si>
  <si>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</si>
  <si>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</si>
  <si>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</si>
  <si>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</si>
  <si>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</si>
  <si>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</si>
  <si>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</si>
  <si>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</si>
  <si>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</si>
  <si>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</si>
  <si>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</si>
  <si>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</si>
  <si>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</si>
  <si>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</si>
  <si>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</si>
  <si>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</si>
  <si>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</si>
  <si>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</si>
  <si>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</si>
  <si>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</si>
  <si>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</si>
  <si>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</si>
  <si>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</si>
  <si>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</si>
  <si>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</si>
  <si>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</si>
  <si>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</si>
  <si>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</si>
  <si>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</si>
  <si>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</si>
  <si>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</si>
  <si>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</si>
  <si>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</si>
  <si>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</si>
  <si>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</si>
  <si>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</si>
  <si>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</si>
  <si>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</si>
  <si>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</si>
  <si>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</si>
  <si>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</si>
  <si>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</si>
  <si>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</si>
  <si>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</si>
  <si>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</si>
  <si>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</si>
  <si>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</si>
  <si>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</si>
  <si>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</si>
  <si>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</si>
  <si>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</si>
  <si>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</si>
  <si>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</si>
  <si>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</si>
  <si>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</si>
  <si>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</si>
  <si>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</si>
  <si>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</si>
  <si>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</si>
  <si>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</si>
  <si>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</si>
  <si>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</si>
  <si>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</si>
  <si>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</si>
  <si>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</si>
  <si>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</si>
  <si>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</si>
  <si>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</si>
  <si>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</si>
  <si>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</si>
  <si>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</si>
  <si>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</si>
  <si>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</si>
  <si>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</si>
  <si>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</si>
  <si>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FIMFUNCOESRTC</t>
  </si>
  <si>
    <t>Total de PF</t>
  </si>
  <si>
    <t>Baixa</t>
  </si>
  <si>
    <t>Média</t>
  </si>
  <si>
    <t>Alta</t>
  </si>
  <si>
    <t>AIE</t>
  </si>
  <si>
    <t>AIE esforço</t>
  </si>
  <si>
    <t>ALI</t>
  </si>
  <si>
    <t>EE</t>
  </si>
  <si>
    <t>SE</t>
  </si>
  <si>
    <t>CE</t>
  </si>
  <si>
    <t>Parâmetros para Alteração de Escopo</t>
  </si>
  <si>
    <t>PONTOS SNAP DE SUBCATEGORIAS HOMOLOGADAS</t>
  </si>
  <si>
    <t xml:space="preserve">Total de Pontos de Função Incluídos (PI) </t>
  </si>
  <si>
    <t>Total de Pontos SNAP Incluidos</t>
  </si>
  <si>
    <t xml:space="preserve">Total de Pontos de Função Alterados (PA) </t>
  </si>
  <si>
    <t>Total de Pontos SNAP Alterados</t>
  </si>
  <si>
    <t>Total de Pontos de Função Excluídos (PE)</t>
  </si>
  <si>
    <t>Total de Pontos SNAP Excluídos</t>
  </si>
  <si>
    <t xml:space="preserve">Tamanho Funcional do Serviço Não Ajustado (PFNA): </t>
  </si>
  <si>
    <t>Informações do Serviço p/ Contratação SIGCT (Fábrica de Métricas)</t>
  </si>
  <si>
    <t xml:space="preserve">Total de PF p/ Contratação FSW (AIE conforme Contrato): </t>
  </si>
  <si>
    <t>Total de Ponto de Função do Serviço (PF)</t>
  </si>
  <si>
    <t xml:space="preserve">Total de PF p/ Esforço (Considerando funções I, A e E): </t>
  </si>
  <si>
    <t>Total de Pontos SNAP do Serviço (PS)</t>
  </si>
  <si>
    <t xml:space="preserve">Valor do Fator de Ajuste (VAF): </t>
  </si>
  <si>
    <t xml:space="preserve">Tamanho Funcional do Serviço (Ajustado) : </t>
  </si>
  <si>
    <t>Informações do Serviço p/ Contratação SIGCT em PF (FSW)</t>
  </si>
  <si>
    <t>Informações do Serviço p/ Contratação SIGCT em PS (FSW)</t>
  </si>
  <si>
    <t xml:space="preserve">Total de Pontos de Função Incluídos: </t>
  </si>
  <si>
    <t>Total de Pontos SNAP convertidos em PF Incluídos</t>
  </si>
  <si>
    <t xml:space="preserve">Total de Pontos de Função Alterados: </t>
  </si>
  <si>
    <t>Total de Pontos SNAP convertidos em PF Alterados</t>
  </si>
  <si>
    <t xml:space="preserve">Total de Pontos de Função Excluídos: </t>
  </si>
  <si>
    <t>Total de Pontos SNAP convertidos em PF Excluídos</t>
  </si>
  <si>
    <t>Total de Pontos de Função p/Contratação SIGCT em PF</t>
  </si>
  <si>
    <t>Total de Pontos SNAP convertidos em PF</t>
  </si>
  <si>
    <t>Pontos de Função Derivados de Itens Não Mensuráveis</t>
  </si>
  <si>
    <t>Total de PF (INM)</t>
  </si>
  <si>
    <t xml:space="preserve">TABELA PARA O SEGMENTO - UST </t>
  </si>
  <si>
    <t>Informações do Serviço para Contratação em UST</t>
  </si>
  <si>
    <t>Informações do Serviço para Contratação em UST - Portal Conteúdo</t>
  </si>
  <si>
    <t>Total de U.S.T.</t>
  </si>
  <si>
    <t>Fator de conversão PF em UST (I)</t>
  </si>
  <si>
    <t>Valor da U.S.T.</t>
  </si>
  <si>
    <t>Fator de conversão PF em UST (A)</t>
  </si>
  <si>
    <t>Total da Remuneração</t>
  </si>
  <si>
    <t>Fator de conversão PF em UST (E)</t>
  </si>
  <si>
    <t>Total de UST do Serviço</t>
  </si>
  <si>
    <t>Não há motivo para manter remuneração (células acima) visto que este cálculo deverá ser feito nas planilhas de estimativas</t>
  </si>
  <si>
    <t>CATEGORIZAÇÃO DOS SERVIÇOS DE SUPORTE
 À IDENTIFICAÇÃO DE ITENS NÃO MENSURÁVEIS</t>
  </si>
  <si>
    <t>QTDE DEMANDAS</t>
  </si>
  <si>
    <t>FAIXA</t>
  </si>
  <si>
    <t>COMPLEXIDADE</t>
  </si>
  <si>
    <t>ABRANGÊNCIA</t>
  </si>
  <si>
    <t>CATEGORIA DO SERVIÇO</t>
  </si>
  <si>
    <t>QTDE HORAS DO SERVIÇO (Remuneração FSW Métricas)</t>
  </si>
  <si>
    <t>PRAZO ATENDIMENTO (HORAS)</t>
  </si>
  <si>
    <t>&lt; 7</t>
  </si>
  <si>
    <t>MÉDIO</t>
  </si>
  <si>
    <t>ALTO</t>
  </si>
  <si>
    <t>JUSTIFICATIVA GRAU DE COMPLEXIDADE DO PROBLEMA</t>
  </si>
  <si>
    <t>JUSTIFICATIVA GRAU DE ABRANGÊNCIA DO TEMA</t>
  </si>
  <si>
    <t>BAIXO</t>
  </si>
  <si>
    <t>7 a 11</t>
  </si>
  <si>
    <t>12 a 28</t>
  </si>
  <si>
    <t>Projeto de Melhoria?</t>
  </si>
  <si>
    <t>NÃO</t>
  </si>
  <si>
    <t>Utilizar VAF?</t>
  </si>
  <si>
    <t xml:space="preserve">Produtividade da Equipe: </t>
  </si>
  <si>
    <t>Tipo de Elemento</t>
  </si>
  <si>
    <t>NA</t>
  </si>
  <si>
    <t>Tabela de Complexidade</t>
  </si>
  <si>
    <t>CATEGORIZAÇÃO DOS SERVIÇOS DE SUPORTE
 À APLICAÇÃO DA TÉCNICA DE MENSURAÇÃO</t>
  </si>
  <si>
    <t>ALI e AIE</t>
  </si>
  <si>
    <t>1 a 19 DERs</t>
  </si>
  <si>
    <t>20 a 50 DERs</t>
  </si>
  <si>
    <t>51 ou + DERs</t>
  </si>
  <si>
    <t>QTDE HORAS DO SERVIÇO</t>
  </si>
  <si>
    <t>PRAZO ATENDIMENTO</t>
  </si>
  <si>
    <t>1 RLR</t>
  </si>
  <si>
    <t>A</t>
  </si>
  <si>
    <t>2 a 5 RLRs</t>
  </si>
  <si>
    <t>B</t>
  </si>
  <si>
    <t>6 ou + RLRs</t>
  </si>
  <si>
    <t>C</t>
  </si>
  <si>
    <t>1 a 4 DERs</t>
  </si>
  <si>
    <t>5 a 15 DERs</t>
  </si>
  <si>
    <t>16 ou + DERs</t>
  </si>
  <si>
    <t>0 a 1 ALR</t>
  </si>
  <si>
    <t>2 ALRs</t>
  </si>
  <si>
    <t>D</t>
  </si>
  <si>
    <t>3 ou + ALRs</t>
  </si>
  <si>
    <t>E</t>
  </si>
  <si>
    <t>SE e CE</t>
  </si>
  <si>
    <t>1 a 5 DERs</t>
  </si>
  <si>
    <t>6 a 19 DERs</t>
  </si>
  <si>
    <t>20 ou + DERs</t>
  </si>
  <si>
    <t>2 a 3 ALRs</t>
  </si>
  <si>
    <t>4 ou + ALRs</t>
  </si>
  <si>
    <t>Tabela de Enquadramento da Complexidade</t>
  </si>
  <si>
    <t>Tipo/Complexidade</t>
  </si>
  <si>
    <t>F</t>
  </si>
  <si>
    <t>Tipo de Contagem</t>
  </si>
  <si>
    <t>Indicativa</t>
  </si>
  <si>
    <t>Detalhada</t>
  </si>
  <si>
    <t>G</t>
  </si>
  <si>
    <t>I</t>
  </si>
  <si>
    <t>SubCategoria SNAP</t>
  </si>
  <si>
    <t>SNAP - Fatores de Conversão em PF</t>
  </si>
  <si>
    <t>1.1 - Validações na Entrada de Dados</t>
  </si>
  <si>
    <t>PgALR</t>
  </si>
  <si>
    <t>TE049</t>
  </si>
  <si>
    <t>TE049 - Anteprojeto</t>
  </si>
  <si>
    <t>1.2 - Operações Lógicas e Matemáticas</t>
  </si>
  <si>
    <t>PgDER</t>
  </si>
  <si>
    <t>TE049 - Planejamento</t>
  </si>
  <si>
    <t>1.3 - Formatação de Dados</t>
  </si>
  <si>
    <t>TE049 - Análise da Área de Negócio</t>
  </si>
  <si>
    <t>1.4 - Movimentaçao Interna de Dados</t>
  </si>
  <si>
    <t>TE049 - Projeto do Sistema de Negócio</t>
  </si>
  <si>
    <t>1.5 - Valor Agregado por Configuração de Dados</t>
  </si>
  <si>
    <t>TE049 - Projeto Técnico e Construção</t>
  </si>
  <si>
    <t>2.1 - Interface com Usuário</t>
  </si>
  <si>
    <t>TE049 - Homologação</t>
  </si>
  <si>
    <t>2.2 - Métodos de Ajuda</t>
  </si>
  <si>
    <t>TE049 - Implantação</t>
  </si>
  <si>
    <t>2.3 - Múltiplos Métodos de Entrada</t>
  </si>
  <si>
    <t>TE151</t>
  </si>
  <si>
    <t>TE151 - Iniciação</t>
  </si>
  <si>
    <t>2.4 - Múltiplos Métodos de Saída</t>
  </si>
  <si>
    <t>TE151 - Elaboração</t>
  </si>
  <si>
    <t>3.1 - Múltiplas Plataformas</t>
  </si>
  <si>
    <t>TE151 - Construção</t>
  </si>
  <si>
    <t>3.2 - Tecnologia de Banco de Dados</t>
  </si>
  <si>
    <t>TE151 - Transição</t>
  </si>
  <si>
    <t>3.3 - Processos Batch</t>
  </si>
  <si>
    <t>4.1 - Software Baseado em Componentes</t>
  </si>
  <si>
    <t>Desenvolvimento de Novos Aplicativos</t>
  </si>
  <si>
    <t>4.2 - Múltiplas Interfaces de Entrada/Saída</t>
  </si>
  <si>
    <t>SIM</t>
  </si>
  <si>
    <t>Categorias SNAP Autorizadas por Fábrica de Software</t>
  </si>
  <si>
    <t>Remuneração AIE</t>
  </si>
  <si>
    <t>VAF Migração</t>
  </si>
  <si>
    <t>Nº FSW</t>
  </si>
  <si>
    <t>Nome e Área FSW</t>
  </si>
  <si>
    <t>Área FSW</t>
  </si>
  <si>
    <t>Produtividade</t>
  </si>
  <si>
    <t>PF em R$</t>
  </si>
  <si>
    <t>UST</t>
  </si>
  <si>
    <t>UST 2</t>
  </si>
  <si>
    <t>FSW escolhida no FSDMS:</t>
  </si>
  <si>
    <t>1.1</t>
  </si>
  <si>
    <t>1.2</t>
  </si>
  <si>
    <t>1.3</t>
  </si>
  <si>
    <t>1.4</t>
  </si>
  <si>
    <t>1.5</t>
  </si>
  <si>
    <t>2.1</t>
  </si>
  <si>
    <t>2.2</t>
  </si>
  <si>
    <t>2.3</t>
  </si>
  <si>
    <t>2.4</t>
  </si>
  <si>
    <t>3.1</t>
  </si>
  <si>
    <t>3.2</t>
  </si>
  <si>
    <t>3.3</t>
  </si>
  <si>
    <t>4.1</t>
  </si>
  <si>
    <t>4.2</t>
  </si>
  <si>
    <t>DBA - IBM/IDMS</t>
  </si>
  <si>
    <t>IBM / IDMS</t>
  </si>
  <si>
    <t>S</t>
  </si>
  <si>
    <t>STEFANINI - IBM/DB2</t>
  </si>
  <si>
    <t>IBM / DB2</t>
  </si>
  <si>
    <t>DBA - SUN/ORACLE</t>
  </si>
  <si>
    <t>SUN / ORACLE</t>
  </si>
  <si>
    <t>POLITEC - CACHÉ/MUMPS</t>
  </si>
  <si>
    <t>CACHÉ / MUMPS</t>
  </si>
  <si>
    <t>DBA - WEB</t>
  </si>
  <si>
    <t>WEB</t>
  </si>
  <si>
    <t>DIEBOLD</t>
  </si>
  <si>
    <t>AUTOMAÇÃO</t>
  </si>
  <si>
    <t>INDRA/POLITEC EF</t>
  </si>
  <si>
    <t>EMPRESTAR/FINANCIAR</t>
  </si>
  <si>
    <t>POLITEC - Risco</t>
  </si>
  <si>
    <t>RISCO</t>
  </si>
  <si>
    <t>CMA - Home Broker</t>
  </si>
  <si>
    <t>HOME BROKER</t>
  </si>
  <si>
    <t>MSA - Bancarios Backoffice (Cnt. 4423/2012)</t>
  </si>
  <si>
    <t>BANCÁRIOS BACKOFFICE</t>
  </si>
  <si>
    <t>MSA - Administrativos e Cadastros</t>
  </si>
  <si>
    <t>ADM CADASTROS</t>
  </si>
  <si>
    <t>STEFANINI - Programas Sociais</t>
  </si>
  <si>
    <t>SOCIAIS</t>
  </si>
  <si>
    <t>STEFANINI - Fundos e Seguros</t>
  </si>
  <si>
    <t>FUNDOS E SEGUROS</t>
  </si>
  <si>
    <t>STEFANINI - Captar Recursos  (Cnt. 5405/2012)</t>
  </si>
  <si>
    <t>CAPTAR RECURSOS</t>
  </si>
  <si>
    <t>BRQ/CAST/BSI - Financeiro e Controladoria</t>
  </si>
  <si>
    <t>FINANCEIRO E CONTROLADORIA</t>
  </si>
  <si>
    <t>GLOBALWEB/DBA - Desenv. Urbano Habitação</t>
  </si>
  <si>
    <t>DESENV. URBANO HABITAÇÃO</t>
  </si>
  <si>
    <t>BRQ - Multicanal</t>
  </si>
  <si>
    <t>MULTICANAL</t>
  </si>
  <si>
    <t>BRQ/CAST/BSI - Canais (Cnt. 6428/2012)</t>
  </si>
  <si>
    <t>CANAIS</t>
  </si>
  <si>
    <t>CPM BRAXIS - Novo Banking</t>
  </si>
  <si>
    <t>NOVO BANKING</t>
  </si>
  <si>
    <t>INDRA/POLITEC Cartões</t>
  </si>
  <si>
    <t>CARTÕES</t>
  </si>
  <si>
    <t>DBA/WEB - Infraestrutura/Georeferenc (Cnt. 1497/2013)</t>
  </si>
  <si>
    <t>INFRAESTRUT/GEOREFERENC</t>
  </si>
  <si>
    <t>DBA/WEB - Certificação Digital (Cnt. 1497/2013)</t>
  </si>
  <si>
    <t>CERTIFICAÇÃO DIGITAL</t>
  </si>
  <si>
    <t>DBA/WEB - Aplicação Web (Cnt. 1497/2013)</t>
  </si>
  <si>
    <t>APLICAÇÃO WEB</t>
  </si>
  <si>
    <t>DBA/WEB - Business Intelligence (Cnt. 1497/2013)</t>
  </si>
  <si>
    <t>BUSINESS INTELLIGENCE</t>
  </si>
  <si>
    <t>BULL</t>
  </si>
  <si>
    <t>MONITORAÇÃO E TRATAMENTO FRAUDE DOCUMENTAL</t>
  </si>
  <si>
    <t>PROCOMP</t>
  </si>
  <si>
    <t>INDRA/POLITEC - Habitação</t>
  </si>
  <si>
    <t>HABITAÇÃO</t>
  </si>
  <si>
    <t>CPM/BRAXIS - Mobile (Cnt. 0656/2014)</t>
  </si>
  <si>
    <t>APLICATIVOS MÓVEIS</t>
  </si>
  <si>
    <t>DBA/WEB - Portal de Conteúdo (Cnt. 1497/2013)</t>
  </si>
  <si>
    <t>PORTAL CONTEÚDO</t>
  </si>
  <si>
    <t>FÓTON (Cnt. 6870/2015)</t>
  </si>
  <si>
    <t xml:space="preserve">AUTOMAÇÃO </t>
  </si>
  <si>
    <t>CPM BRAXIS/VIVERE - Crédito Imobiliário</t>
  </si>
  <si>
    <t>CREDITO IMOBILIARIO</t>
  </si>
  <si>
    <t>MAPS - Custódia Qualificada</t>
  </si>
  <si>
    <t>CUSTÓDIA QUALIFICADA</t>
  </si>
  <si>
    <t>CPM BRAXIS - SAP</t>
  </si>
  <si>
    <t>SAP</t>
  </si>
  <si>
    <t>CAST - Financeiro (Cnt. 144/2017)</t>
  </si>
  <si>
    <t xml:space="preserve">FINANCEIRO </t>
  </si>
  <si>
    <t>SPREAD - Controladoria (Cnt. 180/2017)</t>
  </si>
  <si>
    <t xml:space="preserve">CONTROLADORIA </t>
  </si>
  <si>
    <t>TIVIT - Emprestar e Financiar (Cnt. 263/2017)</t>
  </si>
  <si>
    <t xml:space="preserve">EMPRESTAR/FINANCIAR </t>
  </si>
  <si>
    <t>BRQ - Barramento (Cnt. 310/2017)</t>
  </si>
  <si>
    <t xml:space="preserve">BARRAMENTO </t>
  </si>
  <si>
    <t>FIRST DECISION - BI (Cnt. 326/2017)</t>
  </si>
  <si>
    <t xml:space="preserve">BI </t>
  </si>
  <si>
    <t>SPREAD - Risco (Cnt. 355/2017)</t>
  </si>
  <si>
    <t>SPREAD - Cartões de Débito (Cnt. 356/2017)</t>
  </si>
  <si>
    <t>CARTÕES DE DÉBITO</t>
  </si>
  <si>
    <t>CPM/BRAXIS - Tecn.Móveis (Cnt. 9013/2016)</t>
  </si>
  <si>
    <t>TECNOLOGIAS MÓVEIS</t>
  </si>
  <si>
    <t>MAGNA - Barramento (Cnt.3483/2017)</t>
  </si>
  <si>
    <t>BARRAMENTO</t>
  </si>
  <si>
    <t>BRQ - Ágil (Cnt. 14.132/2017</t>
  </si>
  <si>
    <t>ÁGIL</t>
  </si>
  <si>
    <t>CAST - Administrativo/Cadastro (Cnt. 11.258/2017)</t>
  </si>
  <si>
    <t>RESOURCE - Programas Sociais (Cnt. 11.410/2017)</t>
  </si>
  <si>
    <t>PROGRAMAS SOCIAIS</t>
  </si>
  <si>
    <t>TTY - Fundos e Seguros (Cnt. 11.409/2017)</t>
  </si>
  <si>
    <t>UNISYS - PeDes BH (Cnt. 1200/2013)</t>
  </si>
  <si>
    <t>PeDes MG</t>
  </si>
  <si>
    <t>HITSS - PeDes DF-PE (Cnt. 1529/2017)</t>
  </si>
  <si>
    <t>PeDes DF-PE</t>
  </si>
  <si>
    <t>SPASSU - PeDes PR (Cnt. 3563/2013)</t>
  </si>
  <si>
    <t>PeDes PR</t>
  </si>
  <si>
    <t>TOBRASIL - PeDes GO (Cnt. 5032/2014)</t>
  </si>
  <si>
    <t>PeDes GO</t>
  </si>
  <si>
    <t>STEFANINI - PeDes CE (Cnt. 7910/2016)</t>
  </si>
  <si>
    <t>PeDes CE</t>
  </si>
  <si>
    <t>DATAINFO - PeDes BA (Cnt. 9471/2017)</t>
  </si>
  <si>
    <t>PeDes BA</t>
  </si>
  <si>
    <t>DATAINFO - PeDes SC (Cnt. 3934/2016)</t>
  </si>
  <si>
    <t>PeDes SC</t>
  </si>
  <si>
    <t>GLOBALWEB - FGTS (Cnt. 14225/2017)</t>
  </si>
  <si>
    <t>FGTS, LOTERIA E INTERNET BANKING</t>
  </si>
  <si>
    <t>GLOBALWEB - Fomento (Cnt. 6548/2018)</t>
  </si>
  <si>
    <t>Fomento, Desenv.Urbano, Saneamento e Engenharia</t>
  </si>
  <si>
    <t>STEFANINI - Canais (Cnt. 5606/2018)</t>
  </si>
  <si>
    <t>CANAIS DE ATENDIMENTO</t>
  </si>
  <si>
    <t>GLOBALWEB - Serv. Bancários (Cnt. 6658/2018)</t>
  </si>
  <si>
    <t>SERV.BANCÁRIOS E BACKOFFICE</t>
  </si>
  <si>
    <t>STEFANINI - Internet Banking (Cnt. 2812/2018)</t>
  </si>
  <si>
    <t>INTERNET BANKING</t>
  </si>
  <si>
    <t>FÓTON - PeDes RS (Cnt. 8666/2018)</t>
  </si>
  <si>
    <t>PeDes RS</t>
  </si>
  <si>
    <t>STEFANINI - Habitação (Cnt. 1255/2017)</t>
  </si>
  <si>
    <t>INDRA - Portal Negócios (Cnt. 8711/2018)</t>
  </si>
  <si>
    <t>PORTAL NEGÓCIOS/CORR.BANCÁRIO</t>
  </si>
  <si>
    <t>SPREAD - Inovação e Segurança (Cnt. 9386/2018)</t>
  </si>
  <si>
    <t>INOVAÇÕES TECNOLÓGICAS E SEGURANÇA</t>
  </si>
  <si>
    <t>TREE SOLUTION - SIEXC (Cnt. 1614/2017)</t>
  </si>
  <si>
    <t>SIEXC</t>
  </si>
  <si>
    <t>SPREAD - SIAOI (Cnt. 453/2019)</t>
  </si>
  <si>
    <t>SIAOI</t>
  </si>
  <si>
    <t>SPREAD - PeDes DF (Cnt. 8662/2018)</t>
  </si>
  <si>
    <t>PEDES DF</t>
  </si>
  <si>
    <t>SPREAD - Inovação e Segurança (Cnt. 8786/2018)</t>
  </si>
  <si>
    <t>FÓTON - Mobile e IOT (Cnt. 9520/2018)</t>
  </si>
  <si>
    <t>MOBILE E IOT</t>
  </si>
  <si>
    <t>FÓTON - PeDes MG (Cnt. 8663/2018)</t>
  </si>
  <si>
    <t>CAST - PeDes SC (Cnt. 5501/2019)</t>
  </si>
  <si>
    <t>CPQD - Crédito Imobiliário (Cnt. 4885/2018)</t>
  </si>
  <si>
    <t>TTY - NGSD (Cnt. 5384/2019)</t>
  </si>
  <si>
    <t>NGSD</t>
  </si>
  <si>
    <t>RJE - SIDEC/SIART (Cnt. 6475/2020)</t>
  </si>
  <si>
    <t>SIDEC/SIART</t>
  </si>
  <si>
    <t>FÓTON - PeDes-CE (Cnt.5358/2019)</t>
  </si>
  <si>
    <t>MEMORA - Modelagem Negócios (Cnt. 14680/2017)</t>
  </si>
  <si>
    <t>Modelagem Negócios</t>
  </si>
  <si>
    <t>FÓTON - PeDes-GO (Cnt.8664/2018)</t>
  </si>
  <si>
    <t>BENNER - SIAGS (Cnt.11836/2020)</t>
  </si>
  <si>
    <t>SIAGS</t>
  </si>
  <si>
    <t>TTY - PeDes ES (Cnt. 5548/2019)</t>
  </si>
  <si>
    <t>PeDes ES</t>
  </si>
  <si>
    <t>DATAINFO - PeDes PR (Cnt. 5423/2019)</t>
  </si>
  <si>
    <t>SONDA - S.A.P. (Cnt. 2582/2021)</t>
  </si>
  <si>
    <t>S.A.P.</t>
  </si>
  <si>
    <t>RESOURCE - Cartões (Cnt. 16754/2020)</t>
  </si>
  <si>
    <t>Cartões</t>
  </si>
  <si>
    <t>SONSAS - Solução ALM (Cnt. 06696/2019)</t>
  </si>
  <si>
    <t>Solução ALM</t>
  </si>
  <si>
    <t>CONSÓRCIO VERT &amp; SAS - CRM (Cnt. 11433/2019)</t>
  </si>
  <si>
    <t>CRM e Cadastro</t>
  </si>
  <si>
    <t>SONDA - Folha de Pagamento (Cnt. 03093/2021)</t>
  </si>
  <si>
    <t>Folha  de Pagamento</t>
  </si>
  <si>
    <t>FOTON - Portal Inteligência (Cnt. 6834/2021)</t>
  </si>
  <si>
    <t>Portal Inteligência</t>
  </si>
  <si>
    <t>GLOBALWEB - Créd/Financ/Pag (Cnt. 06285/2021)</t>
  </si>
  <si>
    <t>Créd/Financ/Pag</t>
  </si>
  <si>
    <t>Fábrica de Métricas</t>
  </si>
  <si>
    <t>MÉTRICAS</t>
  </si>
  <si>
    <t>Produtividade = P. Função por dia</t>
  </si>
  <si>
    <t xml:space="preserve"> </t>
  </si>
  <si>
    <t>Não mensurável</t>
  </si>
  <si>
    <t>PONDERADOR FINANCEIRO PoFI</t>
  </si>
  <si>
    <t>3 A 100</t>
  </si>
  <si>
    <t>101 A 600</t>
  </si>
  <si>
    <t>&gt; 600</t>
  </si>
  <si>
    <t>VPU</t>
  </si>
  <si>
    <t>PERSPECTIVA NÃO FUNCIONAL</t>
  </si>
  <si>
    <t>Item</t>
  </si>
  <si>
    <t>Descrição enquadramento não funcional</t>
  </si>
  <si>
    <t>Total de itens quantificáveis na unidade de medida</t>
  </si>
  <si>
    <t>UST por unidade de medida</t>
  </si>
  <si>
    <t>Total de UST</t>
  </si>
  <si>
    <t>Justificativas/Descrição do Item</t>
  </si>
  <si>
    <t>PORTAIS DE CONTEÚDO UTILIZANDO TECNOLOGIA MS/CMS</t>
  </si>
  <si>
    <t>01</t>
  </si>
  <si>
    <t>Designer</t>
  </si>
  <si>
    <t>Ajustes de banner (tamanho/cores/fonte), criação de banner,animação em Flash (até 30 frames- 3 segundos), tratamento de imagens e estruturar gráfico em layout de páginas (montagem de wireframe).</t>
  </si>
  <si>
    <r>
      <t xml:space="preserve">Unidade de medida: </t>
    </r>
    <r>
      <rPr>
        <sz val="10"/>
        <rFont val="Arial"/>
        <family val="2"/>
      </rPr>
      <t>Elemento</t>
    </r>
  </si>
  <si>
    <t>02</t>
  </si>
  <si>
    <t>MINISITE - Definição do layout simples (adaptar a um modelo já existente</t>
  </si>
  <si>
    <r>
      <rPr>
        <b/>
        <sz val="10"/>
        <rFont val="Arial"/>
        <family val="2"/>
      </rPr>
      <t>Unidade de medida:</t>
    </r>
    <r>
      <rPr>
        <sz val="10"/>
        <rFont val="Arial"/>
        <family val="2"/>
      </rPr>
      <t xml:space="preserve"> Minisite</t>
    </r>
  </si>
  <si>
    <t>03</t>
  </si>
  <si>
    <t>MINISITE - Definição do layout complexo (criação ou uso de Tabelas / Div / Flash / Recortes, etc)</t>
  </si>
  <si>
    <t>04</t>
  </si>
  <si>
    <t>Construção</t>
  </si>
  <si>
    <t>E-CAIXA POSTAL
Inclusão de imagens
Criação de redirects específicos</t>
  </si>
  <si>
    <r>
      <rPr>
        <b/>
        <sz val="10"/>
        <rFont val="Arial"/>
        <family val="2"/>
      </rPr>
      <t>Unidade de medida:</t>
    </r>
    <r>
      <rPr>
        <sz val="10"/>
        <rFont val="Arial"/>
        <family val="2"/>
      </rPr>
      <t xml:space="preserve"> E-CAIXA</t>
    </r>
  </si>
  <si>
    <t>05</t>
  </si>
  <si>
    <t xml:space="preserve">MINISITES
Cargas Licitação, Poupança, etc
</t>
  </si>
  <si>
    <t>06</t>
  </si>
  <si>
    <t>Criação de Template</t>
  </si>
  <si>
    <r>
      <rPr>
        <b/>
        <sz val="10"/>
        <rFont val="Arial"/>
        <family val="2"/>
      </rPr>
      <t>Unidade de medida:</t>
    </r>
    <r>
      <rPr>
        <sz val="10"/>
        <rFont val="Arial"/>
        <family val="2"/>
      </rPr>
      <t xml:space="preserve"> Template</t>
    </r>
  </si>
  <si>
    <t>07</t>
  </si>
  <si>
    <t>Configuração do ambiente do publicador de conteúdo</t>
  </si>
  <si>
    <r>
      <rPr>
        <b/>
        <sz val="10"/>
        <rFont val="Arial"/>
        <family val="2"/>
      </rPr>
      <t>Unidade de medida:</t>
    </r>
    <r>
      <rPr>
        <sz val="10"/>
        <rFont val="Arial"/>
        <family val="2"/>
      </rPr>
      <t xml:space="preserve"> Ambiente</t>
    </r>
  </si>
  <si>
    <t>08</t>
  </si>
  <si>
    <t>Adaptações</t>
  </si>
  <si>
    <t>Manutenção para adequação aos Padrões W3C</t>
  </si>
  <si>
    <r>
      <rPr>
        <b/>
        <sz val="10"/>
        <rFont val="Arial"/>
        <family val="2"/>
      </rPr>
      <t>Unidade de medida:</t>
    </r>
    <r>
      <rPr>
        <sz val="10"/>
        <rFont val="Arial"/>
        <family val="2"/>
      </rPr>
      <t xml:space="preserve"> Tela/Página</t>
    </r>
  </si>
  <si>
    <t>09</t>
  </si>
  <si>
    <t>Manutenção para adequação à Acessibilidade</t>
  </si>
  <si>
    <t>PORTAIS DE CONTEÚDO - Demais tecnologias</t>
  </si>
  <si>
    <t>01
02
03</t>
  </si>
  <si>
    <t>Conteúdo - Fragmentos de Página - Estático</t>
  </si>
  <si>
    <t>Criação ou manutenção de Fragmento que não apresenta característica interativa e/ou dinâmica que reflete em alteração na exibição e/ou comportamento dos conteúdos do documento em que está inserido. Compreende a utilização de Linguagem de Marcação (HTML, XML, XHTML, etc.), Linguagem de Script Client-Side (Javascript, VbScript, etc.) e Linguagem de Definição de Apresentação (CSS, etc.).</t>
  </si>
  <si>
    <r>
      <rPr>
        <b/>
        <sz val="10"/>
        <rFont val="Arial"/>
        <family val="2"/>
      </rPr>
      <t>Unidade de medida:</t>
    </r>
    <r>
      <rPr>
        <sz val="10"/>
        <rFont val="Arial"/>
        <family val="2"/>
      </rPr>
      <t xml:space="preserve"> Fragmento</t>
    </r>
  </si>
  <si>
    <r>
      <rPr>
        <b/>
        <sz val="10"/>
        <rFont val="Arial"/>
        <family val="2"/>
      </rPr>
      <t>Complexidade:</t>
    </r>
    <r>
      <rPr>
        <sz val="10"/>
        <rFont val="Arial"/>
        <family val="2"/>
      </rPr>
      <t xml:space="preserve"> Baixa</t>
    </r>
  </si>
  <si>
    <r>
      <rPr>
        <b/>
        <sz val="10"/>
        <rFont val="Arial"/>
        <family val="2"/>
      </rPr>
      <t>Complexidade:</t>
    </r>
    <r>
      <rPr>
        <sz val="10"/>
        <rFont val="Arial"/>
        <family val="2"/>
      </rPr>
      <t xml:space="preserve"> Média</t>
    </r>
  </si>
  <si>
    <r>
      <rPr>
        <b/>
        <sz val="10"/>
        <rFont val="Arial"/>
        <family val="2"/>
      </rPr>
      <t>Complexidade:</t>
    </r>
    <r>
      <rPr>
        <sz val="10"/>
        <rFont val="Arial"/>
        <family val="2"/>
      </rPr>
      <t xml:space="preserve"> Alta</t>
    </r>
  </si>
  <si>
    <t>04
05
06</t>
  </si>
  <si>
    <t>Conteúdo - Fragmentos de Página - Dinâmico</t>
  </si>
  <si>
    <t>Criação ou manutenção de Fragmento que apresenta animação, característica interativa e/ou dinâmica com mudanças na exibição e/ou comportamento do documento em que está inserido. Compreende a utilização de Linguagem de Marcação (HTML, XML, XHTML, etc.), Linguagem de Script Client-Side (Javascript, VbScript, etc.), Linguagem de Definição de Apresentação (CSS, etc.) e por fim compreende também a implementação de RIAs - Rich Internet Applications ou Rich Web Clients² (Flash, Silverlight, etc.).</t>
  </si>
  <si>
    <t>07
08
09</t>
  </si>
  <si>
    <t>Template</t>
  </si>
  <si>
    <t>Criação ou manutenção de Desenvolvimento programático de páginas ou peças, com finalidade de instanciamento e reuso em fluxo de customização e publicação pelo usuário final utilizando ferramenta de gerenciamento de conteúdo</t>
  </si>
  <si>
    <t>10</t>
  </si>
  <si>
    <t>Diagramação</t>
  </si>
  <si>
    <t>Criação do "esqueleto" de uma página compreendendo a definição de linhas de grade - GRID e montagem/posicionamento de conteúdo (fragmentos) nas páginas conforme definições dos Artefatos WEB* ("Layout" e "Guia de Montagem").</t>
  </si>
  <si>
    <r>
      <rPr>
        <b/>
        <sz val="10"/>
        <rFont val="Arial"/>
        <family val="2"/>
      </rPr>
      <t>Unidade de medida:</t>
    </r>
    <r>
      <rPr>
        <sz val="10"/>
        <rFont val="Arial"/>
        <family val="2"/>
      </rPr>
      <t xml:space="preserve"> Página</t>
    </r>
  </si>
  <si>
    <t>11</t>
  </si>
  <si>
    <t>Navegação</t>
  </si>
  <si>
    <t>Criação de URL e implementação de um "Nó" para navegação; Atualizações de referências e links para um nó de navegação conforme definições dos Artefatos WEB relativos à entrega.</t>
  </si>
  <si>
    <t>SOLUÇÕES DE MOBILE</t>
  </si>
  <si>
    <t>Funcionalidade</t>
  </si>
  <si>
    <t>Incluir ou Alterar uma ação em um objeto (elementos de tela com imagens, rótulos e outros) invocando ou respondendo à um recurso nativo do dispositivo móvel (Ex: Habilitar o uso de acelerometro para movimentar um elemento na tela que antes era movimentado por toque de tela)</t>
  </si>
  <si>
    <t>Unidade de medida: Ação</t>
  </si>
  <si>
    <t>Alteração de valor de parâmetro para ação que invoca comportamento nativo do aparelho móvel (Ex: Alteração de comportamento por conta da velocidade do acelerometro, redução de sinsibilidade da bússola e acelerometro, etc)</t>
  </si>
  <si>
    <r>
      <rPr>
        <b/>
        <sz val="10"/>
        <rFont val="Arial"/>
        <family val="2"/>
      </rPr>
      <t>Unidade de medida:</t>
    </r>
    <r>
      <rPr>
        <sz val="10"/>
        <rFont val="Arial"/>
        <family val="2"/>
      </rPr>
      <t xml:space="preserve"> Ação</t>
    </r>
  </si>
  <si>
    <t>Mudança de organização dos elementos (check box, input text, rótulos, textos, imagens e outros) em uma tela ou transferência de elementos entre interfaces sem impacto em funcionalidades, usabilidade e regras de negócio.</t>
  </si>
  <si>
    <r>
      <rPr>
        <b/>
        <sz val="10"/>
        <rFont val="Arial"/>
        <family val="2"/>
      </rPr>
      <t>Unidade de medida:</t>
    </r>
    <r>
      <rPr>
        <sz val="10"/>
        <rFont val="Arial"/>
        <family val="2"/>
      </rPr>
      <t xml:space="preserve"> Elemento</t>
    </r>
  </si>
  <si>
    <t>Inclusão ou mudança de transição entre telas tais como efetitos e formas como cada tela é chamada sem motivação de alteração da usabilidade ou regra de negócio do sistema</t>
  </si>
  <si>
    <t>CAMPOS E VARIÁVEIS - Contempla a inclusão, alteração ou exclusão de campos e variáveis em programas e tabelas, sem que tenha havido mudança na funcionalidade. Contempla também padronização de nomenclatura de campos e variáveis.</t>
  </si>
  <si>
    <r>
      <rPr>
        <b/>
        <sz val="10"/>
        <rFont val="Arial"/>
        <family val="2"/>
      </rPr>
      <t>Unidade de medida: Elemento</t>
    </r>
  </si>
  <si>
    <t>Serviço</t>
  </si>
  <si>
    <t>CODE TABLE - Contempla a necessidade de criação de tabelas CODE TABLE e respectivas funcionalidades, desde que as mesmas já estejam em produção, ou seja, NÃO SE APLICA A DESENVOLVIMENTO DE NOVOS SISTEMAS (Esse ítem não se aplica para atividades de "popular" a tabela)</t>
  </si>
  <si>
    <r>
      <rPr>
        <b/>
        <sz val="10"/>
        <rFont val="Arial"/>
        <family val="2"/>
      </rPr>
      <t>Unidade de medida:</t>
    </r>
    <r>
      <rPr>
        <sz val="10"/>
        <rFont val="Arial"/>
        <family val="2"/>
      </rPr>
      <t xml:space="preserve"> </t>
    </r>
  </si>
  <si>
    <t>Inclusão de tabela e funcionalidades
(Create/Read/Update/Delete: CRUD)</t>
  </si>
  <si>
    <r>
      <rPr>
        <b/>
        <sz val="10"/>
        <rFont val="Arial"/>
        <family val="2"/>
      </rPr>
      <t>Unidade de medida:</t>
    </r>
    <r>
      <rPr>
        <sz val="10"/>
        <rFont val="Arial"/>
        <family val="2"/>
      </rPr>
      <t xml:space="preserve"> Funcionalidade</t>
    </r>
  </si>
  <si>
    <t>Alteração da tabela e funcionalidades (CRUD)</t>
  </si>
  <si>
    <r>
      <rPr>
        <b/>
        <sz val="10"/>
        <rFont val="Arial"/>
        <family val="2"/>
      </rPr>
      <t>Unidade de medida: Funcionalidade</t>
    </r>
  </si>
  <si>
    <t>Excluir tabela e funcionalidades (CRUD)</t>
  </si>
  <si>
    <t>Inclusão de funcionalidade</t>
  </si>
  <si>
    <t>Alteração de funcionalidade</t>
  </si>
  <si>
    <t xml:space="preserve">Exclusão de funcionalidade </t>
  </si>
  <si>
    <t>Criar ou alterar imagem original com padrões de elementos de interfaces tais como iconografia, botões, campos, plano de fundo, cores, entre outros.</t>
  </si>
  <si>
    <t>Remover imagem original com padrões de elementos de interfaces tais como iconografia, botões, campos, plano de fundo, cores, entre outros</t>
  </si>
  <si>
    <t>Incluir, alterar, remover um título, rótulo ou mensagem na interface que seja gerado de forma programática, ou na forma de biblioteca de normalização / internacionalização.</t>
  </si>
  <si>
    <t>Criar, incluir, alterar, atualizar, remover, redimensionar animação ou efeito especial de abertura ou encerramento da aplicação (2 UST's por 5 segundos de animação)</t>
  </si>
  <si>
    <t>Gameficação</t>
  </si>
  <si>
    <t>Codificar imagens e primitivas gráficas</t>
  </si>
  <si>
    <t>12</t>
  </si>
  <si>
    <t>Codificar animação baseada em frames</t>
  </si>
  <si>
    <r>
      <rPr>
        <b/>
        <sz val="10"/>
        <rFont val="Arial"/>
        <family val="2"/>
      </rPr>
      <t>Unidade de medida: Frames</t>
    </r>
  </si>
  <si>
    <t>13</t>
  </si>
  <si>
    <t>Codificar animação baseada em ação</t>
  </si>
  <si>
    <r>
      <rPr>
        <b/>
        <sz val="10"/>
        <rFont val="Arial"/>
        <family val="2"/>
      </rPr>
      <t>Unidade de medida: Ação</t>
    </r>
  </si>
  <si>
    <t>14</t>
  </si>
  <si>
    <t>Implementar loop de jogo</t>
  </si>
  <si>
    <t>15</t>
  </si>
  <si>
    <t>Implementar detecção de colisão</t>
  </si>
  <si>
    <t>16</t>
  </si>
  <si>
    <t>Desenvolver efeitos sonoros para elementos do jogos</t>
  </si>
  <si>
    <r>
      <rPr>
        <b/>
        <sz val="10"/>
        <rFont val="Arial"/>
        <family val="2"/>
      </rPr>
      <t>Unidade de medida: Tempo</t>
    </r>
  </si>
  <si>
    <t>17</t>
  </si>
  <si>
    <t>Desenvolver música do jogo</t>
  </si>
  <si>
    <t>18</t>
  </si>
  <si>
    <t>Desenvolvimento de elementos de HUD (Barra de HP, Menus, Mini mapa e etc)</t>
  </si>
  <si>
    <t>TOTAL GERAL DE UST</t>
  </si>
  <si>
    <t>ITENS NÃO MENSURÁVEIS</t>
  </si>
  <si>
    <t>Descrição da funcionalidade</t>
  </si>
  <si>
    <t>Qtdade de elementos, dados, campos ou mensagens</t>
  </si>
  <si>
    <t>Parâmetro de Qtdade de PF</t>
  </si>
  <si>
    <t>TELAS - LAYOUT</t>
  </si>
  <si>
    <t>Contempla as alterações referentes aos layouts de telas, mudança de posição de campos em telas, relatórios ou layout de arquivos, sem que haja alteração em elementos de dados, arquivos referenciados ou informações de controle. Contempla também inclusão, alteração ou exclusão de logotipo da empresa, divisão de telas e/ou relatórios, sem que tenha havido mudança na funcionalidade.
Será considerado 0,2 de um ponto de função, para cada 5 elementos.</t>
  </si>
  <si>
    <t>Telas, Relatórios e Arquivos</t>
  </si>
  <si>
    <t>CAMPOS E VARIÁVEIS</t>
  </si>
  <si>
    <t>Contempla a inclusão, alteração ou exclusão de campos e variáveis em programas e tabelas, sem que tenha havido mudança na funcionalidade. Contempla também padronização de nomenclatura de campos e variáveis.
Será considerado 0,4 de um ponto de função, para cada 5 dados/campos.</t>
  </si>
  <si>
    <t>Inclusão, alteração e Exclusão</t>
  </si>
  <si>
    <t>MENSAGENS</t>
  </si>
  <si>
    <t>Contempla a necessidade de alterações de mensagens de retorno ao ususário, desde que não façam parte de um ALI ou AIE.
Será considerado 0,2 de um ponto de função, para cada 5 mensagens.</t>
  </si>
  <si>
    <t>Alteração do texto da mensagem</t>
  </si>
  <si>
    <t>MENUS</t>
  </si>
  <si>
    <t>Contempla a necessidade de adição ou reestruturação de menus de navegação estáticos; ajuda (help estático); criação, alteração ou exclusão de páginas estáticas.</t>
  </si>
  <si>
    <t>Alteração e/ou Criação de Tela</t>
  </si>
  <si>
    <t>Exclusão de Tela</t>
  </si>
  <si>
    <t>DADOS HARD CODED</t>
  </si>
  <si>
    <t>Contempla a necessidade de Inclusão, Alteração ou Exclusão de dados pertencentes a listas (combo box) ou tabelas físicas.
Será considerado 0,2 de um ponto de função, para cada 5 dados/campos.</t>
  </si>
  <si>
    <t>PARÂMETROS DE PROCESSAMENTO</t>
  </si>
  <si>
    <t>Contempla a necessidade de alterações dos valores dos parâmetros, sem que a lógica de processamento tenha sido alterada.
Ex: ajustar o filtro para recuperar dados entre 0 e 50 ao invés de valores entre 10 e 50.
Será considerado 0,1 de um ponto de função, para cada 5 parâmetros.</t>
  </si>
  <si>
    <t>Alteração</t>
  </si>
  <si>
    <t>CAMADA DE APRESENTAÇÃO ADICIONAL</t>
  </si>
  <si>
    <t>Contempla a necessidade de criação de mais de uma camada de apresentação (diferente) para o mesmo sistema.
Ex: um sistema construído para rodar no mainframe com camada de apresentação na EXTRANET, INTRANET e INTERNET, desde que sejam as mesmas funcionalidades compadrões visuais distintos.</t>
  </si>
  <si>
    <t xml:space="preserve">Pontuar as funções transacionais que terão a nova camada de apresentação. Informar o tamanho obtido. </t>
  </si>
  <si>
    <t>SERVIÇOS DE ATENDIMENTO</t>
  </si>
  <si>
    <t>Produtividade
Horas/PF</t>
  </si>
  <si>
    <t xml:space="preserve">Contempla  a necessidade de execução de tarefas temporárias, não passíveis de serem pontuadas, como por exemplo: análise de demandas, execução de teste a pedido do usuário/Gestor, rotina de clean up, etc.
Deverá ser considerado 1 (um) recurso por dia, sendo 8 (oito) horas o esforço diário gasto. </t>
  </si>
  <si>
    <t>Informar a quantidade de dias necessários. O QUANTITATIVO DE DIAS É DE RESPONSABILIDADE DO LÍDER DE PROJETO CAIXA, que deverá justificar tal necessidade.</t>
  </si>
  <si>
    <t>CODE TABLE</t>
  </si>
  <si>
    <t>Contempla a necessidade de criação, alteração e exclusão de tabelas Code Table e respectivas funcionalidades, desde que as mesmas já estejam em produção, ou seja, NÃO SE APLICA A DESENVOLVIMENTO DE NOVOS SISTEMAS. (Esse item não se aplica para atividades de "popular" a tabela).</t>
  </si>
  <si>
    <t>Inclusão da tabela e funcionalidades (Create/Read/Update/Delete - CRUD) Informar a quantidade de CRUDs.</t>
  </si>
  <si>
    <t>Alteração da tabela e funcionalidades (CRUD) Informar a quantidade de CRUDs.</t>
  </si>
  <si>
    <t>Excluir tabela e funcionalidade (CRUD) Informar a quantidade de CRUDs.</t>
  </si>
  <si>
    <t>Inclusão de funcionalidade. Informar a quantidade de funcionalidades.</t>
  </si>
  <si>
    <t>Alteração de funcionalidade. Informar a quantidade de funcionalidades.</t>
  </si>
  <si>
    <t>Exclusão de funcionalidade. Informar a quantidade de funcionalidades.</t>
  </si>
  <si>
    <t>Programas auxiliares para popular bases de dados ou Componentes/subrotinas desenvolvidas por solicitação do Gestor com o objetivo de impedir que sistemas usuários leiam os ALI desse sistema (Exemplo: IPPO). Será considerado 2 (PF) para 1 (um) programa ou componente.</t>
  </si>
  <si>
    <t>Análise e Elaboração de Parecer conclusivo. Será considerado 2,4 PF para 01 (um) parecer. (UTILIZAÇÃO SOMENTE COM AUTORIZAÇÃO DA GEITI)</t>
  </si>
  <si>
    <t>TOTAL  DA CONVERSÃO EM PF</t>
  </si>
  <si>
    <t>TOTAL DO ESFORÇO</t>
  </si>
  <si>
    <t>ITENS NÃO MENSURÁVEIS - Concorrência Pública no. 001/2006 CEL/MZ – Aditivos WEB/CMS</t>
  </si>
  <si>
    <t>DESIGNER</t>
  </si>
  <si>
    <r>
      <t xml:space="preserve">Ajustes de banner (tamanho/cores/fonte), criação de banner, animação em Flash (até 30 frames- 3 serg.), tratamento de imagens e estruturar gráfico em layout de páginas (montagem de </t>
    </r>
    <r>
      <rPr>
        <i/>
        <sz val="10"/>
        <rFont val="Arial"/>
        <family val="2"/>
      </rPr>
      <t>wireframe</t>
    </r>
    <r>
      <rPr>
        <sz val="10"/>
        <rFont val="Arial"/>
        <family val="2"/>
      </rPr>
      <t>).
Será considerado 0,2 de um ponto de função, para cada 5
elementos.</t>
    </r>
  </si>
  <si>
    <t>Elementos: banner, Flash, imagem e estruturação gráfico</t>
  </si>
  <si>
    <r>
      <t xml:space="preserve">Converter arquivos do </t>
    </r>
    <r>
      <rPr>
        <i/>
        <sz val="10"/>
        <rFont val="Arial"/>
        <family val="2"/>
      </rPr>
      <t>office</t>
    </r>
    <r>
      <rPr>
        <sz val="10"/>
        <rFont val="Arial"/>
        <family val="2"/>
      </rPr>
      <t xml:space="preserve"> (geralmente Word) em PDF sem a editoração</t>
    </r>
  </si>
  <si>
    <t>MINISITE – Definição do layout a ser seguido:</t>
  </si>
  <si>
    <t>a) Simples (Adaptar a um modelo já existente)</t>
  </si>
  <si>
    <t>b) Complexo (Criação ou uso de Tabelas / Div / Flash / Recortes,etc )</t>
  </si>
  <si>
    <t>CONSTRUÇÃO</t>
  </si>
  <si>
    <t>ARQUIVOS PARA DOWNLOAD
Indicação do local/endereço no site</t>
  </si>
  <si>
    <r>
      <t xml:space="preserve">LAYOUT DAS PÁGINAS (Apenas uma página)
Criação da página - Padronização de fontes, </t>
    </r>
    <r>
      <rPr>
        <i/>
        <sz val="10"/>
        <rFont val="Arial"/>
        <family val="2"/>
      </rPr>
      <t>links,</t>
    </r>
    <r>
      <rPr>
        <sz val="10"/>
        <rFont val="Arial"/>
        <family val="2"/>
      </rPr>
      <t xml:space="preserve"> </t>
    </r>
    <r>
      <rPr>
        <i/>
        <sz val="10"/>
        <rFont val="Arial"/>
        <family val="2"/>
      </rPr>
      <t>banners,</t>
    </r>
    <r>
      <rPr>
        <sz val="10"/>
        <rFont val="Arial"/>
        <family val="2"/>
      </rPr>
      <t xml:space="preserve"> </t>
    </r>
    <r>
      <rPr>
        <i/>
        <sz val="10"/>
        <rFont val="Arial"/>
        <family val="2"/>
      </rPr>
      <t>browser</t>
    </r>
    <r>
      <rPr>
        <sz val="10"/>
        <rFont val="Arial"/>
        <family val="2"/>
      </rPr>
      <t xml:space="preserve"> (IE e Netscape)</t>
    </r>
  </si>
  <si>
    <r>
      <t xml:space="preserve">E-CAIXA POSTAL
Inclusão de imagens
Criacão de </t>
    </r>
    <r>
      <rPr>
        <i/>
        <sz val="10"/>
        <rFont val="Arial"/>
        <family val="2"/>
      </rPr>
      <t>redirects</t>
    </r>
    <r>
      <rPr>
        <sz val="10"/>
        <rFont val="Arial"/>
        <family val="2"/>
      </rPr>
      <t xml:space="preserve"> específicos</t>
    </r>
  </si>
  <si>
    <t>PUSH(manutenção)
Layout de e-mail
Componentização</t>
  </si>
  <si>
    <t>ENVOLVIMENTO COM OUTROS SITES (RJ/SP/BR)</t>
  </si>
  <si>
    <t>MINISITES
Cargas Licitação, Poupança, etc</t>
  </si>
  <si>
    <t>PROGRAMAÇÃO DE PARALlSAÇÕES DO SITE
(Sem Negociação c/ outros sites)</t>
  </si>
  <si>
    <r>
      <t xml:space="preserve">Criação de </t>
    </r>
    <r>
      <rPr>
        <i/>
        <sz val="10"/>
        <rFont val="Arial"/>
        <family val="2"/>
      </rPr>
      <t>Template</t>
    </r>
  </si>
  <si>
    <r>
      <t xml:space="preserve">Configuração do </t>
    </r>
    <r>
      <rPr>
        <i/>
        <sz val="10"/>
        <rFont val="Arial"/>
        <family val="2"/>
      </rPr>
      <t>Stager</t>
    </r>
    <r>
      <rPr>
        <sz val="10"/>
        <rFont val="Arial"/>
        <family val="2"/>
      </rPr>
      <t xml:space="preserve"> CMS</t>
    </r>
  </si>
  <si>
    <t>Criação POP UP (Estático e até 3 páginas, sem acesso a BD).
CRIAÇÃO DE PÁGINA ESTÁTICA - Conteúdo envolvendo imagem - Quantidade de imagem (incluir as questões de Designer), Performance da imagem, formatação de tabelas - expansão de tabelas (exemplo de fundos de investimentos), inclusão dos botões de navegação, texto em PSD (requer digitação)</t>
  </si>
  <si>
    <t>Parâmetros e Qtd PF -Alteração e/ou Criação de Tela</t>
  </si>
  <si>
    <t>Parâmetros e Qtd PF - Exclusão de Tela</t>
  </si>
  <si>
    <t>CRIAÇÃO DE PÁGINA DINÃMICA, SEM BD</t>
  </si>
  <si>
    <t>CONSTRUÇÃO DA PÁGINA (1 página)
Criação de Formulário (Dinâmico ou Estático)
Criação de Relatório (apresentação dos campos preenchidos)
Validação dos campos / Critica na digitação
Validação da Transação
Componentização</t>
  </si>
  <si>
    <t>ADAPTAÇÕES</t>
  </si>
  <si>
    <t>Padrões W3C</t>
  </si>
  <si>
    <t>Acessibilidade</t>
  </si>
  <si>
    <t>ITENS NÃO MENSURÁVEIS - Concorrência Pública no. 001/2006 CEL/MZ – Aditivos WEB/EXO</t>
  </si>
  <si>
    <t>CONTEÚDO - FRAGMENTOS DE PÁGINAS</t>
  </si>
  <si>
    <r>
      <t>ESTÁTICO</t>
    </r>
    <r>
      <rPr>
        <sz val="10"/>
        <rFont val="Arial"/>
        <family val="2"/>
      </rPr>
      <t xml:space="preserve">: Fragmento que não apresenta característica interativa e/ou dinâmica que reflete em alteração na exibição e/ou comportamento dos conteúdos do documento em que está inserido. Compreende a utilização de Linguagem de Marcação (HTML, XML, XHTML, etc.), Linguagem de </t>
    </r>
    <r>
      <rPr>
        <i/>
        <sz val="10"/>
        <rFont val="Arial"/>
        <family val="2"/>
      </rPr>
      <t>Script Client-Side</t>
    </r>
    <r>
      <rPr>
        <sz val="10"/>
        <rFont val="Arial"/>
        <family val="2"/>
      </rPr>
      <t xml:space="preserve"> (Javascript, VbScript, etc.) e Linguagem de Definição de Apresentação (CSS, etc.).</t>
    </r>
  </si>
  <si>
    <r>
      <t>Complexidade Baixa:</t>
    </r>
    <r>
      <rPr>
        <sz val="10"/>
        <rFont val="Arial"/>
        <family val="2"/>
      </rPr>
      <t xml:space="preserve"> Compreende a utilização de linguagem de Marcação.</t>
    </r>
  </si>
  <si>
    <r>
      <t>Complexidade Média:</t>
    </r>
    <r>
      <rPr>
        <sz val="10"/>
        <rFont val="Arial"/>
        <family val="2"/>
      </rPr>
      <t xml:space="preserve"> Linguagem de Marcação +
Linguagem de Script ou 
Linguagem de Definição de Apresentação.</t>
    </r>
  </si>
  <si>
    <r>
      <t>Complexidade Alta:</t>
    </r>
    <r>
      <rPr>
        <sz val="10"/>
        <rFont val="Arial"/>
        <family val="2"/>
      </rPr>
      <t xml:space="preserve"> Linguagem de Marcação +
Linguagem de Script +
Linguagem de Definição de Apresentação.</t>
    </r>
  </si>
  <si>
    <r>
      <t>DINÂMICO</t>
    </r>
    <r>
      <rPr>
        <sz val="10"/>
        <rFont val="Arial"/>
        <family val="2"/>
      </rPr>
      <t xml:space="preserve">: Fragmento que apresenta animação, característica interativa e/ou dinâmica com mudanças na exibição e/ou comportamento do documento em que está inserido. Compreende a utilização de Linguagem de Marcação (HTML, XML, XHTML, etc.), Linguagem de Script Client-Side (Javascript,
 VbScript, etc.), Linguagem de Definição de Apresentação (CSS, etc.) e por fim compreende também a implementação de RIAs - </t>
    </r>
    <r>
      <rPr>
        <i/>
        <sz val="10"/>
        <rFont val="Arial"/>
        <family val="2"/>
      </rPr>
      <t>Rich Internet Applications</t>
    </r>
    <r>
      <rPr>
        <sz val="10"/>
        <rFont val="Arial"/>
        <family val="2"/>
      </rPr>
      <t xml:space="preserve"> ou </t>
    </r>
    <r>
      <rPr>
        <i/>
        <sz val="10"/>
        <rFont val="Arial"/>
        <family val="2"/>
      </rPr>
      <t>Rich</t>
    </r>
    <r>
      <rPr>
        <sz val="10"/>
        <rFont val="Arial"/>
        <family val="2"/>
      </rPr>
      <t xml:space="preserve"> Web Clients 2 (Flash, </t>
    </r>
    <r>
      <rPr>
        <i/>
        <sz val="10"/>
        <rFont val="Arial"/>
        <family val="2"/>
      </rPr>
      <t>Silverlight</t>
    </r>
    <r>
      <rPr>
        <sz val="10"/>
        <rFont val="Arial"/>
        <family val="2"/>
      </rPr>
      <t>, etc.).</t>
    </r>
  </si>
  <si>
    <r>
      <t>Complexidade Baixa:</t>
    </r>
    <r>
      <rPr>
        <sz val="10"/>
        <rFont val="Arial"/>
        <family val="2"/>
      </rPr>
      <t xml:space="preserve"> Linguagem de Marcação +
Linguagem de Definição de Apresentação ou 
Linguagem de Script.
Compreende também a implementação de peças ou conteúdos
animados construídos por Agências Publicitárias.</t>
    </r>
  </si>
  <si>
    <r>
      <t>Complexidade Média:</t>
    </r>
    <r>
      <rPr>
        <sz val="10"/>
        <rFont val="Arial"/>
        <family val="2"/>
      </rPr>
      <t xml:space="preserve"> Linguagem de Marcação +
Linguagem de Script +
Linguagem de Definição de Apresentação.
Compreende também a implementação de peças ou conteúdos
animados construídos por Agências Publicitárias.</t>
    </r>
  </si>
  <si>
    <r>
      <t>Complexidade Alta:</t>
    </r>
    <r>
      <rPr>
        <sz val="10"/>
        <rFont val="Arial"/>
        <family val="2"/>
      </rPr>
      <t xml:space="preserve"> Compreende o desenvolvimento de fragmentos com conteúdo animado e/ou interativo, utilizando RIAs
ou </t>
    </r>
    <r>
      <rPr>
        <i/>
        <sz val="10"/>
        <rFont val="Arial"/>
        <family val="2"/>
      </rPr>
      <t>Rich</t>
    </r>
    <r>
      <rPr>
        <sz val="10"/>
        <rFont val="Arial"/>
        <family val="2"/>
      </rPr>
      <t xml:space="preserve"> Web </t>
    </r>
    <r>
      <rPr>
        <i/>
        <sz val="10"/>
        <rFont val="Arial"/>
        <family val="2"/>
      </rPr>
      <t>Clients</t>
    </r>
    <r>
      <rPr>
        <sz val="10"/>
        <rFont val="Arial"/>
        <family val="2"/>
      </rPr>
      <t xml:space="preserve"> construídos pela Fábrica.</t>
    </r>
  </si>
  <si>
    <t>DIAGRAMAÇÃO</t>
  </si>
  <si>
    <t>NAVEGAÇÃO</t>
  </si>
  <si>
    <t>TEMPLATE</t>
  </si>
  <si>
    <t>Desenvolvimento programático de páginas ou peças, com finalidade de instanciamento e reuso em fluxo de customização e publicação pelo usuário final utilizando ferramenta de gerenciamento de conteúdo.</t>
  </si>
  <si>
    <r>
      <t>Complexidade Baixa:</t>
    </r>
    <r>
      <rPr>
        <sz val="10"/>
        <rFont val="Arial"/>
        <family val="2"/>
      </rPr>
      <t xml:space="preserve"> Compreende a criação de </t>
    </r>
    <r>
      <rPr>
        <i/>
        <sz val="10"/>
        <rFont val="Arial"/>
        <family val="2"/>
      </rPr>
      <t>templates</t>
    </r>
    <r>
      <rPr>
        <sz val="10"/>
        <rFont val="Arial"/>
        <family val="2"/>
      </rPr>
      <t xml:space="preserve"> utilizando Linguagem de Marcação + 
Linguagem de Definição de Apresentação ou
Linguagem de Script.</t>
    </r>
  </si>
  <si>
    <r>
      <t>Complexidade Média:</t>
    </r>
    <r>
      <rPr>
        <sz val="10"/>
        <rFont val="Arial"/>
        <family val="2"/>
      </rPr>
      <t xml:space="preserve"> Compreende a criação de </t>
    </r>
    <r>
      <rPr>
        <i/>
        <sz val="10"/>
        <rFont val="Arial"/>
        <family val="2"/>
      </rPr>
      <t>templates</t>
    </r>
    <r>
      <rPr>
        <sz val="10"/>
        <rFont val="Arial"/>
        <family val="2"/>
      </rPr>
      <t xml:space="preserve"> utilizando Linguagem de Marcação + 
Linguagem de Script + 
Linguagem de Definição de Apresentação.</t>
    </r>
  </si>
  <si>
    <r>
      <t>Complexidade Alta:</t>
    </r>
    <r>
      <rPr>
        <sz val="10"/>
        <rFont val="Arial"/>
        <family val="2"/>
      </rPr>
      <t xml:space="preserve"> Compreende a criação de </t>
    </r>
    <r>
      <rPr>
        <i/>
        <sz val="10"/>
        <rFont val="Arial"/>
        <family val="2"/>
      </rPr>
      <t>templates</t>
    </r>
    <r>
      <rPr>
        <sz val="10"/>
        <rFont val="Arial"/>
        <family val="2"/>
      </rPr>
      <t xml:space="preserve"> utilizando recursos de programação (API) específicos.</t>
    </r>
  </si>
  <si>
    <t>FORMULÁRIO DE SOLICITAÇÃO DE ANÁLISE DE DIVERGÊNCIA</t>
  </si>
  <si>
    <t xml:space="preserve">Data </t>
  </si>
  <si>
    <t xml:space="preserve">1. Reclamante </t>
  </si>
  <si>
    <t>3. Analista responsável pela mensuração:</t>
  </si>
  <si>
    <t>5. Tipo da contagem:</t>
  </si>
  <si>
    <t>6.  Método da contagem:</t>
  </si>
  <si>
    <t>7. A contagem refere-se a uma ALTERAÇÃO DE ESCOPO?</t>
  </si>
  <si>
    <t>8.  Propósito da Contagem (objetivo ou finalidade da contagem):</t>
  </si>
  <si>
    <t>9. Quantidade de Pontos por função ( Fábrica de Software )</t>
  </si>
  <si>
    <t>10. Escopo da contagem realizada pela FSW ( listar os documentos utilizados na contagem )</t>
  </si>
  <si>
    <t>Qtd. de Requisitos/Casos de Uso:</t>
  </si>
  <si>
    <t>10a. CASO DE USO OU REQUISITO</t>
  </si>
  <si>
    <t>Cód. Do Item</t>
  </si>
  <si>
    <t>Nome do Caso de Uso ou Requisito</t>
  </si>
  <si>
    <t>Situação  (Incluído; Alterado; Excluído)</t>
  </si>
  <si>
    <r>
      <t>1.</t>
    </r>
    <r>
      <rPr>
        <sz val="7"/>
        <rFont val="Times New Roman"/>
        <family val="1"/>
      </rPr>
      <t xml:space="preserve">      </t>
    </r>
    <r>
      <rPr>
        <sz val="10"/>
        <rFont val="Tahoma"/>
        <family val="2"/>
      </rPr>
      <t> </t>
    </r>
  </si>
  <si>
    <r>
      <t>2.</t>
    </r>
    <r>
      <rPr>
        <sz val="7"/>
        <rFont val="Times New Roman"/>
        <family val="1"/>
      </rPr>
      <t xml:space="preserve">      </t>
    </r>
    <r>
      <rPr>
        <sz val="10"/>
        <rFont val="Tahoma"/>
        <family val="2"/>
      </rPr>
      <t> </t>
    </r>
  </si>
  <si>
    <r>
      <t>3.</t>
    </r>
    <r>
      <rPr>
        <sz val="7"/>
        <rFont val="Times New Roman"/>
        <family val="1"/>
      </rPr>
      <t xml:space="preserve">      </t>
    </r>
    <r>
      <rPr>
        <sz val="10"/>
        <rFont val="Tahoma"/>
        <family val="2"/>
      </rPr>
      <t> </t>
    </r>
  </si>
  <si>
    <r>
      <t>4.</t>
    </r>
    <r>
      <rPr>
        <sz val="7"/>
        <rFont val="Times New Roman"/>
        <family val="1"/>
      </rPr>
      <t xml:space="preserve">      </t>
    </r>
    <r>
      <rPr>
        <sz val="10"/>
        <rFont val="Tahoma"/>
        <family val="2"/>
      </rPr>
      <t> </t>
    </r>
  </si>
  <si>
    <r>
      <t>5.</t>
    </r>
    <r>
      <rPr>
        <sz val="7"/>
        <rFont val="Times New Roman"/>
        <family val="1"/>
      </rPr>
      <t xml:space="preserve">      </t>
    </r>
    <r>
      <rPr>
        <sz val="10"/>
        <rFont val="Tahoma"/>
        <family val="2"/>
      </rPr>
      <t> </t>
    </r>
  </si>
  <si>
    <r>
      <t>6.</t>
    </r>
    <r>
      <rPr>
        <sz val="7"/>
        <rFont val="Times New Roman"/>
        <family val="1"/>
      </rPr>
      <t xml:space="preserve">      </t>
    </r>
    <r>
      <rPr>
        <sz val="10"/>
        <rFont val="Tahoma"/>
        <family val="2"/>
      </rPr>
      <t> </t>
    </r>
  </si>
  <si>
    <t>10b. Considerações Gerais:</t>
  </si>
  <si>
    <t xml:space="preserve">Outros artefatos que serviram de insumo para contagem: </t>
  </si>
  <si>
    <t>Tabela de divergências:</t>
  </si>
  <si>
    <t>A tabela de divergências deve ser preenchida com os dados da contagem do reclamante.</t>
  </si>
  <si>
    <t>A coluna “Divergência” deverá ser preenchida com os códigos:</t>
  </si>
  <si>
    <t>1 – Consta na contagem da Fábrica de Software e não consta da contagem da Fábrica de Métricas</t>
  </si>
  <si>
    <t>2 – Consta na contagem da Fábrica de Métricas e não consta da contagem da Fábrica de Software</t>
  </si>
  <si>
    <t>3 – Consta nas duas contagens mas apresenta divergências.</t>
  </si>
  <si>
    <t>11. Itens divergentes - Funções de Dados</t>
  </si>
  <si>
    <t>Tipo Função</t>
  </si>
  <si>
    <t>QT RLR</t>
  </si>
  <si>
    <t>QT DER</t>
  </si>
  <si>
    <t>Divergência</t>
  </si>
  <si>
    <t>Descrição da divergência/observações FSW</t>
  </si>
  <si>
    <t>Considerações Fábrica de Métricas</t>
  </si>
  <si>
    <t>Considerações SME</t>
  </si>
  <si>
    <t>12. Itens divergentes - Funções Transacionais</t>
  </si>
  <si>
    <t>QT ALR</t>
  </si>
  <si>
    <t>13. Itens divergentes - Itens não Funcionais (SNAP)</t>
  </si>
  <si>
    <t>14. Considerações sobre a Contagem ou descrição de outras divergências - FSW</t>
  </si>
  <si>
    <t>Deverá ser preenchido com as considerações do Analista de Métricas da FSW sobre a contagem com as informações relevante na contagem e suas observações e inferências.</t>
  </si>
  <si>
    <t>15. Considerações sobre a Divergência - Fábrica de Métricas</t>
  </si>
  <si>
    <t>Deverá ser preenchido com considerações gerais do Analista de Métricas da Fábrica de Métricas sobre as divergências apresentadas pela FSW.</t>
  </si>
  <si>
    <t>16. Parecer final sobre a Divergência - SME</t>
  </si>
  <si>
    <t>Deverá ser apresentado o parecer conclusivo do SME sobre a divergência apresentada, apontando as ações tomadas e o resultado das reuniões de divergência</t>
  </si>
  <si>
    <t>Controle de Versões</t>
  </si>
  <si>
    <t>Alterações</t>
  </si>
  <si>
    <t>Responsável</t>
  </si>
  <si>
    <t>10.3</t>
  </si>
  <si>
    <t>Planilha FSDMS: Inclusão do controle de versões
Planilha DOCEB36: Alteração das produtividades contratuais</t>
  </si>
  <si>
    <t>Rodrigo Nascimento</t>
  </si>
  <si>
    <t>10.4</t>
  </si>
  <si>
    <r>
      <t xml:space="preserve">Planilha FSDMS: 
</t>
    </r>
    <r>
      <rPr>
        <sz val="10"/>
        <rFont val="Arial"/>
        <family val="2"/>
      </rPr>
      <t xml:space="preserve">*Inclusão do Formulário de Solicitação de Análise de Divergências
*Implementação da contagem de alteração de escopo
*Alteração do formato das células da coluna "Caso de Uso" na aba Funções Transacionais, para formato "texto".
*Alteração das macros de Inserir e Excluir Linhas para permitir a formatação das células
*Alteração da fórmula da célula de Fator de Ajuste, na aba Resumo
*FSDMS:
# Numeração dos campos
# Inclusão do campo "Data"
# Retirada de referências à Itens Não-Mensuráveis
# Inclusão de coluna de versão para "Outros Documentos"
# Inclusão da Situação do Item "Não se Aplica".
# Alteração da coluna "Homologação" para "Observações"
</t>
    </r>
    <r>
      <rPr>
        <b/>
        <sz val="10"/>
        <rFont val="Arial"/>
        <family val="2"/>
      </rPr>
      <t xml:space="preserve">Planilha DOCEB36: 
</t>
    </r>
    <r>
      <rPr>
        <sz val="10"/>
        <rFont val="Arial"/>
        <family val="2"/>
      </rPr>
      <t>*Implementação da contagem de alteração de escopo
*Retirada do número de versão do nome da planilha</t>
    </r>
  </si>
  <si>
    <t>10.41</t>
  </si>
  <si>
    <t>Correção de erro nas complexidades das EE
Correção de erro nas macros de inserir e excluir linha</t>
  </si>
  <si>
    <t>10.42</t>
  </si>
  <si>
    <t>Correção de erro na planilha DOCEB36, a qual não aplicava o fator de redução das manutenções adap. perf. e corr. nos PF para esforço.</t>
  </si>
  <si>
    <t>10.43</t>
  </si>
  <si>
    <t>Retirada da macro para exclusão de linhas
Correção de erro na fórmula de prazo do DOCEB36, na célula 'Distribuição PF'!AO26</t>
  </si>
  <si>
    <t>10.44</t>
  </si>
  <si>
    <t>Correção de erro nas colunas de complexidade das Funções, em Codedata</t>
  </si>
  <si>
    <t>10.45</t>
  </si>
  <si>
    <r>
      <t xml:space="preserve">No FSDMS:
</t>
    </r>
    <r>
      <rPr>
        <sz val="10"/>
        <rFont val="Arial"/>
        <family val="2"/>
      </rPr>
      <t xml:space="preserve">Correção na macro de inserir linhas para manter sempre atualizada a célula que apresenta o total de PF calculado na planilha (coluna J).
Criada a função APF em substituição às fórmulas anteriormente utilizadas para calcular o PF das funções. A função APF (Tipo_funcao; qtde_ALR; qtde_DER; Tipo_contagem; Tipo_resultado) retorna:
Caso Tipo_resultado = 0: o grau de complexidade (alta, média, baixa)
Caso Tipo_resultado = 1: o valor de PF
Revisão das fórmulas da planilha "Resumo" devido ao agrupamento das funções em planilha única.
Excluída a coluna "Marcar AIE para esforço". Pois, foi criado o tipo de função "AIE esforço" na coluna "Tipo".
Agrupamento da indicação de complexidade da função na coluna I.
</t>
    </r>
    <r>
      <rPr>
        <b/>
        <sz val="10"/>
        <rFont val="Arial"/>
        <family val="2"/>
      </rPr>
      <t xml:space="preserve">No DOCEB36:
</t>
    </r>
    <r>
      <rPr>
        <sz val="10"/>
        <rFont val="Arial"/>
        <family val="2"/>
      </rPr>
      <t>Incluído botão para alterar/indicar o FSDMS vinculado.
Incluído botão para abrir o FSDMS vinculado.</t>
    </r>
  </si>
  <si>
    <t>Fábio Santos Claudino</t>
  </si>
  <si>
    <t>Novo Modelo 1.4.3</t>
  </si>
  <si>
    <r>
      <t xml:space="preserve">No Contagem APF (antigo FSDMS):
</t>
    </r>
    <r>
      <rPr>
        <sz val="10"/>
        <rFont val="Arial"/>
        <family val="2"/>
      </rPr>
      <t xml:space="preserve">Revisão das fórmulas da planilha "Resumo" devido à separação das funções de dados e de transação
Inclusão da coluna "PF Anterior" para possibilitar o cálculo correto do Retrabalho da Alteração de escopo
Incluída planilha "Itens_não_Mensuraveis"
</t>
    </r>
    <r>
      <rPr>
        <b/>
        <sz val="10"/>
        <rFont val="Arial"/>
        <family val="2"/>
      </rPr>
      <t xml:space="preserve">No Estimativas (antigo DOCEB36):
</t>
    </r>
    <r>
      <rPr>
        <sz val="10"/>
        <rFont val="Arial"/>
        <family val="2"/>
      </rPr>
      <t>Movida a planilha "Itens_não_Mensuraveis" para o FSDMS
Revisadas as estimativas de custos e prazos referentes aos serviços do novo contrato de Métricas, em vigor
a partir de 20/07/2010.</t>
    </r>
  </si>
  <si>
    <t>1.4.6 (10/03/2011)</t>
  </si>
  <si>
    <t>Atualização dos valores das FSW Politec e CTMON</t>
  </si>
  <si>
    <t>1.5.0
(10/05/2011)</t>
  </si>
  <si>
    <t>Alteração no cálculo do item 4 dos INM 
2.1.1   As alterações realizadas foram:
·         Fórmula do INM 4 para Alteração e/ou Criação de Tela (G19)
De =(E19/5)*F19 Para =E19*F19
·         Fórmula do INM 4 para Exclusão de Tela (G20)
 De =(E20/5)*F20 Para =E20*F20</t>
  </si>
  <si>
    <t>1.5.1 (28/10/2011)</t>
  </si>
  <si>
    <r>
      <t>Aba FSDMS:</t>
    </r>
    <r>
      <rPr>
        <sz val="10"/>
        <rFont val="Arial"/>
        <family val="2"/>
      </rPr>
      <t xml:space="preserve">
Alteração no texto do campo 14 para "Caso o tipo da demanda seja Contagem Interna ou Validação, favor preencher o quadro abaixo:"
</t>
    </r>
    <r>
      <rPr>
        <b/>
        <sz val="10"/>
        <rFont val="Arial"/>
        <family val="2"/>
      </rPr>
      <t>Aba RESUMO:</t>
    </r>
    <r>
      <rPr>
        <sz val="10"/>
        <rFont val="Arial"/>
        <family val="2"/>
      </rPr>
      <t xml:space="preserve">
Ocultação da linha 11 (TEqPF) e modificação para fins de melhorar a clareza na informação a ser informada no SIGCP para remuneração do serviço de mensuração pela TI Métricas.
</t>
    </r>
    <r>
      <rPr>
        <b/>
        <sz val="10"/>
        <rFont val="Arial"/>
        <family val="2"/>
      </rPr>
      <t>Aba Parâmetro:</t>
    </r>
    <r>
      <rPr>
        <sz val="10"/>
        <rFont val="Arial"/>
        <family val="2"/>
      </rPr>
      <t xml:space="preserve">
Atualização por conta da repactuação do valor/hora da empresa RSI para R$ 48,17. Informamos que a atualização foi feita na aba Parâmetros dos artefatos de contagem (todos: PPDS_Estima_Estrut; PPDS_Estima_PU; PPDS_Estima_Versao, PPDS_Laudo_Contagem_FSDMS; PPDS_Laudo_Cont_FSDMS_Versao).
</t>
    </r>
    <r>
      <rPr>
        <b/>
        <sz val="10"/>
        <rFont val="Arial"/>
        <family val="2"/>
      </rPr>
      <t>Aba Itens_não_Mensuráveis:</t>
    </r>
    <r>
      <rPr>
        <sz val="10"/>
        <rFont val="Arial"/>
        <family val="2"/>
      </rPr>
      <t xml:space="preserve">
Ocultação da linha 44</t>
    </r>
  </si>
  <si>
    <t>Carlos Serpa / Fábio Santos Claudino</t>
  </si>
  <si>
    <t>1.5.2 (17/11/2011)</t>
  </si>
  <si>
    <r>
      <t>Aba Parâmetro:</t>
    </r>
    <r>
      <rPr>
        <sz val="10"/>
        <rFont val="Arial"/>
        <family val="2"/>
      </rPr>
      <t xml:space="preserve">
Atualização dos valores referentes ao 4º TA - Contrato 1441/2008 - DBA - Repactuação nos artefatos de contagem. 
 Item I - IBM e IDMS - De: R$ 663,08  Para: R$ 696,03
 Item III - SUN E ORACLE - De: R$ 551,37  Para: R$ 578,51
 Item IV - WEB - De: R$ 507,59 Para: R$ 532,46
 .
</t>
    </r>
    <r>
      <rPr>
        <b/>
        <sz val="10"/>
        <rFont val="Arial"/>
        <family val="2"/>
      </rPr>
      <t/>
    </r>
  </si>
  <si>
    <t>1.5.3
(28/12/2011)</t>
  </si>
  <si>
    <r>
      <t>No PPDS_Estima_PU.xls e PPDS_Estima_Versao.xls, aba Resumo_Estimativas_Gestor:</t>
    </r>
    <r>
      <rPr>
        <sz val="10"/>
        <rFont val="Arial"/>
        <family val="2"/>
      </rPr>
      <t xml:space="preserve">
Foi corrigido o erro de cálculo para o valor indicado para a CTMON SVQ (célula G32), que estava zerado. Pois a fórmula não buscava o percentual na célula correta.
</t>
    </r>
    <r>
      <rPr>
        <b/>
        <sz val="10"/>
        <rFont val="Arial"/>
        <family val="2"/>
      </rPr>
      <t/>
    </r>
  </si>
  <si>
    <t>1.5.4
(28/12/2011)</t>
  </si>
  <si>
    <r>
      <t>Aba Parâmetro:</t>
    </r>
    <r>
      <rPr>
        <sz val="10"/>
        <rFont val="Arial"/>
        <family val="2"/>
      </rPr>
      <t xml:space="preserve">
Atualização dos valores referentes ao 2º TA (30/01/2012) - Contrato 02425/2010 - ti Métricas - Repactuação nos artefatos de contagem. 
VPU - De: R$ 134,00  Para: R$ 145,33
Otimização fórmula de cálculo do TEqPF e, consequentemente, possibilitando a exclusão da tabela de faixas (colunas P e Q) e a ampliação da capacidade de cálculo para qualquer valor de PF.
</t>
    </r>
    <r>
      <rPr>
        <b/>
        <sz val="10"/>
        <rFont val="Arial"/>
        <family val="2"/>
      </rPr>
      <t/>
    </r>
  </si>
  <si>
    <t>1.5.5
(23/05/2012)</t>
  </si>
  <si>
    <r>
      <t>Aba Parâmetro:</t>
    </r>
    <r>
      <rPr>
        <sz val="10"/>
        <rFont val="Arial"/>
        <family val="2"/>
      </rPr>
      <t xml:space="preserve">
Atualização dos valores referentes ao 6° TA - Stefanini - Contrato 1442/2010 - REPACTUAÇÃO nos artefatos de contagem.
[...] passou a vigorar em R$ 547,19 o valor do ponto de função - retroativo a 01/01/2011. [...]</t>
    </r>
  </si>
  <si>
    <t>1.5.6 (27/06/2012)</t>
  </si>
  <si>
    <r>
      <t xml:space="preserve">Aba Parâmetros: </t>
    </r>
    <r>
      <rPr>
        <sz val="10"/>
        <rFont val="Arial"/>
        <family val="2"/>
      </rPr>
      <t>Atualização dos valores referentes ao 7° TA - CTMON - Contrato 1440/2008 - REPACTUAÇÃO de preços do contrato para a prestação de serviços técnicos de suporte avançado ao processo de desenvolvimento de software.
[...] passam a vigorar os valores a seguir: Adm Dados: R$ 83,06 - Adm BD: R$ 90,15 - SPM: R$ 93,88 - SPA: R$ 86,63 - SIT: R$ 86,09 - SPD: R$ 75,81</t>
    </r>
  </si>
  <si>
    <t>Fabio Martorano da Cruz</t>
  </si>
  <si>
    <t>1.6.0
(20/07/2012)</t>
  </si>
  <si>
    <r>
      <t>Adequação da planilha aos novos contratos:</t>
    </r>
    <r>
      <rPr>
        <sz val="10"/>
        <rFont val="Arial"/>
        <family val="2"/>
      </rPr>
      <t xml:space="preserve"> Indra/Politec (Emprestar e Financiar), Politec (Riscos), CMA - Home Broker, com as seguintes alterações:
- Incluídas novas fábricas.
- Adequado propósito da contagem com migração de base de dados, observando a possibilidade de usar VFA 1,35.
- Campo 7 alterado de SISOL para RTC (SIGCP) com valor inicial 90XXXXXX. 
- Desabilitada a soma de PF provenientes de itens não mensuráveis para os novos contratos. 
- Incluídos alertas para incompatibilidade de informações na planilha: quando VFA = 1,35 e incompatbilidade do uso de INM com os contratos que não o preveêm.
- Utilização de Pacotes de Trabalho e Documentação de Sistemas Legados.</t>
    </r>
  </si>
  <si>
    <t>SME / SP</t>
  </si>
  <si>
    <t>1.6.1
(23/07/2012)</t>
  </si>
  <si>
    <r>
      <t>Aba Parâmetros</t>
    </r>
    <r>
      <rPr>
        <sz val="10"/>
        <rFont val="Arial"/>
        <family val="2"/>
      </rPr>
      <t>: Atualização dos valores referentes ao 6° TA - DBA - Contrato 1441/2008 - Repactuação nos artefatos de contagem. 
 IBM e IDMS - Para: R$ 737,90
 SUN E ORACLE - Para: R$ 612,85
 WEB - Para: R$ 563,86</t>
    </r>
  </si>
  <si>
    <t>1.6.2
(07/08/2012)</t>
  </si>
  <si>
    <r>
      <t>Aba Parâmetros:</t>
    </r>
    <r>
      <rPr>
        <sz val="10"/>
        <rFont val="Arial"/>
        <family val="2"/>
      </rPr>
      <t xml:space="preserve"> Atualização dos valores referentes ao 5° TA - Politec - Contrato 1443/2008 - Repactuação nos artefatos de contagem. 
Em decorrência da repactuação ora efetuada, a contar de 18/08/2010, passam a vigorar o valor a seguir: 
VALOR UNITÁRIO DO PONTO DE FUNÇÃO R$ 898,81</t>
    </r>
  </si>
  <si>
    <t>1.6.3
(20/08/2012)</t>
  </si>
  <si>
    <r>
      <t>Correção na Aba Parâmetros:</t>
    </r>
    <r>
      <rPr>
        <sz val="10"/>
        <rFont val="Arial"/>
        <family val="2"/>
      </rPr>
      <t xml:space="preserve"> nas planilhas de estimativas reposicionamos os valores do Ponderador financeiro para obtenção do valor correto no Resumo_Estimativas_Gestor para contagens com mais de 100PF.
Alteração do título do campo 7 no FSDMS para Número da Solicitação.</t>
    </r>
  </si>
  <si>
    <t>1.6.4
(11/09/2012)</t>
  </si>
  <si>
    <r>
      <t xml:space="preserve">Inclusão de novas FSW:
</t>
    </r>
    <r>
      <rPr>
        <sz val="10"/>
        <rFont val="Arial"/>
        <family val="2"/>
      </rPr>
      <t xml:space="preserve">Consorcio MAS/TTY 2000 – 2º ONDA
4423/2012 assinado em 30/07/12  -  Bancários e Backoffice
4533/2012 assinado em 30/07/12  -  Administrativos e Cadastros
Stefanini – 3 º ONDA
4566/2012 assinado em 27/07/12  -  Programas Sociais
4570/2012 assinado em 27/07/12  -  Fundos e Seguros
</t>
    </r>
    <r>
      <rPr>
        <b/>
        <sz val="10"/>
        <rFont val="Arial"/>
        <family val="2"/>
      </rPr>
      <t>Implementação/correção no ertefato PPDS_Laudo_Cont_FSDMS_Versao:</t>
    </r>
    <r>
      <rPr>
        <sz val="10"/>
        <rFont val="Arial"/>
        <family val="2"/>
      </rPr>
      <t xml:space="preserve">
- Aba “Funções X SISOL” desbloqueio da célula A25;
- Aba “Funções X SISOL” ao posicionar na célula A55 e inserir linhas novas  - com ALT-F8 - refletir na na aba “Resumo SISOL";
- Alerta na célula C7 na aba “Resumo SISOL” referente ao método selecionado em B7 e a escolha no FSDMS.
</t>
    </r>
    <r>
      <rPr>
        <b/>
        <sz val="10"/>
        <rFont val="Arial"/>
        <family val="2"/>
      </rPr>
      <t xml:space="preserve">Implementação de alerta: </t>
    </r>
    <r>
      <rPr>
        <sz val="10"/>
        <rFont val="Arial"/>
        <family val="2"/>
      </rPr>
      <t xml:space="preserve">
Ao indicar o propósito de contagem Adapatativa, Perfectiva ou Corretiva caso utilize-se "Status no Serviço" igual a "I" ou "E" nas abas "Funções Dados" e "Funções Transação" será apresentado o alerta para utilizar o Status "A".
</t>
    </r>
  </si>
  <si>
    <t>1.6.5
(09/10/2012)</t>
  </si>
  <si>
    <r>
      <t xml:space="preserve">Inclusão de itens não mensuráveis WEB conforme Guia de Métricas Versão 10:
</t>
    </r>
    <r>
      <rPr>
        <sz val="10"/>
        <rFont val="Arial"/>
        <family val="2"/>
      </rPr>
      <t>Anexo B:</t>
    </r>
    <r>
      <rPr>
        <b/>
        <sz val="10"/>
        <rFont val="Arial"/>
        <family val="2"/>
      </rPr>
      <t xml:space="preserve"> </t>
    </r>
    <r>
      <rPr>
        <sz val="10"/>
        <rFont val="Arial"/>
        <family val="2"/>
      </rPr>
      <t>Concorrência Pública no. 001/2006 CEL/MZ – Aditivos WEB/CMS
Anexo C: Concorrência Pública no. 001/2006 CEL/MZ – Aditivos WEB/EXO</t>
    </r>
  </si>
  <si>
    <t>1.6.6
(16/10/2012)</t>
  </si>
  <si>
    <r>
      <t xml:space="preserve">Aba Parâmetros: </t>
    </r>
    <r>
      <rPr>
        <sz val="10"/>
        <rFont val="Arial"/>
        <family val="2"/>
      </rPr>
      <t>Atualização dos valores referentes ao 6° TA - Politec - Contrato 1443/2008 - REPACTUAÇÃO de preços do contrato cujo objeto é a prestação de serviços técnicos especializados de desenvolvimento, manutenção, documentação e sustentação de Sistemas de Informação.
[...] passam a vigorar o valor a seguir: Valor Unitário do Ponto de Função R$ 940,61.</t>
    </r>
  </si>
  <si>
    <t>1.6.7
(19/11/2012)</t>
  </si>
  <si>
    <r>
      <t xml:space="preserve">Inclusão de nova FSW:
</t>
    </r>
    <r>
      <rPr>
        <sz val="10"/>
        <rFont val="Arial"/>
        <family val="2"/>
      </rPr>
      <t xml:space="preserve">Stefanini – 4ª ONDA:
5405/2012 assinado em 18/09/2012  -  Captar Recursos
</t>
    </r>
    <r>
      <rPr>
        <b/>
        <sz val="10"/>
        <rFont val="Arial"/>
        <family val="2"/>
      </rPr>
      <t>Implementação:</t>
    </r>
    <r>
      <rPr>
        <sz val="10"/>
        <rFont val="Arial"/>
        <family val="2"/>
      </rPr>
      <t xml:space="preserve">
Cálculos para contratação das novas FSW por disciplina.</t>
    </r>
  </si>
  <si>
    <t>1.6.8
(10/01/2013)</t>
  </si>
  <si>
    <r>
      <t xml:space="preserve">Inclusão de nova FSW:
</t>
    </r>
    <r>
      <rPr>
        <sz val="10"/>
        <rFont val="Arial"/>
        <family val="2"/>
      </rPr>
      <t xml:space="preserve">BRQ/CAST/BSI:
5929/2012 assinado em 27/11/2012  -  Financeiro e Controladoria
</t>
    </r>
    <r>
      <rPr>
        <b/>
        <sz val="10"/>
        <rFont val="Arial"/>
        <family val="2"/>
      </rPr>
      <t/>
    </r>
  </si>
  <si>
    <t>1.6.9
(23/01/2013)</t>
  </si>
  <si>
    <r>
      <t xml:space="preserve">Alteração do valor de PF Normal de contrato com a Stefanini:
</t>
    </r>
    <r>
      <rPr>
        <sz val="10"/>
        <rFont val="Arial"/>
        <family val="2"/>
      </rPr>
      <t xml:space="preserve">
4566/2012 assinado em 27/07/12  -  Programas Sociais
</t>
    </r>
    <r>
      <rPr>
        <b/>
        <sz val="10"/>
        <rFont val="Arial"/>
        <family val="2"/>
      </rPr>
      <t/>
    </r>
  </si>
  <si>
    <t>1.7.0
(19/03/2013)</t>
  </si>
  <si>
    <r>
      <t xml:space="preserve">Inclusão de nova FSW Consórcio DBA/WEB denominado nos artefatos de contagem como GLOBALWEB/DBA:
</t>
    </r>
    <r>
      <rPr>
        <sz val="10"/>
        <rFont val="Arial"/>
        <family val="2"/>
      </rPr>
      <t xml:space="preserve">
6540/2012 assinado em 19/12/2012  -  Desenv. Urbano Habitação
</t>
    </r>
    <r>
      <rPr>
        <b/>
        <sz val="10"/>
        <rFont val="Arial"/>
        <family val="2"/>
      </rPr>
      <t/>
    </r>
  </si>
  <si>
    <t>1.7.1
(22/03/2013)</t>
  </si>
  <si>
    <r>
      <t xml:space="preserve">Inclusão de novas FSWs:
</t>
    </r>
    <r>
      <rPr>
        <sz val="10"/>
        <rFont val="Arial"/>
        <family val="2"/>
      </rPr>
      <t xml:space="preserve">
6167 - BRQ (Multicanal)
6428 - BRQ/CAST/BSI (Canais)
</t>
    </r>
    <r>
      <rPr>
        <b/>
        <sz val="10"/>
        <rFont val="Arial"/>
        <family val="2"/>
      </rPr>
      <t/>
    </r>
  </si>
  <si>
    <t>1.7.2
(16/05/2013)</t>
  </si>
  <si>
    <r>
      <t xml:space="preserve">
</t>
    </r>
    <r>
      <rPr>
        <b/>
        <sz val="10"/>
        <rFont val="Arial"/>
        <family val="2"/>
      </rPr>
      <t xml:space="preserve">Inclusão de nova FSW:
</t>
    </r>
    <r>
      <rPr>
        <sz val="10"/>
        <rFont val="Arial"/>
        <family val="2"/>
      </rPr>
      <t xml:space="preserve">1049/2013 - CPM BRAXIS (Novo Banking) assinado em 18/04/2013.
</t>
    </r>
    <r>
      <rPr>
        <b/>
        <sz val="10"/>
        <rFont val="Arial"/>
        <family val="2"/>
      </rPr>
      <t>Atualização de valores referente:</t>
    </r>
    <r>
      <rPr>
        <sz val="10"/>
        <rFont val="Arial"/>
        <family val="2"/>
      </rPr>
      <t xml:space="preserve">
Aos Aditivos para Reequilíbrio de Preços assinados em 30/04/2013 com a Stefanini:
1º TA 4566-2012 [...] passam a vigorar [...] PF Normal R$ 475,48 PF Expresso R$ 478,13 a partir de 01/08/2012;
1º TA 4570-2012 [...] passam a vigorar [...] PF Normal R$ 811,13 PF Expresso R$ 862,72 a partir de 01/08/2012;
1º TA 5405-2012 [...] passam a vigorar [...] PF Normal R$ 552,39 PF Expresso R$ 607,61 a partir de 18/09/2012.
Ao 8º e 9º TA CTIS Contrato 1440/2008 assinado em 26/04/2013 referente prorrogação para a prestação de serviços técnicos de suporte avançado ao processo de desenvolvimento de software.
[...] passam a vigorar os valores a seguir: Adm Dados: R$ 82,98 - Adm BD: R$ 90,27 - SPM: R$ 93,83 - SPA: R$ 86,46 - SIT: R$ 86,10 - SPD: R$ 75,27.
Ao 12º TA RSI 1439-2008 assinado em 26/04/2013 referente prorrogação para a prestação de serviços técnicos especializados inerentes a testes.
[...] Valor unitário horas R$ 49,05.
</t>
    </r>
    <r>
      <rPr>
        <b/>
        <sz val="10"/>
        <rFont val="Arial"/>
        <family val="2"/>
      </rPr>
      <t/>
    </r>
  </si>
  <si>
    <t>1.7.3
(30/08/2013)</t>
  </si>
  <si>
    <r>
      <t xml:space="preserve">Inclusão de nova FSW:
</t>
    </r>
    <r>
      <rPr>
        <sz val="10"/>
        <rFont val="Arial"/>
        <family val="2"/>
      </rPr>
      <t xml:space="preserve">5251/2012 - INDRA POLITEC (Cartões) assinado em 04/10/2012.
</t>
    </r>
    <r>
      <rPr>
        <b/>
        <sz val="10"/>
        <rFont val="Arial"/>
        <family val="2"/>
      </rPr>
      <t>Atualização de valores referente:</t>
    </r>
    <r>
      <rPr>
        <sz val="10"/>
        <rFont val="Arial"/>
        <family val="2"/>
      </rPr>
      <t xml:space="preserve">
A repactuação do valor unitário de PF assinado em 18/07/2013 referente a 01/01/2013 com a Stefanini:
9º TA ao contrato 1442/2008 [...] passam a vigorar o valor a seguir: R$ 561,73.
</t>
    </r>
    <r>
      <rPr>
        <b/>
        <sz val="10"/>
        <rFont val="Arial"/>
        <family val="2"/>
      </rPr>
      <t/>
    </r>
  </si>
  <si>
    <t>1.7.4
(24/09/2013)</t>
  </si>
  <si>
    <r>
      <t xml:space="preserve">Inclusão de nova FSW:
</t>
    </r>
    <r>
      <rPr>
        <sz val="10"/>
        <rFont val="Arial"/>
        <family val="2"/>
      </rPr>
      <t xml:space="preserve">1497/2013 - Consórcio DBA/WEB(Infraestrutura/Georeferenciamento) - assinado em 29/05/2013
1497/2013 - Consórcio DBA/WEB(Certificação Digital) - assinado em 29/05/2013
1497/2013 - Consórcio DBA/WEB(Aplicação WEB) - assinado em 29/05/2013
1497/2013 - Consórcio DBA/WEB(Business Intelligence) - assinado em 29/05/2013
</t>
    </r>
    <r>
      <rPr>
        <b/>
        <sz val="10"/>
        <rFont val="Arial"/>
        <family val="2"/>
      </rPr>
      <t/>
    </r>
  </si>
  <si>
    <t>TI MÉTRICAS / SP
Marcelo Elias Nunes Ribeiro</t>
  </si>
  <si>
    <t>1.7.5
(04/02/2014)
(18/02/2014)
(11/04/2014)
(10/11/2014)</t>
  </si>
  <si>
    <r>
      <t>Atualização de valores referente:</t>
    </r>
    <r>
      <rPr>
        <sz val="10"/>
        <rFont val="Arial"/>
        <family val="2"/>
      </rPr>
      <t xml:space="preserve">
A repactuação do valor unitário de PF assinado em 05/12/2013 referente a 26/01/2010 com a DIEBOLD / PROCOMP:
4º TA ao contrato 1513/2008 [...] passam a vigorar o valor a seguir: R$ 745,94.
</t>
    </r>
    <r>
      <rPr>
        <b/>
        <sz val="10"/>
        <rFont val="Arial"/>
        <family val="2"/>
      </rPr>
      <t/>
    </r>
  </si>
  <si>
    <r>
      <t>Alteração PPDS_Laudo_Cont_FSDMS_Versao.xls:</t>
    </r>
    <r>
      <rPr>
        <sz val="10"/>
        <rFont val="Arial"/>
        <family val="2"/>
      </rPr>
      <t xml:space="preserve">
Inclusão de Coluna "Tamanho Funcional (com AIE)" na aba "Resumo SISOL" conforme solicitação da CEDESSP054.
</t>
    </r>
    <r>
      <rPr>
        <b/>
        <sz val="10"/>
        <rFont val="Arial"/>
        <family val="2"/>
      </rPr>
      <t/>
    </r>
  </si>
  <si>
    <r>
      <t xml:space="preserve">1.REPACTUAÇÃO DE PREÇOS
</t>
    </r>
    <r>
      <rPr>
        <sz val="10"/>
        <rFont val="Arial"/>
        <family val="2"/>
      </rPr>
      <t>INDRA/POLITEC EF - PF normal : 562,25 // PF Expresso: 562,25
POLITEC - RISCO  - PF normal : 562,15 // PF Expresso: 562,15</t>
    </r>
    <r>
      <rPr>
        <b/>
        <sz val="10"/>
        <rFont val="Arial"/>
        <family val="2"/>
      </rPr>
      <t xml:space="preserve">
</t>
    </r>
    <r>
      <rPr>
        <sz val="10"/>
        <rFont val="Arial"/>
        <family val="2"/>
      </rPr>
      <t>CMA - HOME BROKER - PF normal : 835,10 // PF Expresso: 835,10</t>
    </r>
    <r>
      <rPr>
        <b/>
        <sz val="10"/>
        <rFont val="Arial"/>
        <family val="2"/>
      </rPr>
      <t xml:space="preserve">
</t>
    </r>
    <r>
      <rPr>
        <sz val="10"/>
        <rFont val="Arial"/>
        <family val="2"/>
      </rPr>
      <t>MSA BANCARIOS BACKOFFICE - PF normal : 556,41 // PF Expresso: 612,04</t>
    </r>
    <r>
      <rPr>
        <b/>
        <sz val="10"/>
        <rFont val="Arial"/>
        <family val="2"/>
      </rPr>
      <t xml:space="preserve">
</t>
    </r>
    <r>
      <rPr>
        <sz val="10"/>
        <rFont val="Arial"/>
        <family val="2"/>
      </rPr>
      <t>MSA ADMINISTRATIVOS E CADASTROS - PF normal : 567,64 // PF Expresso: 624,41</t>
    </r>
    <r>
      <rPr>
        <b/>
        <sz val="10"/>
        <rFont val="Arial"/>
        <family val="2"/>
      </rPr>
      <t xml:space="preserve">
</t>
    </r>
    <r>
      <rPr>
        <sz val="10"/>
        <rFont val="Arial"/>
        <family val="2"/>
      </rPr>
      <t xml:space="preserve">STEFANINI PROGRAMAS SOCIAIS - PF normal : 502,31 // PF Expresso: 505,12
STEFANINI FUNDOS E SEGUROS - PF normal : 837,14 // PF Expresso: 890,38
BRQ/CAST/BSI - FINANC E CONTROLADORIA - PF normal : 552,68 // PF Expresso: 609,34
BRQ - MULTICANAL - PF normal : 922,79 // PF Expresso: 1015,07
BRQ/CAST/BSI - CANAIS - PF normal : 662,52 // PF Expresso: 729,72
</t>
    </r>
    <r>
      <rPr>
        <b/>
        <sz val="10"/>
        <rFont val="Arial"/>
        <family val="2"/>
      </rPr>
      <t>2.FABRICA DE MÉTRICAS - RECÁLCULO DO VALOR DE REPACTUAÇÃO</t>
    </r>
    <r>
      <rPr>
        <sz val="10"/>
        <rFont val="Arial"/>
        <family val="2"/>
      </rPr>
      <t xml:space="preserve">
VPU = R$137,54
</t>
    </r>
    <r>
      <rPr>
        <b/>
        <sz val="10"/>
        <rFont val="Arial"/>
        <family val="2"/>
      </rPr>
      <t>3.EXCLUSÃO DA FÁBRICA RSI DAS PLANILHAS DE ESTIMATIVAS</t>
    </r>
    <r>
      <rPr>
        <sz val="10"/>
        <rFont val="Arial"/>
        <family val="2"/>
      </rPr>
      <t xml:space="preserve">
Retirada das atividades referentes à fábrica RSI (testes e auditoria, testes integrados, RSI - STI) das abas de "Resumo Estimativa Gestor" e "Resumo Estimativa Disciplina" das planilhas PPDS_ESTIMA_ESTRUT, PPDS_ESTIMA_PU, PPDS_ESTIMA_VERSAO. 
</t>
    </r>
    <r>
      <rPr>
        <b/>
        <sz val="10"/>
        <rFont val="Arial"/>
        <family val="2"/>
      </rPr>
      <t>4.INCLUSÃO DA FSW - BULL</t>
    </r>
    <r>
      <rPr>
        <sz val="10"/>
        <rFont val="Arial"/>
        <family val="2"/>
      </rPr>
      <t xml:space="preserve">
- Contrato 2088/2013 - Inclusão realizada para contagem de PF na planilha FSDMS
- Inclusão de novo Propósito de Contagem : "Projeto de Geração de Interface e Integração" para cálculo correto do fator de ajuste da nova fsw inserida.</t>
    </r>
    <r>
      <rPr>
        <b/>
        <sz val="10"/>
        <rFont val="Arial"/>
        <family val="2"/>
      </rPr>
      <t xml:space="preserve">
5.INCLUSÃO DA FSW - PROCOMP
- Contrato 2323/2014 - Inclusão realizada para contagem de PF na planilha FSDMS
</t>
    </r>
  </si>
  <si>
    <t>1.7.6
(12/02/2015)</t>
  </si>
  <si>
    <r>
      <t xml:space="preserve">1.RECÁLCULO DO PRAZO </t>
    </r>
    <r>
      <rPr>
        <sz val="10"/>
        <rFont val="Arial"/>
        <family val="2"/>
      </rPr>
      <t xml:space="preserve">
Alterações na forma do recálculo do prazo das planilhas de estimativa conforme orientações do SME enviado em 05/12/14.
</t>
    </r>
    <r>
      <rPr>
        <b/>
        <sz val="10"/>
        <rFont val="Arial"/>
        <family val="2"/>
      </rPr>
      <t>2.FSDMS_VERSÃO - ABA DIVERGÊNCIA</t>
    </r>
    <r>
      <rPr>
        <sz val="10"/>
        <rFont val="Arial"/>
        <family val="2"/>
      </rPr>
      <t xml:space="preserve">
Inclusão da aba de divergência no FSDMS versão.
</t>
    </r>
  </si>
  <si>
    <t>1.7.7
(04/05/2015)</t>
  </si>
  <si>
    <r>
      <t xml:space="preserve">1.REPACTUAÇÃO DE PREÇOS
</t>
    </r>
    <r>
      <rPr>
        <sz val="10"/>
        <rFont val="Arial"/>
        <family val="2"/>
      </rPr>
      <t>BRQ - MULTICANAL - PF Normal: 977,02 // PF Expresso: 1074,72
BRQ/CAST/BSI - FINANCEIRO CONTROLADORIA - PF Normal: 584,31 // PF Expresso: 646,36
BRQ/CAST/BSI - CANAIS ATENDIMENTO - PF Normal: 727,36 // PF Expresso: 807,28
GLOBALWEB/DBA - NOVAS TECNOLOGIAS - INFRAESTRUTURA - PF Normal: 675,99 // PF Expreso: 675,99
GLOBALWEB/DBA - NOVAS TECNOLOGIAS - BI - PF Normal: 613,56 // PF Expreso: 613,56
GLOBALWEB/DBA - NOVAS TECNOLOGIAS - CERTIF DIGITAL - PF Normal: 622,51 // PF Expreso: 622,51
GLOBALWEB/DBA - NOVAS TECNOLOGIAS - APLICACAO WEB - PF Normal: 681,02 // PF Expreso: 681,02
GLOBALWEB/DBA - DESENV URBANO - PF Normal: 760,51 // PF Expreso: 760,51
SPREAD/TTY2000 - SIST ADM E CADASTRO - PF Normal: 601,07 // PF Expresso: 661,17
SPREAD/TTY2000 - PREST SERV // BACKOFFICE - PF Normal: 556,41 // PF Expresso: 612,04
INDRA BRASIL - EMPRESTAR FINANCIAR - PF Normal: 637,50 // PF Expresso: 637,50
INDRA BRASIL - RISCO - PF Normal: 638,65 // PF Expresso: 638,65
INDRA BRASIL - CARTÕES - PF Normal: 532,24 // PF Expresso: 600,48
STEFANINI - FUNDOS E SEGUROS - PF Normal: 837,14 // PF Expresso: 890,38
STEFANINI - PROGRAMAS SOCIAIS - PF Normal: 502,31 // PF Expresso: 505,12
STEFANINI - CAPTAR RECURSOS - PF Normal: 581,11 // PF Expresso: 639,20</t>
    </r>
    <r>
      <rPr>
        <b/>
        <sz val="10"/>
        <rFont val="Arial"/>
        <family val="2"/>
      </rPr>
      <t/>
    </r>
  </si>
  <si>
    <t>1.7.8 // 1.7.9
(29/05/2015 // 08/07/2015)</t>
  </si>
  <si>
    <r>
      <t xml:space="preserve">1.INCLUSÃO DE FSW - INDRA/POLITEC
</t>
    </r>
    <r>
      <rPr>
        <sz val="10"/>
        <rFont val="Arial"/>
        <family val="2"/>
      </rPr>
      <t xml:space="preserve">- Contrato 5677/2012 
</t>
    </r>
    <r>
      <rPr>
        <b/>
        <sz val="10"/>
        <rFont val="Arial"/>
        <family val="2"/>
      </rPr>
      <t xml:space="preserve">2.INCLUSÃO DE FSW - CPM/BRAXIS - MOBILE (TRATAMENTO PARA UST)
</t>
    </r>
    <r>
      <rPr>
        <sz val="10"/>
        <rFont val="Arial"/>
        <family val="2"/>
      </rPr>
      <t xml:space="preserve">- Contrato 0656/2014 
</t>
    </r>
    <r>
      <rPr>
        <b/>
        <sz val="10"/>
        <rFont val="Arial"/>
        <family val="2"/>
      </rPr>
      <t xml:space="preserve">3.INCLUSÃO DE FSW - CONSÓRCIO DBA/WEB (TRATAMENTO PARA UST)
</t>
    </r>
    <r>
      <rPr>
        <sz val="10"/>
        <rFont val="Arial"/>
        <family val="2"/>
      </rPr>
      <t xml:space="preserve">- Contrato 1497/2013 
</t>
    </r>
    <r>
      <rPr>
        <b/>
        <sz val="10"/>
        <rFont val="Arial"/>
        <family val="2"/>
      </rPr>
      <t>4.AJUSTE DA VERSÃO DE 1.7.8 PARA 1.7.9 A PEDIDO DA CEF (08/07/15)</t>
    </r>
    <r>
      <rPr>
        <sz val="10"/>
        <rFont val="Arial"/>
        <family val="2"/>
      </rPr>
      <t xml:space="preserve">
</t>
    </r>
  </si>
  <si>
    <t>1.8.0
(23/08/2015)</t>
  </si>
  <si>
    <r>
      <t xml:space="preserve">1.Inclusão de nova FSW:
</t>
    </r>
    <r>
      <rPr>
        <sz val="10"/>
        <rFont val="Arial"/>
        <family val="2"/>
      </rPr>
      <t xml:space="preserve">68702015_00 - FÓTON INFORMÁTICA assinado em 25/05/2015.
</t>
    </r>
    <r>
      <rPr>
        <b/>
        <sz val="10"/>
        <rFont val="Arial"/>
        <family val="2"/>
      </rPr>
      <t xml:space="preserve">
2.Tratamento para contagem SNAP
</t>
    </r>
    <r>
      <rPr>
        <sz val="10"/>
        <rFont val="Arial"/>
        <family val="2"/>
      </rPr>
      <t>-FSDMS - Inclusão de nova ABA SNAP para contagem das subcategorias (2.3 / 2.4 / 3.1)
-FSDMS - Ajustes na ABA RESUMO para totalização dos P.S. incluídos, alterados, excluidos.</t>
    </r>
  </si>
  <si>
    <t>1.8.1
(03/11/2015)</t>
  </si>
  <si>
    <r>
      <t>1.Repactuação Preços (03/11/2015)</t>
    </r>
    <r>
      <rPr>
        <sz val="10"/>
        <rFont val="Arial"/>
        <family val="2"/>
      </rPr>
      <t xml:space="preserve">
-Contrato 0656/2014 - PF R$1835,33</t>
    </r>
  </si>
  <si>
    <t>1.8.2
(07/03/2016)
(30/03/2016)
(11/04/2016)</t>
  </si>
  <si>
    <r>
      <t xml:space="preserve">1.Inclusão de nova FSW: (emergencial)
</t>
    </r>
    <r>
      <rPr>
        <sz val="10"/>
        <rFont val="Arial"/>
        <family val="2"/>
      </rPr>
      <t>4616/2010 - CPM/BRAXIS/VIVERE -  assinado em 29/12/2010.
-Conforme solicitação por email enviado pelo SME SP (CEDESSP012) - em 07/03/16 a inclusão visa atender emergencialmente a utilização para mensuração de Itens Não Mensuráveis, não abordando mensurações envolvendo as demais técnicas e nem cálculos de estimativa que serão configurados em versão posterior.
2.1497/2013 - Ajustes do fator de conversão do quadro UST da aba de Resumo, conforme email recebido pelo SME SP em 29/03/16. (ajuste efeutado em 30/03/16 - RTC 1374049
3.Correção do Cálculo das funções de dados com AIE no FSDM_VERSAO conforme solicitação enviada pela CEDESSP012 em 07/04/16.</t>
    </r>
  </si>
  <si>
    <t>1.8.3
(06/05/2016)</t>
  </si>
  <si>
    <r>
      <t xml:space="preserve">1.RTC 1397648 
</t>
    </r>
    <r>
      <rPr>
        <sz val="10"/>
        <rFont val="Arial"/>
        <family val="2"/>
      </rPr>
      <t xml:space="preserve">-Ajuste no cálculo do cenário Mobile envolvendo a categoria 10 para a coluna de Total UST respectiva.
</t>
    </r>
    <r>
      <rPr>
        <b/>
        <sz val="10"/>
        <rFont val="Arial"/>
        <family val="2"/>
      </rPr>
      <t xml:space="preserve">2.RTC 1360332 
</t>
    </r>
    <r>
      <rPr>
        <sz val="10"/>
        <rFont val="Arial"/>
        <family val="2"/>
      </rPr>
      <t xml:space="preserve">-Repactuação Contrato 4423/2012 - PF Normal (R$623,19) e Expresso (R$685,50) 
-Inclusão do Contrato 7124/2014 - MAPS S.A - Assinado em 21/11/14 
-Repactuação Contrato 5405/2012 - PF Nomral (R$839,73) e Expresso (R$209,93)
</t>
    </r>
    <r>
      <rPr>
        <b/>
        <sz val="10"/>
        <rFont val="Arial"/>
        <family val="2"/>
      </rPr>
      <t xml:space="preserve">3.RTC 1395961 </t>
    </r>
    <r>
      <rPr>
        <sz val="10"/>
        <rFont val="Arial"/>
        <family val="2"/>
      </rPr>
      <t xml:space="preserve">
-Inclusão Alteração de Escopo para o FSDMS_VERSAO e ESTIMA_VERSAO
</t>
    </r>
  </si>
  <si>
    <t>1.8.4
(09/11/2016)</t>
  </si>
  <si>
    <r>
      <t xml:space="preserve">1.Aba SNAP - Correção de erro na inserção de novas linhas
</t>
    </r>
    <r>
      <rPr>
        <b/>
        <sz val="10"/>
        <rFont val="Arial"/>
        <family val="2"/>
      </rPr>
      <t xml:space="preserve">2.RTC 1633419 </t>
    </r>
    <r>
      <rPr>
        <sz val="10"/>
        <rFont val="Arial"/>
        <family val="2"/>
      </rPr>
      <t xml:space="preserve">
-Inclusão do Contrato 1231/2013 - CPM. BRAXIS - SAP
</t>
    </r>
  </si>
  <si>
    <t>1.8.5
(20/12/2016)
(28/12/2016)</t>
  </si>
  <si>
    <r>
      <t>1.RTC 1679026 - 20/12/2016</t>
    </r>
    <r>
      <rPr>
        <sz val="10"/>
        <rFont val="Arial"/>
        <family val="2"/>
      </rPr>
      <t xml:space="preserve">
-Ajuste de compatibilidade de versão windows 10 X Office 2003 para os botões das planilhas de Estima_PU, Estima_Estrut e Estima_Versao
</t>
    </r>
    <r>
      <rPr>
        <b/>
        <sz val="10"/>
        <rFont val="Arial"/>
        <family val="2"/>
      </rPr>
      <t>2.RTC 1714837 - ATUALIZAÇÃO DE REPACTUAÇÃO CONTRATUAL - 28/12/2016</t>
    </r>
    <r>
      <rPr>
        <sz val="10"/>
        <rFont val="Arial"/>
        <family val="2"/>
      </rPr>
      <t xml:space="preserve">
-INDRA POLITEC - EMPRESTAR E FINANCIAR - 3777/2012
PF Normal R$703,83 // PF Expresso R$703,83 // Prod ND 12,96 // Prod MS 13,24
-INDRA POLITEC - CARTÕES - 5251/2012
PF Normal R$572,95 // PF Expresso R$646,41 // Prod ND 12,22 // Prod MS 16,02
-MSA INFOR_TTY2000 - ADM CADASTRO - 4533/2012
PF Normal R$661,65 // PF Expresso R$727,81 // Prod ND 7,95 // Prod MS 11,88
-STEFANINI - PROGR SOCIAIS - 4566/2012
PF Normal R$639,87 // PF Expresso R$643,44 // Prod ND 15,12 // Prod MS 14,70
-STEFANINI - FUNDOS E SEGUROS - 4570/2012
PF Normal R$1.035,00 // PF Expresso R$1.100,84 // Prod ND 7,62 // Prod MS 12,60
-BRQ/CAST/BSI - FINANC E CONTROLADORIA - 5929/2012
PF Normal R$636,24 // PF Expresso R$703,67 // Prod ND 8,54 // Prod MS 13,15
-DBA WEB - DESENVOLVIMENTO URBANO - 6540/2012
PF Normal R$863,45 // PF Expresso R$863,45 // Prod ND 12,87 // Prod MS 10,88
-DBA WEB - NOVAS TECNOLOGIAS BI - 1497/2013
PF Normal R$655,96 // PF Expresso R$655,96 // Prod ND 23,61 // Prod MS 18,79
-DBA WEB - NOVAS TECNOLOGIAS INFRA E GEO - 1497/2013
PF Normal R$722,70 // PF Expresso R$722,70 // Prod ND 7,16 // Prod MS 11,55
-DBA WEB - NOVAS TECNOLOGIAS CERTIFICAÇÃO DIGITAL - 1497/2013
PF Normal R$665,53 // PF Expresso R$665,53 // Prod ND 7,16 // Prod MS 11,55
-DBA WEB - NOVAS TECNOLOGIAS APLICAÇÃO WEB - 1497/2013
PF Normal R$728,08 // PF Expresso R$728,08 // Prod ND 7,16 // Prod MS 11,55
-DBA WEB - NOVAS TECNOLOGIAS PORTAL CONTEUDO - 1497/2013
UST Normal R$56,08 // UST Expresso R$70,54
</t>
    </r>
  </si>
  <si>
    <t>1.8.6</t>
  </si>
  <si>
    <r>
      <t xml:space="preserve">1. RTC 1714837 - 31/03/2017
</t>
    </r>
    <r>
      <rPr>
        <sz val="10"/>
        <rFont val="Arial"/>
        <family val="2"/>
      </rPr>
      <t xml:space="preserve">1.1 - Alteração da planilha SNAP para possibilitar fazer a contagem de todas as subcategorias do SNAP
1.2 - Alteração da planilha Resumo para apresentar os totais de pontos SNAP somente para as subcategorias autorizadas para a fábrica que foi informada na aba FSDMS
1.3 - Alteração da planilha Resumo para apresentar o total de PF resultado da conversão de pontos SNAP em Pontos de Função
1.4 - Alteração da planilha Resumo para somar, conforme o seu status no serviço, os totais de PF convertidos de pontos SNAP com os totais de PF obtidos na contagem das planilhas Função de Dados e Função Transação.
1.5 - Inclusão das seguintes fábricas: 
Cast - Financeiro - Contrato nº 0144/2017
Spread - Controladoria - Contrato nº 0180/2017
Tivit - Emprestar e Financiar - Contrato nº 0263/2017
BRQ - Barramento - Contrato nº 0310/2017
First Decision - BI - Contrato nº 0326/2017
Spread - Risco - Contrato nº 0355/2017
Spread - Cartões de Débito - Contrato nº 0356/2017
</t>
    </r>
    <r>
      <rPr>
        <b/>
        <sz val="10"/>
        <rFont val="Arial"/>
        <family val="2"/>
      </rPr>
      <t>2. RTC 1912712 - 20/04/2017</t>
    </r>
    <r>
      <rPr>
        <sz val="10"/>
        <rFont val="Arial"/>
        <family val="2"/>
      </rPr>
      <t xml:space="preserve">
2.1 - Acerto dos valores de PF e PF Expresso para o contrato 5405/2012 - Stefanini - Captar Recursos
- PF Normal alterado de R$ 839,73 para R$ 681,57.
- PF Expresso alterado de R$ 209,93 para R$ 749,70.</t>
    </r>
  </si>
  <si>
    <t>TI MÉTRICAS / SP
Mario Luiz Varella</t>
  </si>
  <si>
    <t>1.8.7</t>
  </si>
  <si>
    <r>
      <rPr>
        <b/>
        <sz val="10"/>
        <rFont val="Arial"/>
        <family val="2"/>
      </rPr>
      <t>1. RTC S/Nº - 17/07/2017</t>
    </r>
    <r>
      <rPr>
        <sz val="10"/>
        <rFont val="Arial"/>
        <family val="2"/>
      </rPr>
      <t xml:space="preserve">
1.2 - Alteração da habilitação para contagem SNAP do contrato 31 (Crédito Imobiliário) para o contrato 41 (Tecnologias Móveis).
Contrato 41 incluído CPM/BRAXIS - Tecnologias Móveis (Contrato 9013/2016) </t>
    </r>
    <r>
      <rPr>
        <b/>
        <sz val="10"/>
        <rFont val="Arial"/>
        <family val="2"/>
      </rPr>
      <t xml:space="preserve">
2. RTC 2130734 - 24/07/2017</t>
    </r>
    <r>
      <rPr>
        <sz val="10"/>
        <rFont val="Arial"/>
        <family val="2"/>
      </rPr>
      <t xml:space="preserve">
2.1 - Inclusão do contrato 3483/2017 - Magna Sistemas Consultoria S/A - Barramento de Serviços
2.2 - Desproteção da combo-box de seleção do tipo de contagem SNAP na aba "SNAP"
2.3 - Modificação das rotinas de Cálculo de Prazo, Cálculo de Produtividade e Cálculo do Valor PF nas planilhas de estimativas (melhoria de código).</t>
    </r>
  </si>
  <si>
    <t>1.8.8</t>
  </si>
  <si>
    <r>
      <t xml:space="preserve">1. RTC 2311135
</t>
    </r>
    <r>
      <rPr>
        <sz val="10"/>
        <rFont val="Arial"/>
        <family val="2"/>
      </rPr>
      <t>1.1 Inclusão das subcategorias SNAP homologadas no Guia de Métricas para o contrato de BI (First Decision)</t>
    </r>
  </si>
  <si>
    <t>1.8.9</t>
  </si>
  <si>
    <r>
      <t xml:space="preserve">1. RTC 2665749 - 25/10/2017
</t>
    </r>
    <r>
      <rPr>
        <sz val="10"/>
        <rFont val="Arial"/>
        <family val="2"/>
      </rPr>
      <t>1.1 Acerto na fórmula de calculo de prazo nas planilhas ESTIMA_Estrut, ESTIMA_PU e ESTIMA_Versao
1.2 Modificação na aba Resumo da planilha PPDS_Laudo_Contagem_FSDMS para apresentar de forma separada o total de pontos de função e o total de pontos SNAP.</t>
    </r>
  </si>
  <si>
    <t>1.9.0</t>
  </si>
  <si>
    <r>
      <t xml:space="preserve">RTC 3608319 - 01/02/2018
</t>
    </r>
    <r>
      <rPr>
        <sz val="10"/>
        <rFont val="Arial"/>
        <family val="2"/>
      </rPr>
      <t>1. Inclusão das FSW RESOURCE - Programas Sociais (Cnt. 11.410/2017), TTY - Fundos e Seguros (Cnt. 11.409/2017, CAST - Administrativo/Cadastro (Cnt. 11.258/2017) e BRQ - Ágil (Cnt. 14.132/2017)</t>
    </r>
  </si>
  <si>
    <t>1.9.1</t>
  </si>
  <si>
    <r>
      <t xml:space="preserve">RTC 3950469 - 19/02/2018
</t>
    </r>
    <r>
      <rPr>
        <sz val="10"/>
        <rFont val="Arial"/>
        <family val="2"/>
      </rPr>
      <t>1. Desabilitada a homologação da subcategoria 3.1 do SNAP à pedido da GEARQ09</t>
    </r>
  </si>
  <si>
    <t>1.9.2</t>
  </si>
  <si>
    <r>
      <t xml:space="preserve">Manutenção corretiva (sem RTC) - 28/02/2018
</t>
    </r>
    <r>
      <rPr>
        <sz val="10"/>
        <rFont val="Arial"/>
        <family val="2"/>
      </rPr>
      <t>1. Incluir o método de contagem estimada para a subcategoria 3.3 do SNAP.
2. Correção na macro de inserção de linhas para atualização do totalizador de pontos SNAP na planilha SNAP.
3. Substituição dos termos "SIGCP" e "SISOL" por "SIGCT" e "RTC" respectivamente.</t>
    </r>
  </si>
  <si>
    <r>
      <t xml:space="preserve">Manutenção evolutiva - RTC 4157659 - 09/03/2018
</t>
    </r>
    <r>
      <rPr>
        <sz val="10"/>
        <rFont val="Arial"/>
        <family val="2"/>
      </rPr>
      <t>Incluído aviso na aba FSDMS. Quando a Fábrica de Software for selecionada a planilha avisará como os arquivos lógicos internos (AIE) devem ser registrados na planilha de contagem.</t>
    </r>
  </si>
  <si>
    <r>
      <t xml:space="preserve">Manutenção evolutiva - RTC 3850826 - 23/03/2018
</t>
    </r>
    <r>
      <rPr>
        <sz val="10"/>
        <rFont val="Arial"/>
        <family val="2"/>
      </rPr>
      <t>1. Inclusão de novas fábricas que atendem ao PeDes, sendo:
a) Unisys - Cnt. 1200/2013 - Atendimento PeDes Belo Horizonte
b) Hitss do Brasil - Cnt. 1529/2017 - Atendimento PeDes Brasília e Recife
c) Spassu - Cnt. 3656/2013 - Atendimento PeDes Curitiba
d) ToBrasil - Cnt. 5032/2014 - Atendimento PeDes Goiânia
e) Stefanini - Cnt. 7910/2016 - Atendimento Pedes Fortaleza
f) Datainfo - Cnt. 9471/2017 - Atendimento PeDes Salvador
g) Dataingo - Cnt. 3934/2016 - Atendimento PeDes Florianópolis
2. Revisão do parâmetro de previsão contratual sobre a contagem de AIE, incluido na versão anterior e modificação do texto das mensagens.</t>
    </r>
  </si>
  <si>
    <r>
      <t xml:space="preserve">Manutenção evolutiva - RTC 4306395 - 02/04/2018
</t>
    </r>
    <r>
      <rPr>
        <sz val="10"/>
        <rFont val="Arial"/>
        <family val="2"/>
      </rPr>
      <t>1) Alteração nos preços do contrato Stefanini - Captar Recursos - Cnt. 5405/2012</t>
    </r>
  </si>
  <si>
    <r>
      <t xml:space="preserve">Manutenção evolutiva - RTC 4472313 - 04/04/2018
</t>
    </r>
    <r>
      <rPr>
        <sz val="10"/>
        <rFont val="Arial"/>
        <family val="2"/>
      </rPr>
      <t>1) Adequação da planilha de contagem a nova constante de conversão de valor (0,19) para todas as subcategorias SNAP homologadas exceto as subcategorias 1.4 e 3.3</t>
    </r>
  </si>
  <si>
    <t>1.9.3</t>
  </si>
  <si>
    <r>
      <t xml:space="preserve">Manutenção evolutiva - RTC 4804312 - 20/04/2018
</t>
    </r>
    <r>
      <rPr>
        <sz val="10"/>
        <rFont val="Arial"/>
        <family val="2"/>
      </rPr>
      <t>1) Alteração na função de conversão de pontos SNAP para pontos de função, adequando-se às regras dos contratos 6870/2015 - Fóton e 9013/2016 - CPM/BRAXIS (Capgemini)
2) Alteração da planilha de divergência para incluir as divergências encontradas em contagens SNAP
3) Correção da classificação de pagamento dos AIE para as fábricas contratadas em 2017, após entendimentos com o Sr. Andro do SME/BR.</t>
    </r>
  </si>
  <si>
    <t>1.9.4</t>
  </si>
  <si>
    <r>
      <t xml:space="preserve">Manutenção evolutiva - RTC 5190007 - 21/05/2018
</t>
    </r>
    <r>
      <rPr>
        <sz val="10"/>
        <rFont val="Arial"/>
        <family val="2"/>
      </rPr>
      <t>1) Construção dinâmica da combo de tipo de arquivo lógico na aba Função de Dados conforme o contrato selecionado na aba FSDMS para impedir o uso de AIE Esforço em contratos que não utilizam esta figura de contagem.
2) Alteração do layout da aba Resumo, agrupando informações de contagem e informações de contratação em blocos distintos com cores diferentes.</t>
    </r>
  </si>
  <si>
    <t>1.9.5</t>
  </si>
  <si>
    <r>
      <t xml:space="preserve">Manutenção evolutiva - RTC's 5671735 e 5718424 - 11/06/2018
</t>
    </r>
    <r>
      <rPr>
        <sz val="10"/>
        <rFont val="Arial"/>
        <family val="2"/>
      </rPr>
      <t>1) Alteração dos valores de remuneração do contrato 6428/2012 em virtude de aditamento contratual.
2) Implantação do contrato 14225/2017 - Globalweb.
3) Correção de parâmetro de pagamento de AIE no contrato 4423/2012.</t>
    </r>
  </si>
  <si>
    <t>1.9.6</t>
  </si>
  <si>
    <r>
      <t xml:space="preserve">Manutenção evolutiva - RTC 5739966 - 19/06/2018
</t>
    </r>
    <r>
      <rPr>
        <sz val="10"/>
        <rFont val="Arial"/>
        <family val="2"/>
      </rPr>
      <t>1) Implantação do contrato 10.938/2015 nas planilhas Estima_PU e Estima_Versão</t>
    </r>
  </si>
  <si>
    <t>1.9.7</t>
  </si>
  <si>
    <r>
      <t xml:space="preserve">Manutenção evolutiva - RTC 6791376 - 10/08/2018
</t>
    </r>
    <r>
      <rPr>
        <sz val="10"/>
        <rFont val="Arial"/>
        <family val="2"/>
      </rPr>
      <t>1) Implantação do contrato 6.548/2018 - Globalweb</t>
    </r>
  </si>
  <si>
    <t>1.9.8</t>
  </si>
  <si>
    <r>
      <t xml:space="preserve">Manutenção evolutiva - RTC 6830282 - 14/08/2018
</t>
    </r>
    <r>
      <rPr>
        <sz val="10"/>
        <rFont val="Arial"/>
        <family val="2"/>
      </rPr>
      <t>1) Implantação do contrato 5.606/2018 - Stefanini</t>
    </r>
  </si>
  <si>
    <t>1.9.9</t>
  </si>
  <si>
    <r>
      <t xml:space="preserve">Manutenção evolutiva - RTC 7340704 - 04/09/2018
</t>
    </r>
    <r>
      <rPr>
        <sz val="10"/>
        <rFont val="Arial"/>
        <family val="2"/>
      </rPr>
      <t>1) Implantação do contrato 6.658/2018 - Globalweb</t>
    </r>
  </si>
  <si>
    <t>1.9.10</t>
  </si>
  <si>
    <r>
      <t xml:space="preserve">Manutenção evolutiva - RTC 7986118 - 08/10/2018
</t>
    </r>
    <r>
      <rPr>
        <sz val="10"/>
        <rFont val="Arial"/>
        <family val="2"/>
      </rPr>
      <t>1) Implantação do contrato 2.812/2018 - Stefanini</t>
    </r>
  </si>
  <si>
    <t>1.9.11</t>
  </si>
  <si>
    <r>
      <t xml:space="preserve">Manutenção evolutiva - RTC 8211131, RTC 8223546 e RTC 8226294 - 22/10/2018
</t>
    </r>
    <r>
      <rPr>
        <sz val="10"/>
        <rFont val="Arial"/>
        <family val="2"/>
      </rPr>
      <t>1) Implantação do contrato 8.666/2018 - Fóton
2) Implantação do contrato 1.255/2017 - Stefanini
3) Implantação do contrato 8.711/2018 - Indra</t>
    </r>
    <r>
      <rPr>
        <b/>
        <sz val="10"/>
        <rFont val="Arial"/>
        <family val="2"/>
      </rPr>
      <t xml:space="preserve">
</t>
    </r>
  </si>
  <si>
    <t>1.9.12</t>
  </si>
  <si>
    <r>
      <t xml:space="preserve">Manutenção evolutiva - RTC 8195184 - 25/10/2018
</t>
    </r>
    <r>
      <rPr>
        <sz val="10"/>
        <rFont val="Arial"/>
        <family val="2"/>
      </rPr>
      <t xml:space="preserve">1) Modificação na lógica de obtenção dos valores de PF e UST quando o modo Expresso for utilizado. Para as fábricas cujos valores do modo Expresso foram definidos em R$ no contrato somente a seleção dos modos Normal e Expresso é possível. Para as fábricas cujos valores do modo Expresso foram definidos como percentuais de acréscimo sobre os valores normais haverá a opção de seleção dos modos Normal, Expresso 20%, Expresso 40% e Expresso 60%. </t>
    </r>
  </si>
  <si>
    <t>1.9.13</t>
  </si>
  <si>
    <r>
      <t xml:space="preserve">Manutenção evolutiva - RTC 8439915 - 01/11/2018
</t>
    </r>
    <r>
      <rPr>
        <sz val="10"/>
        <rFont val="Arial"/>
        <family val="2"/>
      </rPr>
      <t>1) Inclusão do contrato 9.386/2018 - Spread</t>
    </r>
  </si>
  <si>
    <t>1.9.14</t>
  </si>
  <si>
    <r>
      <t xml:space="preserve">Manutenção evolutiva - RTC 10350203 - 18/02/2019
</t>
    </r>
    <r>
      <rPr>
        <sz val="10"/>
        <rFont val="Arial"/>
        <family val="2"/>
      </rPr>
      <t xml:space="preserve">1) Inclusão do contrato 1.614/2017 - Tree Solution
</t>
    </r>
    <r>
      <rPr>
        <b/>
        <sz val="10"/>
        <rFont val="Arial"/>
        <family val="2"/>
      </rPr>
      <t>Manutenção corretiva - RTC 10350077 - 18/02/2019</t>
    </r>
    <r>
      <rPr>
        <sz val="10"/>
        <rFont val="Arial"/>
        <family val="2"/>
      </rPr>
      <t xml:space="preserve">
1) Correção na aba Resumo SIGCT das fórmulas das células F15 e F16</t>
    </r>
  </si>
  <si>
    <t>1.9.15</t>
  </si>
  <si>
    <r>
      <t xml:space="preserve">Manutenção evolutiva - RTC 10363981 - 28/02/2019
</t>
    </r>
    <r>
      <rPr>
        <sz val="10"/>
        <rFont val="Arial"/>
        <family val="2"/>
      </rPr>
      <t>1) Inclusão dos contratos 8662/2018, 8786/2018 e 0453/2019 - SPREAD
2) Correção da forma de contabilização de AIE no contrato 9386/2018 - SPREAD</t>
    </r>
  </si>
  <si>
    <t>1.9.16</t>
  </si>
  <si>
    <r>
      <t xml:space="preserve">Manutenção evolutiva - RTC 10393365 - 20/03/2019
</t>
    </r>
    <r>
      <rPr>
        <sz val="10"/>
        <rFont val="Arial"/>
        <family val="2"/>
      </rPr>
      <t>1) Inclusão do contrato 9520/2018 - Fóton</t>
    </r>
  </si>
  <si>
    <t>1.9.17</t>
  </si>
  <si>
    <r>
      <t xml:space="preserve">Manutenção evolutiva - RTC 10459002 - 12/04/2019
</t>
    </r>
    <r>
      <rPr>
        <sz val="10"/>
        <rFont val="Arial"/>
        <family val="2"/>
      </rPr>
      <t>1) Inclusão do contrato 8663/2018 - Fóton - PEDES/MG
2) Inclusão do tipo de funcionalidade "NA" permitir a documentação de requisitos que não geram funcionalidades</t>
    </r>
  </si>
  <si>
    <t>1.9.18</t>
  </si>
  <si>
    <r>
      <t xml:space="preserve">Manutenção evolutiva - RTC 10584123 - 16/05/2019
</t>
    </r>
    <r>
      <rPr>
        <sz val="10"/>
        <rFont val="Arial"/>
        <family val="2"/>
      </rPr>
      <t>1) Alteração do valor do PF no contrato 6870/2015 - Fóton</t>
    </r>
  </si>
  <si>
    <t>1.9.19</t>
  </si>
  <si>
    <r>
      <t xml:space="preserve">Manutenção evolutiva - RTC 11180031 - 28/08/2019
</t>
    </r>
    <r>
      <rPr>
        <sz val="10"/>
        <rFont val="Arial"/>
        <family val="2"/>
      </rPr>
      <t>1) Inclusão do contrato 5.501/2019 - Cast</t>
    </r>
  </si>
  <si>
    <t>TI MÉTRICAS / SP
Bruno Fernandes Antoniassi</t>
  </si>
  <si>
    <t>1.9.20</t>
  </si>
  <si>
    <r>
      <t xml:space="preserve">Manutenção Corretiva - Sem RTC
</t>
    </r>
    <r>
      <rPr>
        <sz val="10"/>
        <rFont val="Arial"/>
        <family val="2"/>
      </rPr>
      <t xml:space="preserve">1) Alteração na Aba SNAP para impedir que o cálculo dos pontos SNAP seja realizado caso o analista não tenha informado o campo "Status no Serviço".  </t>
    </r>
  </si>
  <si>
    <t>1.9.21</t>
  </si>
  <si>
    <r>
      <t xml:space="preserve">Manutenção evolutiva - RTC 13177617 - 19/02/2020
</t>
    </r>
    <r>
      <rPr>
        <sz val="10"/>
        <rFont val="Arial"/>
        <family val="2"/>
      </rPr>
      <t>1) Inclusão do contrato 4885/2018 -- CPQD</t>
    </r>
  </si>
  <si>
    <t>1.9.22</t>
  </si>
  <si>
    <r>
      <t xml:space="preserve">Manutenção evolutiva - RTC 13177617 - 27/08/2020
</t>
    </r>
    <r>
      <rPr>
        <sz val="10"/>
        <rFont val="Arial"/>
        <family val="2"/>
      </rPr>
      <t>1) Inclusão do contrato 5384/2019 - TTY</t>
    </r>
  </si>
  <si>
    <t>1.9.23</t>
  </si>
  <si>
    <r>
      <t xml:space="preserve">Manutenção Corretiva - Sem RTC - 26/10/2020
</t>
    </r>
    <r>
      <rPr>
        <sz val="10"/>
        <rFont val="Arial"/>
        <family val="2"/>
      </rPr>
      <t>1) Correção de erros de fórmulas causados por versões recentes do Excel em arquivos do Excel 2003 (_xlfn.SINGLE).</t>
    </r>
  </si>
  <si>
    <t>1.9.24</t>
  </si>
  <si>
    <r>
      <t xml:space="preserve">Manutenção evolutiva - RTC 16090362 e RTC 16101037 - 08/12/2020
</t>
    </r>
    <r>
      <rPr>
        <sz val="10"/>
        <rFont val="Arial"/>
        <family val="2"/>
      </rPr>
      <t>1) RTC16090362 - Inclusão do contrato 6425/2020 - RJE nas planilhas de contagem e estimativas
2) RTC16101037 - Atualização do valor do contrato 5606/2018 - Stefani
3) Retirado bloqueio de preenchimento das células "Considerações SME" na planilha "Formulário Divergência"
4) Alteração da senha de proteção das planilhas.</t>
    </r>
  </si>
  <si>
    <t>1.9.25</t>
  </si>
  <si>
    <r>
      <t xml:space="preserve">Manutenção Corretiva - RTC 16203842 - 21/12/2020
</t>
    </r>
    <r>
      <rPr>
        <sz val="10"/>
        <rFont val="Arial"/>
        <family val="2"/>
      </rPr>
      <t>1) Correção de inconsistência na apresentação da FSW escolhida entre as abas Distribuição e as abas de Resumo de estimativas.
2) Atualização do valor hora da Fábrica de Métricas conforme último Termo Aditivo.</t>
    </r>
  </si>
  <si>
    <t>1.9.26</t>
  </si>
  <si>
    <r>
      <t xml:space="preserve">Manutenção Evolutiva - RTC 16244054 - 29/12/2020
</t>
    </r>
    <r>
      <rPr>
        <sz val="10"/>
        <rFont val="Arial"/>
        <family val="2"/>
      </rPr>
      <t>1) Inclusão do contrato 5358/2019 - Fóton nas planilhas de contagem.</t>
    </r>
  </si>
  <si>
    <t>1.9.27</t>
  </si>
  <si>
    <r>
      <t xml:space="preserve">Manutenção Evolutiva - RTC 16658738 - 12/02/2021
</t>
    </r>
    <r>
      <rPr>
        <sz val="10"/>
        <rFont val="Arial"/>
        <family val="2"/>
      </rPr>
      <t>1) Inclusão do contrato 14.680/2017 - Memora nas planilhas de contagem</t>
    </r>
  </si>
  <si>
    <t>1.9.28</t>
  </si>
  <si>
    <r>
      <t xml:space="preserve">Manutenção Evolutiva - RTC 17339395 - 27/04/2021
</t>
    </r>
    <r>
      <rPr>
        <sz val="10"/>
        <rFont val="Arial"/>
        <family val="2"/>
      </rPr>
      <t>1) Inclusão dos objetos de contrato na descrição de todas as FSW.</t>
    </r>
  </si>
  <si>
    <t>1.9.29</t>
  </si>
  <si>
    <r>
      <t xml:space="preserve">Manutenção Evolutiva - RTC 17478641 e RTC 17494962 - 12/05/2021
</t>
    </r>
    <r>
      <rPr>
        <sz val="10"/>
        <rFont val="Arial"/>
        <family val="2"/>
      </rPr>
      <t>1) RTC 17478641 - Inclusão do contrato 8664/2018 - Fóton - PeDes GO nas planilhas de contagem;
2) RTC 17494962 - Inclusão do contrato 11836/2020 - Benner nas planilhas de contagem.</t>
    </r>
  </si>
  <si>
    <t>1.9.30</t>
  </si>
  <si>
    <r>
      <t xml:space="preserve">Manutenção Evolutiva - RTC 17499689 - 19/05/2021
</t>
    </r>
    <r>
      <rPr>
        <sz val="10"/>
        <rFont val="Arial"/>
        <family val="2"/>
      </rPr>
      <t>1) Inclusão do contrato 5.548/2019 - TTY2000 nas planilhas de contagem</t>
    </r>
  </si>
  <si>
    <t>1.9.31</t>
  </si>
  <si>
    <r>
      <t xml:space="preserve">Manutenção Evolutiva - RTC 17610414 - 23/06/2021
</t>
    </r>
    <r>
      <rPr>
        <sz val="10"/>
        <rFont val="Arial"/>
        <family val="2"/>
      </rPr>
      <t>1) Inclusão do contrato 5.426/2019 - DATAINFO - Pedes PR nas planilhas de contagem</t>
    </r>
  </si>
  <si>
    <t>1.9.32</t>
  </si>
  <si>
    <r>
      <t xml:space="preserve">Manutenção Evolutiva - RTC 17695138 - 21/07/2021
</t>
    </r>
    <r>
      <rPr>
        <sz val="10"/>
        <rFont val="Arial"/>
        <family val="2"/>
      </rPr>
      <t>1) Inclusão do contrato 2.582/2021 - SONDA - S.A.P. nas planilhas de contagem</t>
    </r>
  </si>
  <si>
    <t>2.0</t>
  </si>
  <si>
    <r>
      <t xml:space="preserve">Manutenção Evolutiva - RTC 17482282 - 29/07/2021
</t>
    </r>
    <r>
      <rPr>
        <sz val="10"/>
        <rFont val="Arial"/>
        <family val="2"/>
      </rPr>
      <t>1) Inclusão da aba Funções x RTC, permitindo que a medição seja rateada entre vários RTCs ou Sprints diferentes.</t>
    </r>
  </si>
  <si>
    <t>2.0.1</t>
  </si>
  <si>
    <r>
      <t xml:space="preserve">Manutenção Evolutiva - RTC 17883448 - 08/09/2021
</t>
    </r>
    <r>
      <rPr>
        <sz val="10"/>
        <rFont val="Arial"/>
        <family val="2"/>
      </rPr>
      <t>1) Inclusão de contagem estimada SNAP para as subcategorias 1.4, 2.2 e 4.1
2) Correção de literais conforme solicitado no RTC</t>
    </r>
  </si>
  <si>
    <t>2.0.2</t>
  </si>
  <si>
    <r>
      <rPr>
        <b/>
        <sz val="10"/>
        <rFont val="Arial"/>
        <family val="2"/>
      </rPr>
      <t xml:space="preserve">Manutenção Evolutiva - Chat Teams em O365GRP - Internalização Processo de Métricas - 04/10/2021 </t>
    </r>
    <r>
      <rPr>
        <sz val="10"/>
        <rFont val="Arial"/>
        <family val="2"/>
      </rPr>
      <t xml:space="preserve">
1) Inclusão do Contrato RESOURCE - Cartões (Cnt. 16754/2020)
2) Liberação das macros para inclusão de linhas, estavas inibidas, como se fossem comentários (').</t>
    </r>
  </si>
  <si>
    <t>CAIXA / RJ
Márcio Rodrigues</t>
  </si>
  <si>
    <t>2.0.3</t>
  </si>
  <si>
    <r>
      <rPr>
        <b/>
        <sz val="10"/>
        <rFont val="Arial"/>
        <family val="2"/>
      </rPr>
      <t xml:space="preserve">Manutenção Evolutiva - Chat Teams em O365GRP - Internalização Processo de Métricas - 14/10/2021 </t>
    </r>
    <r>
      <rPr>
        <sz val="10"/>
        <rFont val="Arial"/>
        <family val="2"/>
      </rPr>
      <t xml:space="preserve">
1) Inclusão do Contrato SONSAS - Solução ALM (Cnt. 06696/2019)</t>
    </r>
  </si>
  <si>
    <t>2.0.4</t>
  </si>
  <si>
    <r>
      <rPr>
        <b/>
        <sz val="10"/>
        <rFont val="Arial"/>
        <family val="2"/>
      </rPr>
      <t xml:space="preserve">Manutenção Evolutiva - Chat Teams em Reunião de Equipe - 25/10/2021 </t>
    </r>
    <r>
      <rPr>
        <sz val="10"/>
        <rFont val="Arial"/>
        <family val="2"/>
      </rPr>
      <t xml:space="preserve">
1) Na planilha FSDMS, campo 14, nas opções de resposta para "Quem executou a contagem?", foi excluída a opção "Fábrica de Software".</t>
    </r>
  </si>
  <si>
    <t>2.0.5</t>
  </si>
  <si>
    <r>
      <rPr>
        <b/>
        <sz val="10"/>
        <rFont val="Arial"/>
        <family val="2"/>
      </rPr>
      <t xml:space="preserve">Manutenção Evolutiva - Chat Teams em Reunião de Equipe - 05/11/2021 </t>
    </r>
    <r>
      <rPr>
        <sz val="10"/>
        <rFont val="Arial"/>
        <family val="2"/>
      </rPr>
      <t xml:space="preserve">
1) Na planilha FSDMS, campo 17b, as opções de resposta para "Fábrica de Software responsável pelo Serviço: ", foram ordenadas alfabeticamente.</t>
    </r>
  </si>
  <si>
    <t>2.0.6</t>
  </si>
  <si>
    <r>
      <rPr>
        <b/>
        <sz val="10"/>
        <rFont val="Arial"/>
        <family val="2"/>
      </rPr>
      <t xml:space="preserve">Manutenção Evolutiva - Chat Teams - 10/11/2021 </t>
    </r>
    <r>
      <rPr>
        <sz val="10"/>
        <rFont val="Arial"/>
        <family val="2"/>
      </rPr>
      <t xml:space="preserve">
1) Na planilha FSDMS, campo 17b, as opções de resposta para "Fábrica de Software responsável pelo Serviço: ", foram ordenadas conforme a entrada do registro.
2) Alterado o campo:  "Preenchimento Fábrica de Métricas" para "Preenchimento Responsável pela mensuração".
2.1) Retirados dos campos 22 e 23 a frase: "*/Preenchimento da Fábrica de Métricas/*".</t>
    </r>
  </si>
  <si>
    <t>2.0.7</t>
  </si>
  <si>
    <r>
      <rPr>
        <b/>
        <sz val="10"/>
        <rFont val="Arial"/>
        <family val="2"/>
      </rPr>
      <t xml:space="preserve">Manutenção Evolutiva - RTC 18335378 - 07/12/2021
</t>
    </r>
    <r>
      <rPr>
        <sz val="10"/>
        <rFont val="Arial"/>
        <family val="2"/>
      </rPr>
      <t>1) Alteração na planilha FSDMS, campo 9, a resposta "Contagem de PF / SNAP / UST (Fábrica de Métricas)" para "Contagem de PF / SNAP / UST".
2) Inclusão do Contrato CONSÓRCIO VERT &amp; SAS - CRM (Cnt. 11433/2019)
3) Inclusão do Contrato SONDA - Folha de Pagamento (Cnt. 03093/2021)</t>
    </r>
  </si>
  <si>
    <t>2.0.8</t>
  </si>
  <si>
    <r>
      <t xml:space="preserve">Manutenção Evolutiva - RTC 18402103 - 21/12/2021
</t>
    </r>
    <r>
      <rPr>
        <sz val="10"/>
        <rFont val="Arial"/>
        <family val="2"/>
      </rPr>
      <t>1) Inclusão do Contrato FOTON - Portal Inteligência (Cnt. 6834/2021)</t>
    </r>
  </si>
  <si>
    <t>2.0.9</t>
  </si>
  <si>
    <r>
      <t xml:space="preserve">Manutenção Evolutiva - Chat Teams - 08/02/2022
</t>
    </r>
    <r>
      <rPr>
        <sz val="10"/>
        <rFont val="Arial"/>
        <family val="2"/>
      </rPr>
      <t>1) Inclusão do Contrato GLOBALWEB - Seg.Créd./Financ./Pag. (Cnt. 06285/2021)</t>
    </r>
  </si>
  <si>
    <t>3.0</t>
  </si>
  <si>
    <r>
      <t xml:space="preserve">Manutenção Evolutiva
</t>
    </r>
    <r>
      <rPr>
        <sz val="10"/>
        <rFont val="Arial"/>
        <family val="2"/>
      </rPr>
      <t xml:space="preserve">1) Habilitação do contrato </t>
    </r>
    <r>
      <rPr>
        <b/>
        <sz val="10"/>
        <rFont val="Arial"/>
        <family val="2"/>
      </rPr>
      <t xml:space="preserve">CONSÓRCIO VERT &amp; SAS - CRM (Cnt. 11433/2019) </t>
    </r>
    <r>
      <rPr>
        <sz val="10"/>
        <rFont val="Arial"/>
        <family val="2"/>
      </rPr>
      <t>para mensurar as subcategorias 1.4 e 3.3 do SNAP.</t>
    </r>
  </si>
  <si>
    <t>Andro Márcio Correa Louredo</t>
  </si>
  <si>
    <t>1) Inclusão do Contrato FOTON - Portal Inteligência (Cnt. 6834/2021)</t>
  </si>
  <si>
    <t>Glossário e tabela de abreviaturas</t>
  </si>
  <si>
    <r>
      <t>Produtividade da Equipe</t>
    </r>
    <r>
      <rPr>
        <sz val="10"/>
        <rFont val="Verdana"/>
        <family val="2"/>
      </rPr>
      <t>: Horas necessárias para implementar 1 PF na equipe</t>
    </r>
  </si>
  <si>
    <r>
      <t>Arquivo de Interface Externa</t>
    </r>
    <r>
      <rPr>
        <sz val="10"/>
        <rFont val="Verdana"/>
        <family val="2"/>
      </rPr>
      <t xml:space="preserve"> (AIE) - grupo de dados logicamente relacionados e identificável pelo usuário, que é usado com objetivo de referência, apenas. </t>
    </r>
  </si>
  <si>
    <r>
      <t>Arquivos Lógicos Internos</t>
    </r>
    <r>
      <rPr>
        <sz val="10"/>
        <rFont val="Verdana"/>
        <family val="2"/>
      </rPr>
      <t xml:space="preserve"> (ALI) - grupo de dados logicamente relacionados e identificável pelo usuário, que reside integralmente dentro da fronteira da aplicação e é mantido através de </t>
    </r>
    <r>
      <rPr>
        <i/>
        <sz val="10"/>
        <rFont val="Verdana"/>
        <family val="2"/>
      </rPr>
      <t>Entradas Externas</t>
    </r>
    <r>
      <rPr>
        <sz val="10"/>
        <rFont val="Verdana"/>
        <family val="2"/>
      </rPr>
      <t>.</t>
    </r>
  </si>
  <si>
    <t>APF</t>
  </si>
  <si>
    <t>Análise de Pontos de Função</t>
  </si>
  <si>
    <t>AR</t>
  </si>
  <si>
    <r>
      <t xml:space="preserve">Arquivos Referenciados </t>
    </r>
    <r>
      <rPr>
        <sz val="10"/>
        <rFont val="Verdana"/>
        <family val="2"/>
      </rPr>
      <t>(AR),  um arquivo referenciado pode ser um ALI lido ou mantido pela função transacional, ou um AIE lido pela função transacional.</t>
    </r>
  </si>
  <si>
    <r>
      <t>Consulta Externa</t>
    </r>
    <r>
      <rPr>
        <sz val="10"/>
        <rFont val="Verdana"/>
        <family val="2"/>
      </rPr>
      <t xml:space="preserve"> (CE) - processo elementar que envia dados (ou informações de controle) para fora da fronteira da aplicação, mas sem realização de nenhum cálculo nem a criação de dados derivados. Seu objetivo é apresentar informação para o usuário, por meio apenas de uma recuperação das informações. Nenhum ALI é mantido durante sua realização, nem o comportamento do sistema é alterado.</t>
    </r>
  </si>
  <si>
    <t>CGS</t>
  </si>
  <si>
    <t>Características Gerais do Sistema</t>
  </si>
  <si>
    <r>
      <t>Entradas Externas</t>
    </r>
    <r>
      <rPr>
        <sz val="10"/>
        <rFont val="Verdana"/>
        <family val="2"/>
      </rPr>
      <t xml:space="preserve"> (EE) - processo elementar, através do qual chegam dados pela fronteira do sistema. </t>
    </r>
  </si>
  <si>
    <t>FD</t>
  </si>
  <si>
    <r>
      <t>Funções de Dados</t>
    </r>
    <r>
      <rPr>
        <sz val="10"/>
        <rFont val="Verdana"/>
        <family val="2"/>
      </rPr>
      <t xml:space="preserve"> (FD)</t>
    </r>
    <r>
      <rPr>
        <i/>
        <sz val="10"/>
        <rFont val="Verdana"/>
        <family val="2"/>
      </rPr>
      <t xml:space="preserve">: </t>
    </r>
    <r>
      <rPr>
        <sz val="10"/>
        <rFont val="Verdana"/>
        <family val="2"/>
      </rPr>
      <t>representam as funcionalidades relativas aos requisitos de dados internos e externos à aplicação. São representadas pelos ALI e AIE.</t>
    </r>
  </si>
  <si>
    <t>FT</t>
  </si>
  <si>
    <r>
      <t xml:space="preserve">Funções de Transação </t>
    </r>
    <r>
      <rPr>
        <sz val="10"/>
        <rFont val="Verdana"/>
        <family val="2"/>
      </rPr>
      <t>(FT)</t>
    </r>
    <r>
      <rPr>
        <sz val="10"/>
        <rFont val="Arial"/>
        <family val="2"/>
      </rPr>
      <t xml:space="preserve">: </t>
    </r>
    <r>
      <rPr>
        <sz val="10"/>
        <rFont val="Verdana"/>
        <family val="2"/>
      </rPr>
      <t>representam as funcionalidades de processamento de dados do sistema fornecidas para o usuário. São representadas pelas CE, SE e EE.</t>
    </r>
  </si>
  <si>
    <t>Ponto de Função</t>
  </si>
  <si>
    <t>PFNA</t>
  </si>
  <si>
    <t>Pontos de Função Não-Ajustados</t>
  </si>
  <si>
    <r>
      <t>Saídas Externas</t>
    </r>
    <r>
      <rPr>
        <sz val="10"/>
        <rFont val="Verdana"/>
        <family val="2"/>
      </rPr>
      <t xml:space="preserve"> (SE) - processo elementar, através do qual </t>
    </r>
    <r>
      <rPr>
        <b/>
        <sz val="10"/>
        <rFont val="Verdana"/>
        <family val="2"/>
      </rPr>
      <t xml:space="preserve">dados processados </t>
    </r>
    <r>
      <rPr>
        <sz val="10"/>
        <rFont val="Verdana"/>
        <family val="2"/>
      </rPr>
      <t>saem pela fronteira do sistema</t>
    </r>
  </si>
  <si>
    <t>Um tipo de dado elementar é um campo único, reconhecido pelo usuário e não repetido.</t>
  </si>
  <si>
    <r>
      <t>Um Tipo de Registro Elementar (RLR) é um subgrupo de dados reconhecido pelo usuário dentro de um ALI ou um AIE</t>
    </r>
    <r>
      <rPr>
        <sz val="10"/>
        <rFont val="Verdana"/>
        <family val="2"/>
      </rPr>
      <t>.</t>
    </r>
  </si>
  <si>
    <t>Um tipo de arquivo referenciado é:
• Um arquivo lógico interno lido ou mantido por uma função de transação ou
• Um arquivo de interface externa lido por uma função de transação</t>
  </si>
  <si>
    <t>VAF</t>
  </si>
  <si>
    <r>
      <t xml:space="preserve">O </t>
    </r>
    <r>
      <rPr>
        <i/>
        <sz val="10"/>
        <rFont val="Verdana"/>
        <family val="2"/>
      </rPr>
      <t xml:space="preserve">Fator de Ajuste </t>
    </r>
    <r>
      <rPr>
        <sz val="10"/>
        <rFont val="Verdana"/>
        <family val="2"/>
      </rPr>
      <t xml:space="preserve">(VAF - </t>
    </r>
    <r>
      <rPr>
        <i/>
        <sz val="10"/>
        <rFont val="Verdana"/>
        <family val="2"/>
      </rPr>
      <t>Value Adjustment Factor</t>
    </r>
    <r>
      <rPr>
        <sz val="10"/>
        <rFont val="Verdana"/>
        <family val="2"/>
      </rPr>
      <t xml:space="preserve">) é baseado em 14 </t>
    </r>
    <r>
      <rPr>
        <b/>
        <sz val="10"/>
        <rFont val="Verdana"/>
        <family val="2"/>
      </rPr>
      <t>características gerais do sistema</t>
    </r>
    <r>
      <rPr>
        <sz val="10"/>
        <rFont val="Verdana"/>
        <family val="2"/>
      </rPr>
      <t>, que avaliam a funcionalidade geral da aplicação que está sendo contada, e seus níveis de influência. O nível de influência de uma característica é determinado com base em uma escala de 0 (nenhuma influência) a 5 (forte influência).</t>
    </r>
  </si>
  <si>
    <r>
      <t xml:space="preserve">Manutenção Corretiva
</t>
    </r>
    <r>
      <rPr>
        <sz val="10"/>
        <rFont val="Arial"/>
        <family val="2"/>
      </rPr>
      <t>1) Rotina de distribuição de pontos de função (aba Funções X RTC) - Correção do cálculo de distribuição dos pontos.</t>
    </r>
  </si>
  <si>
    <t>Henrique Pedra Jaber</t>
  </si>
  <si>
    <t>Planilha para Contagem em Pontos de Função – v 3.1</t>
  </si>
  <si>
    <t>x</t>
  </si>
  <si>
    <t>Elizete Abadia Ferreira</t>
  </si>
  <si>
    <t>SIGCX - Sprint 91</t>
  </si>
  <si>
    <t>PPDS_AIMM 91 - Squad 3</t>
  </si>
  <si>
    <t>Pix Automático - Recebedor - Contratar Pix Automático</t>
  </si>
  <si>
    <t>Alterado pela inclusão de validação para apresentação de telas.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</si>
</sst>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 #,##0.00_-;_-* &quot;-&quot;??_-;_-@_-"/>
    <numFmt numFmtId="164" formatCode="_(* #,##0.00_);_(* \(#,##0.00\);_(* &quot;-&quot;??_);_(@_)"/>
    <numFmt numFmtId="165" formatCode="000"/>
    <numFmt numFmtId="166" formatCode="0.0"/>
    <numFmt numFmtId="167" formatCode="&quot;R$ &quot;#,##0.00"/>
    <numFmt numFmtId="168" formatCode="#,##0.0;[Red]\-#,##0.0"/>
  </numFmts>
  <fonts count="77" x14ac:knownFonts="1">
    <font>
      <sz val="10"/>
      <name val="Arial"/>
      <family val="2"/>
    </font>
    <font>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1"/>
      <color indexed="62"/>
      <name val="Calibri"/>
      <family val="2"/>
    </font>
    <font>
      <sz val="10"/>
      <name val="MS Sans Serif"/>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2"/>
      <name val="Arial"/>
      <family val="2"/>
    </font>
    <font>
      <b/>
      <sz val="10"/>
      <name val="Arial"/>
      <family val="2"/>
    </font>
    <font>
      <b/>
      <sz val="10"/>
      <name val="Tahoma"/>
      <family val="2"/>
    </font>
    <font>
      <sz val="10"/>
      <name val="Tahoma"/>
      <family val="2"/>
    </font>
    <font>
      <sz val="8"/>
      <name val="Arial"/>
      <family val="2"/>
    </font>
    <font>
      <b/>
      <sz val="14"/>
      <name val="Arial"/>
      <family val="2"/>
    </font>
    <font>
      <b/>
      <sz val="10"/>
      <color indexed="9"/>
      <name val="Tahoma"/>
      <family val="2"/>
    </font>
    <font>
      <sz val="10"/>
      <color indexed="8"/>
      <name val="Tahoma"/>
      <family val="2"/>
    </font>
    <font>
      <sz val="12"/>
      <name val="Calibri"/>
      <family val="2"/>
    </font>
    <font>
      <b/>
      <i/>
      <sz val="10"/>
      <name val="Tahoma"/>
      <family val="2"/>
    </font>
    <font>
      <b/>
      <i/>
      <sz val="8"/>
      <name val="Tahoma"/>
      <family val="2"/>
    </font>
    <font>
      <sz val="7"/>
      <name val="Times New Roman"/>
      <family val="1"/>
    </font>
    <font>
      <b/>
      <sz val="9"/>
      <name val="Tahoma"/>
      <family val="2"/>
    </font>
    <font>
      <sz val="9"/>
      <name val="Arial"/>
      <family val="2"/>
    </font>
    <font>
      <b/>
      <sz val="12"/>
      <name val="Tahoma"/>
      <family val="2"/>
    </font>
    <font>
      <b/>
      <sz val="9"/>
      <color indexed="9"/>
      <name val="Tahoma"/>
      <family val="2"/>
    </font>
    <font>
      <u/>
      <sz val="10"/>
      <color indexed="12"/>
      <name val="Arial"/>
      <family val="2"/>
    </font>
    <font>
      <u/>
      <sz val="10"/>
      <name val="Arial"/>
      <family val="2"/>
    </font>
    <font>
      <b/>
      <sz val="10"/>
      <name val="Verdana"/>
      <family val="2"/>
    </font>
    <font>
      <i/>
      <sz val="10"/>
      <name val="Verdana"/>
      <family val="2"/>
    </font>
    <font>
      <sz val="10"/>
      <name val="Verdana"/>
      <family val="2"/>
    </font>
    <font>
      <sz val="12"/>
      <name val="Arial"/>
      <family val="2"/>
    </font>
    <font>
      <sz val="10"/>
      <name val="MS Sans Serif"/>
      <family val="2"/>
    </font>
    <font>
      <b/>
      <sz val="14"/>
      <color indexed="56"/>
      <name val="Arial"/>
      <family val="2"/>
    </font>
    <font>
      <b/>
      <sz val="9"/>
      <name val="MS Sans Serif"/>
      <family val="2"/>
    </font>
    <font>
      <b/>
      <sz val="10"/>
      <color indexed="39"/>
      <name val="MS Sans Serif"/>
      <family val="2"/>
    </font>
    <font>
      <b/>
      <sz val="10"/>
      <name val="MS Sans Serif"/>
      <family val="2"/>
    </font>
    <font>
      <b/>
      <sz val="8.5"/>
      <name val="MS Sans Serif"/>
      <family val="2"/>
    </font>
    <font>
      <sz val="9.5"/>
      <name val="MS Sans Serif"/>
      <family val="2"/>
    </font>
    <font>
      <b/>
      <sz val="10"/>
      <color indexed="12"/>
      <name val="MS Sans Serif"/>
      <family val="2"/>
    </font>
    <font>
      <b/>
      <sz val="10"/>
      <color indexed="56"/>
      <name val="MS Sans Serif"/>
      <family val="2"/>
    </font>
    <font>
      <sz val="10"/>
      <name val="Arial"/>
      <family val="2"/>
    </font>
    <font>
      <b/>
      <sz val="10"/>
      <color indexed="56"/>
      <name val="Arial"/>
      <family val="2"/>
    </font>
    <font>
      <b/>
      <sz val="8"/>
      <color indexed="39"/>
      <name val="MS Sans Serif"/>
      <family val="2"/>
    </font>
    <font>
      <b/>
      <sz val="10"/>
      <color indexed="8"/>
      <name val="Arial"/>
      <family val="2"/>
    </font>
    <font>
      <b/>
      <sz val="8"/>
      <color indexed="8"/>
      <name val="Arial"/>
      <family val="2"/>
    </font>
    <font>
      <sz val="8"/>
      <color indexed="81"/>
      <name val="Tahoma"/>
      <family val="2"/>
    </font>
    <font>
      <b/>
      <sz val="8"/>
      <color indexed="81"/>
      <name val="Tahoma"/>
      <family val="2"/>
    </font>
    <font>
      <b/>
      <sz val="10"/>
      <color indexed="10"/>
      <name val="Arial"/>
      <family val="2"/>
    </font>
    <font>
      <b/>
      <sz val="12"/>
      <color indexed="10"/>
      <name val="Arial"/>
      <family val="2"/>
    </font>
    <font>
      <sz val="10"/>
      <color indexed="9"/>
      <name val="Arial"/>
      <family val="2"/>
    </font>
    <font>
      <i/>
      <sz val="10"/>
      <name val="Arial"/>
      <family val="2"/>
    </font>
    <font>
      <b/>
      <sz val="9"/>
      <color indexed="10"/>
      <name val="Arial"/>
      <family val="2"/>
    </font>
    <font>
      <b/>
      <sz val="10"/>
      <color indexed="9"/>
      <name val="Arial"/>
      <family val="2"/>
    </font>
    <font>
      <sz val="10"/>
      <color indexed="8"/>
      <name val="Arial"/>
      <family val="2"/>
    </font>
    <font>
      <b/>
      <sz val="9"/>
      <color indexed="81"/>
      <name val="Tahoma"/>
      <family val="2"/>
    </font>
    <font>
      <sz val="9"/>
      <color indexed="81"/>
      <name val="Segoe UI"/>
      <family val="2"/>
    </font>
    <font>
      <sz val="8"/>
      <color indexed="63"/>
      <name val="Arial"/>
      <family val="2"/>
    </font>
    <font>
      <sz val="8"/>
      <color indexed="23"/>
      <name val="Arial"/>
      <family val="2"/>
    </font>
    <font>
      <sz val="10"/>
      <color indexed="23"/>
      <name val="Arial"/>
      <family val="2"/>
    </font>
    <font>
      <sz val="10"/>
      <color indexed="22"/>
      <name val="Arial"/>
      <family val="2"/>
    </font>
    <font>
      <b/>
      <sz val="8"/>
      <name val="Arial"/>
      <family val="2"/>
    </font>
    <font>
      <b/>
      <sz val="9"/>
      <name val="Arial"/>
      <family val="2"/>
    </font>
    <font>
      <b/>
      <sz val="10"/>
      <color indexed="81"/>
      <name val="Tahoma"/>
      <family val="2"/>
    </font>
    <font>
      <sz val="10"/>
      <color indexed="81"/>
      <name val="Tahoma"/>
      <family val="2"/>
    </font>
    <font>
      <b/>
      <sz val="10"/>
      <color indexed="16"/>
      <name val="Arial"/>
      <family val="2"/>
    </font>
    <font>
      <sz val="11"/>
      <color rgb="FF9C0006"/>
      <name val="Calibri"/>
      <family val="2"/>
      <scheme val="minor"/>
    </font>
    <font>
      <sz val="11"/>
      <color rgb="FF9C5700"/>
      <name val="Calibri"/>
      <family val="2"/>
      <scheme val="minor"/>
    </font>
    <font>
      <b/>
      <sz val="10"/>
      <color rgb="FF000000"/>
      <name val="Arial"/>
      <family val="2"/>
    </font>
  </fonts>
  <fills count="41">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22"/>
        <bgColor indexed="31"/>
      </patternFill>
    </fill>
    <fill>
      <patternFill patternType="solid">
        <fgColor indexed="55"/>
        <bgColor indexed="23"/>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6"/>
        <bgColor indexed="9"/>
      </patternFill>
    </fill>
    <fill>
      <patternFill patternType="solid">
        <fgColor indexed="23"/>
        <bgColor indexed="55"/>
      </patternFill>
    </fill>
    <fill>
      <patternFill patternType="solid">
        <fgColor indexed="9"/>
        <bgColor indexed="64"/>
      </patternFill>
    </fill>
    <fill>
      <patternFill patternType="solid">
        <fgColor indexed="42"/>
        <bgColor indexed="64"/>
      </patternFill>
    </fill>
    <fill>
      <patternFill patternType="solid">
        <fgColor indexed="22"/>
        <bgColor indexed="22"/>
      </patternFill>
    </fill>
    <fill>
      <patternFill patternType="solid">
        <fgColor indexed="9"/>
        <bgColor indexed="26"/>
      </patternFill>
    </fill>
    <fill>
      <patternFill patternType="solid">
        <fgColor indexed="22"/>
        <bgColor indexed="64"/>
      </patternFill>
    </fill>
    <fill>
      <patternFill patternType="solid">
        <fgColor indexed="23"/>
        <bgColor indexed="64"/>
      </patternFill>
    </fill>
    <fill>
      <patternFill patternType="solid">
        <fgColor indexed="23"/>
        <bgColor indexed="31"/>
      </patternFill>
    </fill>
    <fill>
      <patternFill patternType="solid">
        <fgColor indexed="31"/>
        <bgColor indexed="31"/>
      </patternFill>
    </fill>
    <fill>
      <patternFill patternType="solid">
        <fgColor indexed="31"/>
        <bgColor indexed="64"/>
      </patternFill>
    </fill>
    <fill>
      <patternFill patternType="solid">
        <fgColor indexed="55"/>
        <bgColor indexed="64"/>
      </patternFill>
    </fill>
    <fill>
      <patternFill patternType="solid">
        <fgColor indexed="9"/>
        <bgColor indexed="31"/>
      </patternFill>
    </fill>
    <fill>
      <patternFill patternType="solid">
        <fgColor indexed="22"/>
        <bgColor indexed="23"/>
      </patternFill>
    </fill>
    <fill>
      <patternFill patternType="solid">
        <fgColor indexed="13"/>
        <bgColor indexed="34"/>
      </patternFill>
    </fill>
    <fill>
      <patternFill patternType="solid">
        <fgColor indexed="27"/>
        <bgColor indexed="64"/>
      </patternFill>
    </fill>
    <fill>
      <patternFill patternType="solid">
        <fgColor indexed="10"/>
        <bgColor indexed="64"/>
      </patternFill>
    </fill>
    <fill>
      <patternFill patternType="solid">
        <fgColor rgb="FFFFC7CE"/>
      </patternFill>
    </fill>
    <fill>
      <patternFill patternType="solid">
        <fgColor rgb="FFFFEB9C"/>
      </patternFill>
    </fill>
  </fills>
  <borders count="20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medium">
        <color indexed="8"/>
      </bottom>
      <diagonal/>
    </border>
    <border>
      <left style="thin">
        <color indexed="8"/>
      </left>
      <right style="thin">
        <color indexed="8"/>
      </right>
      <top/>
      <bottom style="thin">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medium">
        <color indexed="8"/>
      </right>
      <top style="medium">
        <color indexed="8"/>
      </top>
      <bottom style="thick">
        <color indexed="8"/>
      </bottom>
      <diagonal/>
    </border>
    <border>
      <left style="thin">
        <color indexed="8"/>
      </left>
      <right style="medium">
        <color indexed="8"/>
      </right>
      <top style="thin">
        <color indexed="8"/>
      </top>
      <bottom style="thin">
        <color indexed="8"/>
      </bottom>
      <diagonal/>
    </border>
    <border>
      <left style="thin">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style="thin">
        <color indexed="8"/>
      </left>
      <right/>
      <top/>
      <bottom style="thin">
        <color indexed="8"/>
      </bottom>
      <diagonal/>
    </border>
    <border>
      <left/>
      <right/>
      <top style="medium">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style="medium">
        <color indexed="64"/>
      </bottom>
      <diagonal/>
    </border>
    <border>
      <left/>
      <right/>
      <top style="thin">
        <color indexed="8"/>
      </top>
      <bottom/>
      <diagonal/>
    </border>
    <border>
      <left style="thin">
        <color indexed="64"/>
      </left>
      <right style="thin">
        <color indexed="8"/>
      </right>
      <top style="thin">
        <color indexed="8"/>
      </top>
      <bottom style="thin">
        <color indexed="64"/>
      </bottom>
      <diagonal/>
    </border>
    <border>
      <left style="thin">
        <color indexed="8"/>
      </left>
      <right style="thin">
        <color indexed="8"/>
      </right>
      <top style="thin">
        <color indexed="8"/>
      </top>
      <bottom style="thin">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8"/>
      </left>
      <right style="medium">
        <color indexed="8"/>
      </right>
      <top/>
      <bottom style="medium">
        <color indexed="8"/>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medium">
        <color indexed="8"/>
      </right>
      <top style="thick">
        <color indexed="8"/>
      </top>
      <bottom style="medium">
        <color indexed="8"/>
      </bottom>
      <diagonal/>
    </border>
    <border>
      <left style="thin">
        <color indexed="8"/>
      </left>
      <right style="medium">
        <color indexed="8"/>
      </right>
      <top/>
      <bottom style="thin">
        <color indexed="8"/>
      </bottom>
      <diagonal/>
    </border>
    <border>
      <left style="thin">
        <color indexed="64"/>
      </left>
      <right style="medium">
        <color indexed="64"/>
      </right>
      <top style="thin">
        <color indexed="64"/>
      </top>
      <bottom style="thin">
        <color indexed="64"/>
      </bottom>
      <diagonal/>
    </border>
    <border>
      <left/>
      <right style="thin">
        <color indexed="64"/>
      </right>
      <top/>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style="thin">
        <color indexed="64"/>
      </left>
      <right style="thin">
        <color indexed="64"/>
      </right>
      <top/>
      <bottom style="thick">
        <color indexed="64"/>
      </bottom>
      <diagonal/>
    </border>
    <border>
      <left style="thin">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top/>
      <bottom/>
      <diagonal/>
    </border>
    <border>
      <left/>
      <right style="thin">
        <color indexed="8"/>
      </right>
      <top/>
      <bottom style="medium">
        <color indexed="64"/>
      </bottom>
      <diagonal/>
    </border>
    <border>
      <left style="thin">
        <color indexed="8"/>
      </left>
      <right style="thin">
        <color indexed="64"/>
      </right>
      <top/>
      <bottom style="medium">
        <color indexed="64"/>
      </bottom>
      <diagonal/>
    </border>
    <border>
      <left/>
      <right style="thin">
        <color indexed="8"/>
      </right>
      <top/>
      <bottom style="medium">
        <color indexed="8"/>
      </bottom>
      <diagonal/>
    </border>
    <border>
      <left/>
      <right style="thin">
        <color indexed="64"/>
      </right>
      <top style="thin">
        <color indexed="64"/>
      </top>
      <bottom/>
      <diagonal/>
    </border>
    <border>
      <left/>
      <right style="thin">
        <color indexed="64"/>
      </right>
      <top/>
      <bottom style="thin">
        <color indexed="64"/>
      </bottom>
      <diagonal/>
    </border>
    <border>
      <left style="thin">
        <color indexed="8"/>
      </left>
      <right style="thin">
        <color indexed="64"/>
      </right>
      <top style="medium">
        <color indexed="8"/>
      </top>
      <bottom style="medium">
        <color indexed="8"/>
      </bottom>
      <diagonal/>
    </border>
    <border>
      <left style="medium">
        <color indexed="8"/>
      </left>
      <right style="thin">
        <color indexed="8"/>
      </right>
      <top/>
      <bottom style="thin">
        <color indexed="8"/>
      </bottom>
      <diagonal/>
    </border>
    <border>
      <left style="medium">
        <color indexed="8"/>
      </left>
      <right style="thin">
        <color indexed="8"/>
      </right>
      <top style="thin">
        <color indexed="8"/>
      </top>
      <bottom/>
      <diagonal/>
    </border>
    <border>
      <left style="thin">
        <color indexed="8"/>
      </left>
      <right style="thin">
        <color indexed="8"/>
      </right>
      <top/>
      <bottom/>
      <diagonal/>
    </border>
    <border>
      <left/>
      <right style="thin">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8"/>
      </top>
      <bottom style="thin">
        <color indexed="64"/>
      </bottom>
      <diagonal/>
    </border>
    <border>
      <left style="thin">
        <color indexed="64"/>
      </left>
      <right style="medium">
        <color indexed="64"/>
      </right>
      <top style="medium">
        <color indexed="8"/>
      </top>
      <bottom style="medium">
        <color indexed="64"/>
      </bottom>
      <diagonal/>
    </border>
    <border>
      <left style="medium">
        <color indexed="8"/>
      </left>
      <right style="thin">
        <color indexed="8"/>
      </right>
      <top style="medium">
        <color indexed="8"/>
      </top>
      <bottom style="medium">
        <color indexed="8"/>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8"/>
      </right>
      <top style="medium">
        <color indexed="8"/>
      </top>
      <bottom style="medium">
        <color indexed="8"/>
      </bottom>
      <diagonal/>
    </border>
    <border>
      <left/>
      <right style="medium">
        <color indexed="64"/>
      </right>
      <top style="thin">
        <color indexed="64"/>
      </top>
      <bottom style="medium">
        <color indexed="64"/>
      </bottom>
      <diagonal/>
    </border>
    <border>
      <left style="thin">
        <color indexed="8"/>
      </left>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64"/>
      </right>
      <top style="thin">
        <color indexed="8"/>
      </top>
      <bottom style="thin">
        <color indexed="64"/>
      </bottom>
      <diagonal/>
    </border>
    <border>
      <left style="thin">
        <color indexed="64"/>
      </left>
      <right/>
      <top style="thin">
        <color indexed="64"/>
      </top>
      <bottom style="thin">
        <color indexed="8"/>
      </bottom>
      <diagonal/>
    </border>
    <border>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8"/>
      </right>
      <top style="thin">
        <color indexed="8"/>
      </top>
      <bottom style="thin">
        <color indexed="8"/>
      </bottom>
      <diagonal/>
    </border>
    <border>
      <left style="thin">
        <color indexed="8"/>
      </left>
      <right style="thin">
        <color indexed="64"/>
      </right>
      <top style="thin">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bottom style="medium">
        <color indexed="8"/>
      </bottom>
      <diagonal/>
    </border>
    <border>
      <left style="medium">
        <color indexed="8"/>
      </left>
      <right style="medium">
        <color indexed="64"/>
      </right>
      <top style="medium">
        <color indexed="8"/>
      </top>
      <bottom/>
      <diagonal/>
    </border>
    <border>
      <left style="medium">
        <color indexed="8"/>
      </left>
      <right style="medium">
        <color indexed="64"/>
      </right>
      <top/>
      <bottom style="medium">
        <color indexed="8"/>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style="medium">
        <color indexed="8"/>
      </left>
      <right style="thin">
        <color indexed="8"/>
      </right>
      <top style="medium">
        <color indexed="8"/>
      </top>
      <bottom/>
      <diagonal/>
    </border>
    <border>
      <left style="medium">
        <color indexed="8"/>
      </left>
      <right style="thin">
        <color indexed="8"/>
      </right>
      <top/>
      <bottom style="medium">
        <color indexed="8"/>
      </bottom>
      <diagonal/>
    </border>
    <border>
      <left style="thin">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indexed="64"/>
      </right>
      <top style="medium">
        <color indexed="8"/>
      </top>
      <bottom style="thin">
        <color indexed="64"/>
      </bottom>
      <diagonal/>
    </border>
    <border>
      <left style="thin">
        <color indexed="8"/>
      </left>
      <right style="thin">
        <color indexed="64"/>
      </right>
      <top style="medium">
        <color indexed="8"/>
      </top>
      <bottom/>
      <diagonal/>
    </border>
    <border>
      <left style="thin">
        <color indexed="8"/>
      </left>
      <right style="thin">
        <color indexed="64"/>
      </right>
      <top/>
      <bottom style="medium">
        <color indexed="8"/>
      </bottom>
      <diagonal/>
    </border>
    <border>
      <left/>
      <right style="thin">
        <color indexed="8"/>
      </right>
      <top style="medium">
        <color indexed="8"/>
      </top>
      <bottom style="thin">
        <color indexed="8"/>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8"/>
      </right>
      <top style="medium">
        <color indexed="64"/>
      </top>
      <bottom style="medium">
        <color indexed="8"/>
      </bottom>
      <diagonal/>
    </border>
    <border>
      <left style="medium">
        <color indexed="8"/>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top style="medium">
        <color indexed="8"/>
      </top>
      <bottom style="thin">
        <color indexed="8"/>
      </bottom>
      <diagonal/>
    </border>
    <border>
      <left style="medium">
        <color indexed="8"/>
      </left>
      <right/>
      <top style="medium">
        <color indexed="8"/>
      </top>
      <bottom style="thin">
        <color indexed="8"/>
      </bottom>
      <diagonal/>
    </border>
    <border>
      <left style="medium">
        <color indexed="64"/>
      </left>
      <right style="thin">
        <color indexed="64"/>
      </right>
      <top/>
      <bottom style="thin">
        <color indexed="64"/>
      </bottom>
      <diagonal/>
    </border>
    <border>
      <left style="medium">
        <color indexed="64"/>
      </left>
      <right/>
      <top style="thin">
        <color indexed="8"/>
      </top>
      <bottom style="thin">
        <color indexed="8"/>
      </bottom>
      <diagonal/>
    </border>
    <border>
      <left style="medium">
        <color indexed="8"/>
      </left>
      <right/>
      <top style="thin">
        <color indexed="8"/>
      </top>
      <bottom style="thin">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medium">
        <color indexed="64"/>
      </right>
      <top style="medium">
        <color indexed="64"/>
      </top>
      <bottom style="medium">
        <color indexed="8"/>
      </bottom>
      <diagonal/>
    </border>
    <border>
      <left style="medium">
        <color indexed="64"/>
      </left>
      <right/>
      <top/>
      <bottom style="thin">
        <color indexed="8"/>
      </bottom>
      <diagonal/>
    </border>
    <border>
      <left style="medium">
        <color indexed="8"/>
      </left>
      <right/>
      <top/>
      <bottom style="thin">
        <color indexed="8"/>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right style="thin">
        <color indexed="64"/>
      </right>
      <top style="medium">
        <color indexed="64"/>
      </top>
      <bottom/>
      <diagonal/>
    </border>
    <border>
      <left style="thin">
        <color indexed="64"/>
      </left>
      <right/>
      <top style="medium">
        <color indexed="64"/>
      </top>
      <bottom/>
      <diagonal/>
    </border>
    <border>
      <left/>
      <right/>
      <top/>
      <bottom style="thin">
        <color indexed="64"/>
      </bottom>
      <diagonal/>
    </border>
    <border>
      <left/>
      <right style="thick">
        <color indexed="64"/>
      </right>
      <top style="medium">
        <color indexed="64"/>
      </top>
      <bottom/>
      <diagonal/>
    </border>
    <border>
      <left/>
      <right style="thick">
        <color indexed="64"/>
      </right>
      <top/>
      <bottom/>
      <diagonal/>
    </border>
    <border>
      <left/>
      <right style="thick">
        <color indexed="64"/>
      </right>
      <top/>
      <bottom style="medium">
        <color indexed="64"/>
      </bottom>
      <diagonal/>
    </border>
    <border>
      <left style="thick">
        <color indexed="64"/>
      </left>
      <right style="medium">
        <color indexed="64"/>
      </right>
      <top/>
      <bottom style="medium">
        <color indexed="64"/>
      </bottom>
      <diagonal/>
    </border>
    <border>
      <left style="medium">
        <color indexed="64"/>
      </left>
      <right/>
      <top/>
      <bottom style="thin">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right style="medium">
        <color indexed="64"/>
      </right>
      <top/>
      <bottom style="thin">
        <color indexed="64"/>
      </bottom>
      <diagonal/>
    </border>
    <border>
      <left style="thick">
        <color indexed="64"/>
      </left>
      <right/>
      <top style="medium">
        <color indexed="64"/>
      </top>
      <bottom/>
      <diagonal/>
    </border>
    <border>
      <left style="thin">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thin">
        <color indexed="64"/>
      </top>
      <bottom/>
      <diagonal/>
    </border>
    <border>
      <left/>
      <right/>
      <top style="thin">
        <color indexed="64"/>
      </top>
      <bottom/>
      <diagonal/>
    </border>
    <border>
      <left style="medium">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style="thick">
        <color indexed="64"/>
      </left>
      <right style="medium">
        <color indexed="64"/>
      </right>
      <top style="thick">
        <color indexed="64"/>
      </top>
      <bottom/>
      <diagonal/>
    </border>
    <border>
      <left style="thick">
        <color indexed="64"/>
      </left>
      <right style="medium">
        <color indexed="64"/>
      </right>
      <top/>
      <bottom style="thick">
        <color indexed="64"/>
      </bottom>
      <diagonal/>
    </border>
    <border>
      <left style="thin">
        <color indexed="64"/>
      </left>
      <right/>
      <top style="thick">
        <color indexed="64"/>
      </top>
      <bottom/>
      <diagonal/>
    </border>
    <border>
      <left/>
      <right style="thick">
        <color indexed="64"/>
      </right>
      <top style="thick">
        <color indexed="64"/>
      </top>
      <bottom/>
      <diagonal/>
    </border>
    <border>
      <left/>
      <right style="medium">
        <color indexed="64"/>
      </right>
      <top/>
      <bottom/>
      <diagonal/>
    </border>
    <border>
      <left/>
      <right style="thin">
        <color indexed="64"/>
      </right>
      <top/>
      <bottom style="medium">
        <color indexed="64"/>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style="medium">
        <color indexed="8"/>
      </right>
      <top style="medium">
        <color indexed="8"/>
      </top>
      <bottom style="thin">
        <color indexed="8"/>
      </bottom>
      <diagonal/>
    </border>
    <border>
      <left style="thick">
        <color indexed="8"/>
      </left>
      <right style="thick">
        <color indexed="8"/>
      </right>
      <top/>
      <bottom/>
      <diagonal/>
    </border>
    <border>
      <left style="thick">
        <color indexed="8"/>
      </left>
      <right style="thick">
        <color indexed="8"/>
      </right>
      <top style="thick">
        <color indexed="8"/>
      </top>
      <bottom/>
      <diagonal/>
    </border>
    <border>
      <left style="medium">
        <color indexed="8"/>
      </left>
      <right style="thick">
        <color indexed="8"/>
      </right>
      <top style="thick">
        <color indexed="8"/>
      </top>
      <bottom style="thick">
        <color indexed="8"/>
      </bottom>
      <diagonal/>
    </border>
    <border>
      <left style="thick">
        <color indexed="8"/>
      </left>
      <right style="thick">
        <color indexed="8"/>
      </right>
      <top style="thick">
        <color indexed="8"/>
      </top>
      <bottom style="thick">
        <color indexed="8"/>
      </bottom>
      <diagonal/>
    </border>
    <border>
      <left style="medium">
        <color indexed="8"/>
      </left>
      <right style="medium">
        <color indexed="8"/>
      </right>
      <top/>
      <bottom/>
      <diagonal/>
    </border>
    <border>
      <left/>
      <right/>
      <top/>
      <bottom style="thin">
        <color indexed="8"/>
      </bottom>
      <diagonal/>
    </border>
  </borders>
  <cellStyleXfs count="49">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4" fillId="4" borderId="0" applyNumberFormat="0" applyBorder="0" applyAlignment="0" applyProtection="0"/>
    <xf numFmtId="0" fontId="5" fillId="16" borderId="1" applyNumberFormat="0" applyAlignment="0" applyProtection="0"/>
    <xf numFmtId="0" fontId="6" fillId="17" borderId="2" applyNumberFormat="0" applyAlignment="0" applyProtection="0"/>
    <xf numFmtId="0" fontId="7" fillId="0" borderId="3" applyNumberFormat="0" applyFill="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8" fillId="7" borderId="1" applyNumberFormat="0" applyAlignment="0" applyProtection="0"/>
    <xf numFmtId="0" fontId="34" fillId="0" borderId="0" applyNumberFormat="0" applyFill="0" applyBorder="0" applyAlignment="0" applyProtection="0"/>
    <xf numFmtId="0" fontId="9" fillId="0" borderId="0"/>
    <xf numFmtId="0" fontId="1" fillId="0" borderId="0"/>
    <xf numFmtId="0" fontId="49" fillId="22" borderId="7" applyNumberFormat="0" applyAlignment="0" applyProtection="0"/>
    <xf numFmtId="0" fontId="10" fillId="16" borderId="8" applyNumberFormat="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4" fillId="0" borderId="4" applyNumberFormat="0" applyFill="0" applyAlignment="0" applyProtection="0"/>
    <xf numFmtId="0" fontId="13"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6" fillId="0" borderId="0" applyNumberFormat="0" applyFill="0" applyBorder="0" applyAlignment="0" applyProtection="0"/>
    <xf numFmtId="0" fontId="17" fillId="0" borderId="9" applyNumberFormat="0" applyFill="0" applyAlignment="0" applyProtection="0"/>
    <xf numFmtId="164" fontId="1" fillId="0" borderId="0" applyFill="0" applyBorder="0" applyAlignment="0" applyProtection="0"/>
    <xf numFmtId="43" fontId="1" fillId="0" borderId="0" applyFill="0" applyBorder="0" applyAlignment="0" applyProtection="0"/>
    <xf numFmtId="0" fontId="74" fillId="39" borderId="0" applyNumberFormat="0" applyBorder="0" applyAlignment="0" applyProtection="0"/>
    <xf numFmtId="0" fontId="75" fillId="40" borderId="0" applyNumberFormat="0" applyBorder="0" applyAlignment="0" applyProtection="0"/>
  </cellStyleXfs>
  <cellXfs count="895">
    <xf numFmtId="0" fontId="0" fillId="0" borderId="0" xfId="0"/>
    <xf numFmtId="0" fontId="19" fillId="17" borderId="10" xfId="0" applyFont="1" applyFill="1" applyBorder="1" applyAlignment="1">
      <alignment wrapText="1"/>
    </xf>
    <xf numFmtId="0" fontId="19" fillId="17" borderId="10" xfId="0" applyFont="1" applyFill="1" applyBorder="1" applyAlignment="1">
      <alignment horizontal="center"/>
    </xf>
    <xf numFmtId="0" fontId="0" fillId="0" borderId="10" xfId="0" applyBorder="1"/>
    <xf numFmtId="0" fontId="21" fillId="16" borderId="10" xfId="0" applyFont="1" applyFill="1" applyBorder="1" applyAlignment="1">
      <alignment vertical="top" wrapText="1"/>
    </xf>
    <xf numFmtId="0" fontId="0" fillId="16" borderId="10" xfId="0" applyFill="1" applyBorder="1"/>
    <xf numFmtId="0" fontId="0" fillId="16" borderId="10" xfId="0" applyFill="1" applyBorder="1" applyAlignment="1">
      <alignment wrapText="1"/>
    </xf>
    <xf numFmtId="0" fontId="0" fillId="16" borderId="10" xfId="0" applyFill="1" applyBorder="1" applyAlignment="1">
      <alignment horizontal="center" wrapText="1"/>
    </xf>
    <xf numFmtId="0" fontId="0" fillId="16" borderId="10" xfId="0" applyFill="1" applyBorder="1" applyAlignment="1">
      <alignment horizontal="center"/>
    </xf>
    <xf numFmtId="0" fontId="19" fillId="0" borderId="10" xfId="0" applyFont="1" applyBorder="1" applyAlignment="1">
      <alignment horizontal="left"/>
    </xf>
    <xf numFmtId="0" fontId="18" fillId="0" borderId="0" xfId="0" applyFont="1"/>
    <xf numFmtId="0" fontId="18" fillId="0" borderId="0" xfId="0" applyFont="1" applyAlignment="1">
      <alignment horizontal="center"/>
    </xf>
    <xf numFmtId="0" fontId="0" fillId="0" borderId="0" xfId="0" applyAlignment="1">
      <alignment horizontal="left"/>
    </xf>
    <xf numFmtId="0" fontId="19" fillId="0" borderId="0" xfId="0" applyFont="1" applyAlignment="1">
      <alignment horizontal="center" vertical="center" wrapText="1"/>
    </xf>
    <xf numFmtId="0" fontId="0" fillId="0" borderId="11" xfId="0" applyBorder="1" applyAlignment="1">
      <alignment horizontal="center" vertical="center" wrapText="1"/>
    </xf>
    <xf numFmtId="0" fontId="0" fillId="0" borderId="11" xfId="0" applyBorder="1" applyAlignment="1">
      <alignment vertical="center" wrapText="1"/>
    </xf>
    <xf numFmtId="0" fontId="19" fillId="0" borderId="0" xfId="0" applyFont="1"/>
    <xf numFmtId="0" fontId="0" fillId="0" borderId="12" xfId="0" applyBorder="1" applyAlignment="1" applyProtection="1">
      <alignment horizontal="center" wrapText="1"/>
      <protection locked="0"/>
    </xf>
    <xf numFmtId="0" fontId="0" fillId="0" borderId="12" xfId="0" applyBorder="1" applyAlignment="1" applyProtection="1">
      <alignment wrapText="1"/>
      <protection locked="0"/>
    </xf>
    <xf numFmtId="0" fontId="0" fillId="0" borderId="10" xfId="0" applyBorder="1" applyAlignment="1" applyProtection="1">
      <alignment wrapText="1"/>
      <protection locked="0"/>
    </xf>
    <xf numFmtId="0" fontId="0" fillId="0" borderId="0" xfId="0" applyAlignment="1">
      <alignment wrapText="1"/>
    </xf>
    <xf numFmtId="0" fontId="0" fillId="0" borderId="13" xfId="0" applyBorder="1" applyAlignment="1">
      <alignment horizontal="left"/>
    </xf>
    <xf numFmtId="0" fontId="0" fillId="0" borderId="14" xfId="0" applyBorder="1" applyAlignment="1">
      <alignment horizontal="left"/>
    </xf>
    <xf numFmtId="0" fontId="0" fillId="0" borderId="14" xfId="0" applyBorder="1"/>
    <xf numFmtId="0" fontId="0" fillId="0" borderId="15" xfId="0" applyBorder="1" applyAlignment="1">
      <alignment horizontal="center"/>
    </xf>
    <xf numFmtId="0" fontId="19" fillId="16" borderId="16" xfId="0" applyFont="1" applyFill="1" applyBorder="1"/>
    <xf numFmtId="0" fontId="19" fillId="0" borderId="16" xfId="0" applyFont="1" applyBorder="1" applyAlignment="1">
      <alignment horizontal="left"/>
    </xf>
    <xf numFmtId="0" fontId="23" fillId="0" borderId="0" xfId="0" applyFont="1"/>
    <xf numFmtId="0" fontId="24" fillId="23" borderId="17" xfId="0" applyFont="1" applyFill="1" applyBorder="1" applyAlignment="1">
      <alignment vertical="top" wrapText="1"/>
    </xf>
    <xf numFmtId="0" fontId="25" fillId="16" borderId="18" xfId="0" applyFont="1" applyFill="1" applyBorder="1" applyAlignment="1">
      <alignment vertical="top" wrapText="1"/>
    </xf>
    <xf numFmtId="0" fontId="25" fillId="16" borderId="19" xfId="0" applyFont="1" applyFill="1" applyBorder="1" applyAlignment="1">
      <alignment vertical="top" wrapText="1"/>
    </xf>
    <xf numFmtId="0" fontId="25" fillId="16" borderId="12" xfId="0" applyFont="1" applyFill="1" applyBorder="1" applyAlignment="1">
      <alignment vertical="top" wrapText="1"/>
    </xf>
    <xf numFmtId="0" fontId="25" fillId="16" borderId="20" xfId="0" applyFont="1" applyFill="1" applyBorder="1" applyAlignment="1">
      <alignment vertical="top" wrapText="1"/>
    </xf>
    <xf numFmtId="0" fontId="27" fillId="16" borderId="10" xfId="0" applyFont="1" applyFill="1" applyBorder="1" applyAlignment="1">
      <alignment horizontal="center"/>
    </xf>
    <xf numFmtId="0" fontId="28" fillId="16" borderId="18" xfId="0" applyFont="1" applyFill="1" applyBorder="1" applyAlignment="1">
      <alignment horizontal="center" wrapText="1"/>
    </xf>
    <xf numFmtId="0" fontId="21" fillId="16" borderId="21" xfId="0" applyFont="1" applyFill="1" applyBorder="1" applyAlignment="1">
      <alignment horizontal="left" indent="2"/>
    </xf>
    <xf numFmtId="0" fontId="21" fillId="16" borderId="22" xfId="0" applyFont="1" applyFill="1" applyBorder="1" applyAlignment="1">
      <alignment horizontal="left" indent="2"/>
    </xf>
    <xf numFmtId="0" fontId="30" fillId="0" borderId="0" xfId="0" applyFont="1"/>
    <xf numFmtId="0" fontId="31" fillId="0" borderId="0" xfId="0" applyFont="1"/>
    <xf numFmtId="0" fontId="32" fillId="0" borderId="0" xfId="0" applyFont="1"/>
    <xf numFmtId="0" fontId="33" fillId="23" borderId="10" xfId="0" applyFont="1" applyFill="1" applyBorder="1" applyAlignment="1">
      <alignment vertical="top" wrapText="1"/>
    </xf>
    <xf numFmtId="0" fontId="21" fillId="0" borderId="0" xfId="0" applyFont="1"/>
    <xf numFmtId="0" fontId="21" fillId="0" borderId="0" xfId="0" applyFont="1" applyAlignment="1">
      <alignment horizontal="center" vertical="top" wrapText="1"/>
    </xf>
    <xf numFmtId="0" fontId="21" fillId="0" borderId="0" xfId="0" applyFont="1" applyAlignment="1">
      <alignment vertical="top" wrapText="1"/>
    </xf>
    <xf numFmtId="0" fontId="19" fillId="0" borderId="10" xfId="0" applyFont="1" applyBorder="1"/>
    <xf numFmtId="0" fontId="0" fillId="0" borderId="10" xfId="0" applyBorder="1" applyAlignment="1">
      <alignment wrapText="1"/>
    </xf>
    <xf numFmtId="0" fontId="19" fillId="0" borderId="10" xfId="0" applyFont="1" applyBorder="1" applyAlignment="1">
      <alignment wrapText="1"/>
    </xf>
    <xf numFmtId="0" fontId="36" fillId="0" borderId="10" xfId="0" applyFont="1" applyBorder="1" applyAlignment="1">
      <alignment vertical="top" wrapText="1"/>
    </xf>
    <xf numFmtId="0" fontId="37" fillId="0" borderId="10" xfId="0" applyFont="1" applyBorder="1" applyAlignment="1">
      <alignment vertical="top" wrapText="1"/>
    </xf>
    <xf numFmtId="0" fontId="36" fillId="0" borderId="12" xfId="0" applyFont="1" applyBorder="1" applyAlignment="1">
      <alignment vertical="top" wrapText="1"/>
    </xf>
    <xf numFmtId="0" fontId="37" fillId="0" borderId="23" xfId="0" applyFont="1" applyBorder="1" applyAlignment="1">
      <alignment vertical="top" wrapText="1"/>
    </xf>
    <xf numFmtId="0" fontId="38" fillId="0" borderId="23" xfId="0" applyFont="1" applyBorder="1" applyAlignment="1">
      <alignment vertical="top" wrapText="1"/>
    </xf>
    <xf numFmtId="0" fontId="37" fillId="0" borderId="24" xfId="0" applyFont="1" applyBorder="1" applyAlignment="1">
      <alignment vertical="top" wrapText="1"/>
    </xf>
    <xf numFmtId="0" fontId="19" fillId="16" borderId="25" xfId="0" applyFont="1" applyFill="1" applyBorder="1" applyAlignment="1" applyProtection="1">
      <alignment wrapText="1"/>
      <protection locked="0"/>
    </xf>
    <xf numFmtId="0" fontId="19" fillId="24" borderId="26" xfId="0" applyFont="1" applyFill="1" applyBorder="1" applyAlignment="1" applyProtection="1">
      <alignment vertical="center"/>
      <protection hidden="1"/>
    </xf>
    <xf numFmtId="49" fontId="19" fillId="24" borderId="0" xfId="0" applyNumberFormat="1" applyFont="1" applyFill="1" applyAlignment="1" applyProtection="1">
      <alignment horizontal="center" vertical="center" wrapText="1"/>
      <protection hidden="1"/>
    </xf>
    <xf numFmtId="14" fontId="19" fillId="24" borderId="0" xfId="0" applyNumberFormat="1" applyFont="1" applyFill="1" applyAlignment="1" applyProtection="1">
      <alignment horizontal="center" vertical="center"/>
      <protection locked="0"/>
    </xf>
    <xf numFmtId="0" fontId="43" fillId="24" borderId="0" xfId="0" applyFont="1" applyFill="1" applyAlignment="1" applyProtection="1">
      <alignment horizontal="center" vertical="center"/>
      <protection hidden="1"/>
    </xf>
    <xf numFmtId="49" fontId="43" fillId="24" borderId="0" xfId="0" applyNumberFormat="1" applyFont="1" applyFill="1" applyAlignment="1" applyProtection="1">
      <alignment horizontal="center" vertical="center"/>
      <protection locked="0"/>
    </xf>
    <xf numFmtId="1" fontId="0" fillId="0" borderId="0" xfId="0" applyNumberFormat="1"/>
    <xf numFmtId="0" fontId="44" fillId="24" borderId="0" xfId="0" applyFont="1" applyFill="1" applyAlignment="1" applyProtection="1">
      <alignment horizontal="left" vertical="center"/>
      <protection hidden="1"/>
    </xf>
    <xf numFmtId="0" fontId="0" fillId="24" borderId="0" xfId="0" applyFill="1"/>
    <xf numFmtId="1" fontId="0" fillId="25" borderId="27" xfId="0" applyNumberFormat="1" applyFill="1" applyBorder="1" applyAlignment="1" applyProtection="1">
      <alignment horizontal="center" vertical="center"/>
      <protection locked="0"/>
    </xf>
    <xf numFmtId="166" fontId="44" fillId="0" borderId="28" xfId="0" applyNumberFormat="1" applyFont="1" applyBorder="1" applyAlignment="1" applyProtection="1">
      <alignment horizontal="center" vertical="center"/>
      <protection hidden="1"/>
    </xf>
    <xf numFmtId="2" fontId="44" fillId="24" borderId="29" xfId="0" applyNumberFormat="1" applyFont="1" applyFill="1" applyBorder="1" applyAlignment="1" applyProtection="1">
      <alignment horizontal="center" vertical="center"/>
      <protection hidden="1"/>
    </xf>
    <xf numFmtId="1" fontId="0" fillId="25" borderId="30" xfId="0" applyNumberFormat="1" applyFill="1" applyBorder="1" applyAlignment="1" applyProtection="1">
      <alignment horizontal="center" vertical="center"/>
      <protection locked="0"/>
    </xf>
    <xf numFmtId="166" fontId="44" fillId="0" borderId="30" xfId="0" applyNumberFormat="1" applyFont="1" applyBorder="1" applyAlignment="1" applyProtection="1">
      <alignment horizontal="center" vertical="center"/>
      <protection hidden="1"/>
    </xf>
    <xf numFmtId="2" fontId="44" fillId="24" borderId="31" xfId="0" applyNumberFormat="1" applyFont="1" applyFill="1" applyBorder="1" applyAlignment="1" applyProtection="1">
      <alignment horizontal="center" vertical="center"/>
      <protection hidden="1"/>
    </xf>
    <xf numFmtId="2" fontId="44" fillId="24" borderId="30" xfId="0" applyNumberFormat="1" applyFont="1" applyFill="1" applyBorder="1" applyAlignment="1" applyProtection="1">
      <alignment horizontal="center" vertical="center"/>
      <protection hidden="1"/>
    </xf>
    <xf numFmtId="1" fontId="0" fillId="25" borderId="32" xfId="0" applyNumberFormat="1" applyFill="1" applyBorder="1" applyAlignment="1" applyProtection="1">
      <alignment horizontal="center" vertical="center"/>
      <protection locked="0"/>
    </xf>
    <xf numFmtId="166" fontId="44" fillId="0" borderId="33" xfId="0" applyNumberFormat="1" applyFont="1" applyBorder="1" applyAlignment="1" applyProtection="1">
      <alignment horizontal="center" vertical="center"/>
      <protection hidden="1"/>
    </xf>
    <xf numFmtId="2" fontId="44" fillId="24" borderId="32" xfId="0" applyNumberFormat="1" applyFont="1" applyFill="1" applyBorder="1" applyAlignment="1" applyProtection="1">
      <alignment horizontal="center" vertical="center"/>
      <protection hidden="1"/>
    </xf>
    <xf numFmtId="1" fontId="0" fillId="25" borderId="34" xfId="0" applyNumberFormat="1" applyFill="1" applyBorder="1" applyAlignment="1" applyProtection="1">
      <alignment horizontal="center" vertical="center"/>
      <protection locked="0"/>
    </xf>
    <xf numFmtId="166" fontId="44" fillId="0" borderId="35" xfId="0" applyNumberFormat="1" applyFont="1" applyBorder="1" applyAlignment="1" applyProtection="1">
      <alignment horizontal="center" vertical="center"/>
      <protection hidden="1"/>
    </xf>
    <xf numFmtId="2" fontId="44" fillId="24" borderId="34" xfId="0" applyNumberFormat="1" applyFont="1" applyFill="1" applyBorder="1" applyAlignment="1" applyProtection="1">
      <alignment horizontal="center" vertical="center"/>
      <protection hidden="1"/>
    </xf>
    <xf numFmtId="166" fontId="44" fillId="0" borderId="31" xfId="0" applyNumberFormat="1" applyFont="1" applyBorder="1" applyAlignment="1" applyProtection="1">
      <alignment horizontal="center" vertical="center"/>
      <protection hidden="1"/>
    </xf>
    <xf numFmtId="0" fontId="44" fillId="24" borderId="36" xfId="0" applyFont="1" applyFill="1" applyBorder="1" applyAlignment="1">
      <alignment horizontal="center" vertical="center"/>
    </xf>
    <xf numFmtId="166" fontId="0" fillId="25" borderId="30" xfId="0" applyNumberFormat="1" applyFill="1" applyBorder="1" applyAlignment="1" applyProtection="1">
      <alignment horizontal="center" vertical="center"/>
      <protection locked="0"/>
    </xf>
    <xf numFmtId="1" fontId="9" fillId="25" borderId="32" xfId="0" applyNumberFormat="1" applyFont="1" applyFill="1" applyBorder="1" applyAlignment="1" applyProtection="1">
      <alignment horizontal="center" vertical="center"/>
      <protection locked="0"/>
    </xf>
    <xf numFmtId="2" fontId="44" fillId="24" borderId="37" xfId="0" applyNumberFormat="1" applyFont="1" applyFill="1" applyBorder="1" applyAlignment="1" applyProtection="1">
      <alignment horizontal="center" vertical="center"/>
      <protection hidden="1"/>
    </xf>
    <xf numFmtId="1" fontId="9" fillId="25" borderId="37" xfId="0" applyNumberFormat="1" applyFont="1" applyFill="1" applyBorder="1" applyAlignment="1" applyProtection="1">
      <alignment horizontal="center" vertical="center"/>
      <protection locked="0"/>
    </xf>
    <xf numFmtId="166" fontId="44" fillId="0" borderId="38" xfId="0" applyNumberFormat="1" applyFont="1" applyBorder="1" applyAlignment="1" applyProtection="1">
      <alignment horizontal="center" vertical="center"/>
      <protection hidden="1"/>
    </xf>
    <xf numFmtId="1" fontId="9" fillId="25" borderId="34" xfId="0" applyNumberFormat="1" applyFont="1" applyFill="1" applyBorder="1" applyAlignment="1" applyProtection="1">
      <alignment horizontal="center" vertical="center"/>
      <protection locked="0"/>
    </xf>
    <xf numFmtId="49" fontId="44" fillId="0" borderId="39" xfId="0" applyNumberFormat="1" applyFont="1" applyBorder="1" applyAlignment="1" applyProtection="1">
      <alignment horizontal="center" vertical="center"/>
      <protection hidden="1"/>
    </xf>
    <xf numFmtId="1" fontId="9" fillId="25" borderId="39" xfId="0" applyNumberFormat="1" applyFont="1" applyFill="1" applyBorder="1" applyAlignment="1" applyProtection="1">
      <alignment horizontal="center" vertical="center"/>
      <protection locked="0"/>
    </xf>
    <xf numFmtId="166" fontId="44" fillId="0" borderId="39" xfId="0" applyNumberFormat="1" applyFont="1" applyBorder="1" applyAlignment="1" applyProtection="1">
      <alignment horizontal="center" vertical="center"/>
      <protection hidden="1"/>
    </xf>
    <xf numFmtId="2" fontId="44" fillId="24" borderId="39" xfId="0" applyNumberFormat="1" applyFont="1" applyFill="1" applyBorder="1" applyAlignment="1" applyProtection="1">
      <alignment horizontal="center" vertical="center"/>
      <protection hidden="1"/>
    </xf>
    <xf numFmtId="49" fontId="0" fillId="26" borderId="40" xfId="0" applyNumberFormat="1" applyFill="1" applyBorder="1" applyAlignment="1" applyProtection="1">
      <alignment horizontal="center"/>
      <protection hidden="1"/>
    </xf>
    <xf numFmtId="0" fontId="44" fillId="26" borderId="41" xfId="0" applyFont="1" applyFill="1" applyBorder="1" applyAlignment="1" applyProtection="1">
      <alignment horizontal="left" vertical="top" wrapText="1"/>
      <protection hidden="1"/>
    </xf>
    <xf numFmtId="49" fontId="0" fillId="26" borderId="42" xfId="0" applyNumberFormat="1" applyFill="1" applyBorder="1" applyAlignment="1" applyProtection="1">
      <alignment horizontal="center"/>
      <protection hidden="1"/>
    </xf>
    <xf numFmtId="0" fontId="44" fillId="26" borderId="36" xfId="0" applyFont="1" applyFill="1" applyBorder="1" applyAlignment="1" applyProtection="1">
      <alignment horizontal="left" vertical="top" wrapText="1"/>
      <protection hidden="1"/>
    </xf>
    <xf numFmtId="14" fontId="19" fillId="24" borderId="0" xfId="0" applyNumberFormat="1" applyFont="1" applyFill="1" applyAlignment="1" applyProtection="1">
      <alignment horizontal="center" vertical="center"/>
      <protection hidden="1"/>
    </xf>
    <xf numFmtId="0" fontId="0" fillId="0" borderId="43" xfId="0" applyBorder="1" applyAlignment="1">
      <alignment horizontal="center"/>
    </xf>
    <xf numFmtId="0" fontId="0" fillId="16" borderId="44" xfId="0" applyFill="1" applyBorder="1" applyAlignment="1">
      <alignment horizontal="center" vertical="center"/>
    </xf>
    <xf numFmtId="0" fontId="0" fillId="16" borderId="45" xfId="0" applyFill="1" applyBorder="1" applyAlignment="1">
      <alignment horizontal="center" vertical="center"/>
    </xf>
    <xf numFmtId="0" fontId="0" fillId="0" borderId="46" xfId="0" applyBorder="1" applyAlignment="1">
      <alignment vertical="center" wrapText="1"/>
    </xf>
    <xf numFmtId="0" fontId="0" fillId="0" borderId="47" xfId="0" applyBorder="1" applyAlignment="1">
      <alignment vertical="center" wrapText="1"/>
    </xf>
    <xf numFmtId="0" fontId="0" fillId="0" borderId="46" xfId="0" applyBorder="1" applyAlignment="1">
      <alignment horizontal="center" vertical="center" wrapText="1"/>
    </xf>
    <xf numFmtId="0" fontId="0" fillId="27" borderId="10" xfId="0" applyFill="1" applyBorder="1" applyAlignment="1" applyProtection="1">
      <alignment horizontal="left"/>
      <protection locked="0"/>
    </xf>
    <xf numFmtId="0" fontId="22" fillId="27" borderId="10" xfId="0" applyFont="1" applyFill="1" applyBorder="1" applyAlignment="1" applyProtection="1">
      <alignment horizontal="center"/>
      <protection locked="0"/>
    </xf>
    <xf numFmtId="0" fontId="21" fillId="27" borderId="10" xfId="0" applyFont="1" applyFill="1" applyBorder="1" applyProtection="1">
      <protection locked="0"/>
    </xf>
    <xf numFmtId="0" fontId="21" fillId="27" borderId="10" xfId="0" applyFont="1" applyFill="1" applyBorder="1" applyAlignment="1" applyProtection="1">
      <alignment wrapText="1"/>
      <protection locked="0"/>
    </xf>
    <xf numFmtId="0" fontId="0" fillId="27" borderId="10" xfId="0" applyFill="1" applyBorder="1" applyAlignment="1" applyProtection="1">
      <alignment horizontal="center"/>
      <protection locked="0"/>
    </xf>
    <xf numFmtId="0" fontId="0" fillId="27" borderId="10" xfId="0" applyFill="1" applyBorder="1" applyProtection="1">
      <protection locked="0"/>
    </xf>
    <xf numFmtId="0" fontId="0" fillId="0" borderId="45" xfId="0" applyBorder="1" applyProtection="1">
      <protection locked="0"/>
    </xf>
    <xf numFmtId="0" fontId="0" fillId="0" borderId="10" xfId="0" applyBorder="1" applyAlignment="1" applyProtection="1">
      <alignment horizontal="center"/>
      <protection locked="0"/>
    </xf>
    <xf numFmtId="0" fontId="21" fillId="0" borderId="10" xfId="0" applyFont="1" applyBorder="1" applyAlignment="1" applyProtection="1">
      <alignment vertical="top" wrapText="1"/>
      <protection locked="0"/>
    </xf>
    <xf numFmtId="49" fontId="0" fillId="0" borderId="10" xfId="0" applyNumberFormat="1" applyBorder="1" applyAlignment="1" applyProtection="1">
      <alignment horizontal="center" wrapText="1"/>
      <protection locked="0"/>
    </xf>
    <xf numFmtId="0" fontId="0" fillId="0" borderId="0" xfId="0" quotePrefix="1"/>
    <xf numFmtId="0" fontId="41" fillId="24" borderId="48" xfId="0" applyFont="1" applyFill="1" applyBorder="1" applyAlignment="1" applyProtection="1">
      <alignment horizontal="center" vertical="center"/>
      <protection hidden="1"/>
    </xf>
    <xf numFmtId="0" fontId="41" fillId="24" borderId="0" xfId="0" applyFont="1" applyFill="1" applyAlignment="1" applyProtection="1">
      <alignment horizontal="center" vertical="center"/>
      <protection hidden="1"/>
    </xf>
    <xf numFmtId="0" fontId="19" fillId="24" borderId="49" xfId="0" applyFont="1" applyFill="1" applyBorder="1" applyAlignment="1" applyProtection="1">
      <alignment horizontal="center" vertical="center"/>
      <protection hidden="1"/>
    </xf>
    <xf numFmtId="0" fontId="19" fillId="24" borderId="26" xfId="0" applyFont="1" applyFill="1" applyBorder="1" applyAlignment="1" applyProtection="1">
      <alignment horizontal="center" vertical="center"/>
      <protection hidden="1"/>
    </xf>
    <xf numFmtId="49" fontId="42" fillId="24" borderId="0" xfId="0" applyNumberFormat="1" applyFont="1" applyFill="1" applyProtection="1">
      <protection hidden="1"/>
    </xf>
    <xf numFmtId="0" fontId="43" fillId="24" borderId="0" xfId="0" applyFont="1" applyFill="1" applyAlignment="1" applyProtection="1">
      <alignment horizontal="left"/>
      <protection hidden="1"/>
    </xf>
    <xf numFmtId="0" fontId="0" fillId="24" borderId="0" xfId="0" applyFill="1" applyAlignment="1" applyProtection="1">
      <alignment horizontal="left"/>
      <protection hidden="1"/>
    </xf>
    <xf numFmtId="49" fontId="43" fillId="24" borderId="0" xfId="0" applyNumberFormat="1" applyFont="1" applyFill="1" applyAlignment="1" applyProtection="1">
      <alignment horizontal="center" vertical="center"/>
      <protection hidden="1"/>
    </xf>
    <xf numFmtId="0" fontId="50" fillId="24" borderId="0" xfId="0" applyFont="1" applyFill="1" applyAlignment="1" applyProtection="1">
      <alignment horizontal="center" vertical="center"/>
      <protection hidden="1"/>
    </xf>
    <xf numFmtId="0" fontId="19" fillId="24" borderId="0" xfId="0" applyFont="1" applyFill="1" applyAlignment="1" applyProtection="1">
      <alignment horizontal="center" vertical="center"/>
      <protection hidden="1"/>
    </xf>
    <xf numFmtId="0" fontId="0" fillId="0" borderId="0" xfId="0" applyAlignment="1">
      <alignment horizontal="center"/>
    </xf>
    <xf numFmtId="0" fontId="0" fillId="0" borderId="0" xfId="0" applyAlignment="1">
      <alignment horizontal="center" wrapText="1"/>
    </xf>
    <xf numFmtId="0" fontId="51" fillId="28" borderId="50" xfId="0" applyFont="1" applyFill="1" applyBorder="1" applyAlignment="1" applyProtection="1">
      <alignment horizontal="center" vertical="center" wrapText="1"/>
      <protection hidden="1"/>
    </xf>
    <xf numFmtId="0" fontId="51" fillId="28" borderId="51" xfId="0" applyFont="1" applyFill="1" applyBorder="1" applyAlignment="1" applyProtection="1">
      <alignment horizontal="center" vertical="center" wrapText="1"/>
      <protection hidden="1"/>
    </xf>
    <xf numFmtId="0" fontId="51" fillId="28" borderId="52" xfId="0" applyFont="1" applyFill="1" applyBorder="1" applyAlignment="1" applyProtection="1">
      <alignment horizontal="center" vertical="center" wrapText="1"/>
      <protection hidden="1"/>
    </xf>
    <xf numFmtId="0" fontId="0" fillId="0" borderId="0" xfId="0" applyAlignment="1">
      <alignment horizontal="center" vertical="center" wrapText="1"/>
    </xf>
    <xf numFmtId="0" fontId="19" fillId="28" borderId="50" xfId="0" applyFont="1" applyFill="1" applyBorder="1" applyAlignment="1">
      <alignment horizontal="center" vertical="center" wrapText="1"/>
    </xf>
    <xf numFmtId="0" fontId="53" fillId="28" borderId="53" xfId="0" applyFont="1" applyFill="1" applyBorder="1" applyAlignment="1" applyProtection="1">
      <alignment horizontal="center" vertical="center" wrapText="1"/>
      <protection hidden="1"/>
    </xf>
    <xf numFmtId="0" fontId="53" fillId="28" borderId="54" xfId="0" applyFont="1" applyFill="1" applyBorder="1" applyAlignment="1" applyProtection="1">
      <alignment horizontal="center" vertical="center" wrapText="1"/>
      <protection hidden="1"/>
    </xf>
    <xf numFmtId="0" fontId="53" fillId="28" borderId="55" xfId="0" applyFont="1" applyFill="1" applyBorder="1" applyAlignment="1" applyProtection="1">
      <alignment horizontal="center" vertical="center" wrapText="1"/>
      <protection hidden="1"/>
    </xf>
    <xf numFmtId="0" fontId="0" fillId="25" borderId="50" xfId="0" applyFill="1" applyBorder="1" applyAlignment="1" applyProtection="1">
      <alignment horizontal="center"/>
      <protection locked="0"/>
    </xf>
    <xf numFmtId="0" fontId="0" fillId="25" borderId="51" xfId="0" applyFill="1" applyBorder="1" applyAlignment="1" applyProtection="1">
      <alignment horizontal="center" vertical="center"/>
      <protection locked="0"/>
    </xf>
    <xf numFmtId="0" fontId="0" fillId="0" borderId="0" xfId="0" applyProtection="1">
      <protection hidden="1"/>
    </xf>
    <xf numFmtId="0" fontId="19" fillId="0" borderId="0" xfId="0" applyFont="1" applyProtection="1">
      <protection hidden="1"/>
    </xf>
    <xf numFmtId="0" fontId="0" fillId="28" borderId="51" xfId="0" applyFill="1" applyBorder="1" applyAlignment="1" applyProtection="1">
      <alignment horizontal="center"/>
      <protection hidden="1"/>
    </xf>
    <xf numFmtId="0" fontId="0" fillId="28" borderId="52" xfId="0" applyFill="1" applyBorder="1" applyAlignment="1" applyProtection="1">
      <alignment horizontal="center"/>
      <protection hidden="1"/>
    </xf>
    <xf numFmtId="0" fontId="0" fillId="28" borderId="51" xfId="0" applyFill="1" applyBorder="1" applyAlignment="1" applyProtection="1">
      <alignment horizontal="center" vertical="center"/>
      <protection hidden="1"/>
    </xf>
    <xf numFmtId="0" fontId="0" fillId="17" borderId="10" xfId="0" applyFill="1" applyBorder="1" applyProtection="1">
      <protection locked="0"/>
    </xf>
    <xf numFmtId="0" fontId="0" fillId="16" borderId="10" xfId="0" applyFill="1" applyBorder="1" applyProtection="1">
      <protection locked="0"/>
    </xf>
    <xf numFmtId="0" fontId="0" fillId="0" borderId="56" xfId="0" applyBorder="1" applyAlignment="1">
      <alignment horizontal="left"/>
    </xf>
    <xf numFmtId="0" fontId="0" fillId="0" borderId="57" xfId="0" applyBorder="1" applyAlignment="1">
      <alignment horizontal="left"/>
    </xf>
    <xf numFmtId="0" fontId="0" fillId="0" borderId="57" xfId="0" applyBorder="1"/>
    <xf numFmtId="0" fontId="0" fillId="0" borderId="58" xfId="0" applyBorder="1" applyAlignment="1">
      <alignment horizontal="center"/>
    </xf>
    <xf numFmtId="0" fontId="19" fillId="16" borderId="59" xfId="0" applyFont="1" applyFill="1" applyBorder="1"/>
    <xf numFmtId="0" fontId="19" fillId="0" borderId="59" xfId="0" applyFont="1" applyBorder="1" applyAlignment="1">
      <alignment horizontal="left" wrapText="1"/>
    </xf>
    <xf numFmtId="0" fontId="0" fillId="29" borderId="60" xfId="0" applyFill="1" applyBorder="1" applyAlignment="1" applyProtection="1">
      <alignment wrapText="1"/>
      <protection locked="0"/>
    </xf>
    <xf numFmtId="0" fontId="0" fillId="29" borderId="60" xfId="0" applyFill="1" applyBorder="1" applyAlignment="1" applyProtection="1">
      <alignment horizontal="center" wrapText="1"/>
      <protection locked="0"/>
    </xf>
    <xf numFmtId="0" fontId="19" fillId="29" borderId="60" xfId="0" applyFont="1" applyFill="1" applyBorder="1" applyAlignment="1">
      <alignment wrapText="1"/>
    </xf>
    <xf numFmtId="0" fontId="19" fillId="30" borderId="60" xfId="0" applyFont="1" applyFill="1" applyBorder="1" applyAlignment="1" applyProtection="1">
      <alignment wrapText="1"/>
      <protection locked="0"/>
    </xf>
    <xf numFmtId="0" fontId="0" fillId="29" borderId="61" xfId="0" applyFill="1" applyBorder="1" applyAlignment="1" applyProtection="1">
      <alignment horizontal="left" wrapText="1"/>
      <protection locked="0"/>
    </xf>
    <xf numFmtId="166" fontId="19" fillId="28" borderId="30" xfId="0" applyNumberFormat="1" applyFont="1" applyFill="1" applyBorder="1" applyAlignment="1" applyProtection="1">
      <alignment horizontal="center" vertical="center"/>
      <protection hidden="1"/>
    </xf>
    <xf numFmtId="0" fontId="0" fillId="0" borderId="62" xfId="0" applyBorder="1" applyAlignment="1">
      <alignment wrapText="1"/>
    </xf>
    <xf numFmtId="0" fontId="19" fillId="0" borderId="62" xfId="0" applyFont="1" applyBorder="1" applyAlignment="1">
      <alignment wrapText="1"/>
    </xf>
    <xf numFmtId="0" fontId="0" fillId="0" borderId="37" xfId="0" applyBorder="1" applyAlignment="1">
      <alignment wrapText="1"/>
    </xf>
    <xf numFmtId="0" fontId="49" fillId="0" borderId="37" xfId="0" applyFont="1" applyBorder="1" applyAlignment="1">
      <alignment wrapText="1"/>
    </xf>
    <xf numFmtId="0" fontId="19" fillId="0" borderId="37" xfId="0" applyFont="1" applyBorder="1" applyAlignment="1">
      <alignment wrapText="1"/>
    </xf>
    <xf numFmtId="0" fontId="0" fillId="0" borderId="52" xfId="0" applyBorder="1" applyProtection="1">
      <protection locked="0"/>
    </xf>
    <xf numFmtId="0" fontId="56" fillId="0" borderId="0" xfId="0" applyFont="1" applyProtection="1">
      <protection hidden="1"/>
    </xf>
    <xf numFmtId="0" fontId="25" fillId="0" borderId="63" xfId="0" applyFont="1" applyBorder="1" applyAlignment="1" applyProtection="1">
      <alignment vertical="top" wrapText="1"/>
      <protection locked="0"/>
    </xf>
    <xf numFmtId="0" fontId="25" fillId="0" borderId="21" xfId="0" applyFont="1" applyBorder="1" applyAlignment="1" applyProtection="1">
      <alignment horizontal="center" vertical="top" wrapText="1"/>
      <protection locked="0"/>
    </xf>
    <xf numFmtId="0" fontId="25" fillId="0" borderId="22" xfId="0" applyFont="1" applyBorder="1" applyAlignment="1" applyProtection="1">
      <alignment horizontal="right" vertical="top" wrapText="1"/>
      <protection locked="0"/>
    </xf>
    <xf numFmtId="0" fontId="25" fillId="0" borderId="64" xfId="0" applyFont="1" applyBorder="1" applyAlignment="1" applyProtection="1">
      <alignment horizontal="center" vertical="top" wrapText="1"/>
      <protection locked="0"/>
    </xf>
    <xf numFmtId="0" fontId="25" fillId="0" borderId="19" xfId="0" applyFont="1" applyBorder="1" applyAlignment="1" applyProtection="1">
      <alignment horizontal="center" vertical="top" wrapText="1"/>
      <protection locked="0"/>
    </xf>
    <xf numFmtId="0" fontId="25" fillId="0" borderId="22" xfId="0" applyFont="1" applyBorder="1" applyAlignment="1" applyProtection="1">
      <alignment horizontal="center" vertical="top" wrapText="1"/>
      <protection locked="0"/>
    </xf>
    <xf numFmtId="0" fontId="21" fillId="27" borderId="10" xfId="0" applyFont="1" applyFill="1" applyBorder="1" applyAlignment="1" applyProtection="1">
      <alignment horizontal="center"/>
      <protection locked="0"/>
    </xf>
    <xf numFmtId="0" fontId="21" fillId="27" borderId="18" xfId="0" applyFont="1" applyFill="1" applyBorder="1" applyAlignment="1" applyProtection="1">
      <alignment horizontal="center" wrapText="1"/>
      <protection locked="0"/>
    </xf>
    <xf numFmtId="0" fontId="0" fillId="27" borderId="20" xfId="0" applyFill="1" applyBorder="1" applyProtection="1">
      <protection locked="0"/>
    </xf>
    <xf numFmtId="0" fontId="21" fillId="27" borderId="20" xfId="0" applyFont="1" applyFill="1" applyBorder="1" applyAlignment="1" applyProtection="1">
      <alignment horizontal="center"/>
      <protection locked="0"/>
    </xf>
    <xf numFmtId="0" fontId="21" fillId="27" borderId="19" xfId="0" applyFont="1" applyFill="1" applyBorder="1" applyAlignment="1" applyProtection="1">
      <alignment horizontal="center" wrapText="1"/>
      <protection locked="0"/>
    </xf>
    <xf numFmtId="0" fontId="21" fillId="0" borderId="10" xfId="0" applyFont="1" applyBorder="1" applyAlignment="1" applyProtection="1">
      <alignment horizontal="center" vertical="top" wrapText="1"/>
      <protection locked="0"/>
    </xf>
    <xf numFmtId="0" fontId="21" fillId="0" borderId="10" xfId="0" applyFont="1" applyBorder="1" applyAlignment="1" applyProtection="1">
      <alignment horizontal="left" vertical="top" wrapText="1" indent="2"/>
      <protection locked="0"/>
    </xf>
    <xf numFmtId="0" fontId="21" fillId="0" borderId="20" xfId="0" applyFont="1" applyBorder="1" applyAlignment="1" applyProtection="1">
      <alignment vertical="top" wrapText="1"/>
      <protection locked="0"/>
    </xf>
    <xf numFmtId="0" fontId="58" fillId="0" borderId="0" xfId="0" applyFont="1" applyProtection="1">
      <protection hidden="1"/>
    </xf>
    <xf numFmtId="0" fontId="57" fillId="0" borderId="0" xfId="0" applyFont="1" applyProtection="1">
      <protection hidden="1"/>
    </xf>
    <xf numFmtId="2" fontId="44" fillId="0" borderId="30" xfId="0" applyNumberFormat="1" applyFont="1" applyBorder="1" applyAlignment="1" applyProtection="1">
      <alignment horizontal="center" vertical="center"/>
      <protection hidden="1"/>
    </xf>
    <xf numFmtId="1" fontId="0" fillId="25" borderId="37" xfId="0" applyNumberFormat="1" applyFill="1" applyBorder="1" applyAlignment="1" applyProtection="1">
      <alignment horizontal="center" vertical="center"/>
      <protection locked="0"/>
    </xf>
    <xf numFmtId="2" fontId="44" fillId="0" borderId="37" xfId="0" applyNumberFormat="1" applyFont="1" applyBorder="1" applyAlignment="1" applyProtection="1">
      <alignment horizontal="center" vertical="center"/>
      <protection hidden="1"/>
    </xf>
    <xf numFmtId="2" fontId="44" fillId="24" borderId="65" xfId="0" applyNumberFormat="1" applyFont="1" applyFill="1" applyBorder="1" applyAlignment="1" applyProtection="1">
      <alignment horizontal="center" vertical="center"/>
      <protection hidden="1"/>
    </xf>
    <xf numFmtId="1" fontId="0" fillId="26" borderId="31" xfId="0" applyNumberFormat="1" applyFill="1" applyBorder="1" applyAlignment="1" applyProtection="1">
      <alignment vertical="center"/>
      <protection hidden="1"/>
    </xf>
    <xf numFmtId="1" fontId="0" fillId="26" borderId="0" xfId="0" applyNumberFormat="1" applyFill="1" applyAlignment="1" applyProtection="1">
      <alignment vertical="center"/>
      <protection hidden="1"/>
    </xf>
    <xf numFmtId="1" fontId="0" fillId="26" borderId="66" xfId="0" applyNumberFormat="1" applyFill="1" applyBorder="1" applyAlignment="1" applyProtection="1">
      <alignment vertical="center"/>
      <protection hidden="1"/>
    </xf>
    <xf numFmtId="2" fontId="44" fillId="0" borderId="27" xfId="0" applyNumberFormat="1" applyFont="1" applyBorder="1" applyAlignment="1" applyProtection="1">
      <alignment horizontal="center" vertical="center"/>
      <protection hidden="1"/>
    </xf>
    <xf numFmtId="2" fontId="44" fillId="24" borderId="67" xfId="0" applyNumberFormat="1" applyFont="1" applyFill="1" applyBorder="1" applyAlignment="1" applyProtection="1">
      <alignment horizontal="center" vertical="center"/>
      <protection hidden="1"/>
    </xf>
    <xf numFmtId="2" fontId="44" fillId="0" borderId="31" xfId="0" applyNumberFormat="1" applyFont="1" applyBorder="1" applyAlignment="1" applyProtection="1">
      <alignment horizontal="center" vertical="center"/>
      <protection hidden="1"/>
    </xf>
    <xf numFmtId="2" fontId="44" fillId="0" borderId="38" xfId="0" applyNumberFormat="1" applyFont="1" applyBorder="1" applyAlignment="1" applyProtection="1">
      <alignment horizontal="center" vertical="center"/>
      <protection hidden="1"/>
    </xf>
    <xf numFmtId="2" fontId="44" fillId="0" borderId="28" xfId="0" applyNumberFormat="1" applyFont="1" applyBorder="1" applyAlignment="1" applyProtection="1">
      <alignment horizontal="center" vertical="center"/>
      <protection hidden="1"/>
    </xf>
    <xf numFmtId="2" fontId="44" fillId="0" borderId="33" xfId="0" applyNumberFormat="1" applyFont="1" applyBorder="1" applyAlignment="1" applyProtection="1">
      <alignment horizontal="center" vertical="center"/>
      <protection hidden="1"/>
    </xf>
    <xf numFmtId="2" fontId="44" fillId="0" borderId="35" xfId="0" applyNumberFormat="1" applyFont="1" applyBorder="1" applyAlignment="1" applyProtection="1">
      <alignment horizontal="center" vertical="center"/>
      <protection hidden="1"/>
    </xf>
    <xf numFmtId="1" fontId="0" fillId="26" borderId="68" xfId="0" applyNumberFormat="1" applyFill="1" applyBorder="1" applyAlignment="1" applyProtection="1">
      <alignment vertical="center"/>
      <protection hidden="1"/>
    </xf>
    <xf numFmtId="1" fontId="0" fillId="28" borderId="41" xfId="0" applyNumberFormat="1" applyFill="1" applyBorder="1" applyAlignment="1" applyProtection="1">
      <alignment vertical="center"/>
      <protection hidden="1"/>
    </xf>
    <xf numFmtId="1" fontId="0" fillId="28" borderId="69" xfId="0" applyNumberFormat="1" applyFill="1" applyBorder="1" applyAlignment="1" applyProtection="1">
      <alignment vertical="center"/>
      <protection hidden="1"/>
    </xf>
    <xf numFmtId="0" fontId="0" fillId="25" borderId="10" xfId="0" applyFill="1" applyBorder="1" applyAlignment="1" applyProtection="1">
      <alignment horizontal="center"/>
      <protection locked="0"/>
    </xf>
    <xf numFmtId="0" fontId="0" fillId="0" borderId="37" xfId="0" applyBorder="1" applyAlignment="1">
      <alignment vertical="center" wrapText="1"/>
    </xf>
    <xf numFmtId="0" fontId="19" fillId="0" borderId="37" xfId="0" applyFont="1" applyBorder="1" applyAlignment="1">
      <alignment vertical="center" wrapText="1"/>
    </xf>
    <xf numFmtId="2" fontId="0" fillId="25" borderId="27" xfId="0" applyNumberFormat="1" applyFill="1" applyBorder="1" applyAlignment="1" applyProtection="1">
      <alignment horizontal="center" vertical="center"/>
      <protection locked="0"/>
    </xf>
    <xf numFmtId="2" fontId="44" fillId="24" borderId="36" xfId="0" applyNumberFormat="1" applyFont="1" applyFill="1" applyBorder="1" applyAlignment="1">
      <alignment horizontal="center" vertical="center"/>
    </xf>
    <xf numFmtId="2" fontId="0" fillId="25" borderId="37" xfId="0" applyNumberFormat="1" applyFill="1" applyBorder="1" applyAlignment="1" applyProtection="1">
      <alignment horizontal="center" vertical="center"/>
      <protection locked="0"/>
    </xf>
    <xf numFmtId="2" fontId="0" fillId="25" borderId="70" xfId="0" applyNumberFormat="1" applyFill="1" applyBorder="1" applyAlignment="1" applyProtection="1">
      <alignment horizontal="center" vertical="center"/>
      <protection locked="0"/>
    </xf>
    <xf numFmtId="2" fontId="44" fillId="0" borderId="70" xfId="0" applyNumberFormat="1" applyFont="1" applyBorder="1" applyAlignment="1" applyProtection="1">
      <alignment horizontal="center" vertical="center"/>
      <protection hidden="1"/>
    </xf>
    <xf numFmtId="2" fontId="44" fillId="24" borderId="70" xfId="0" applyNumberFormat="1" applyFont="1" applyFill="1" applyBorder="1" applyAlignment="1" applyProtection="1">
      <alignment horizontal="center" vertical="center"/>
      <protection hidden="1"/>
    </xf>
    <xf numFmtId="49" fontId="0" fillId="26" borderId="71" xfId="0" applyNumberFormat="1" applyFill="1" applyBorder="1" applyAlignment="1" applyProtection="1">
      <alignment horizontal="center"/>
      <protection hidden="1"/>
    </xf>
    <xf numFmtId="0" fontId="44" fillId="26" borderId="72" xfId="0" applyFont="1" applyFill="1" applyBorder="1" applyAlignment="1" applyProtection="1">
      <alignment horizontal="left" vertical="top" wrapText="1"/>
      <protection hidden="1"/>
    </xf>
    <xf numFmtId="0" fontId="19" fillId="0" borderId="0" xfId="0" applyFont="1" applyAlignment="1" applyProtection="1">
      <alignment horizontal="left"/>
      <protection hidden="1"/>
    </xf>
    <xf numFmtId="2" fontId="19" fillId="0" borderId="0" xfId="0" applyNumberFormat="1" applyFont="1" applyAlignment="1" applyProtection="1">
      <alignment horizontal="center"/>
      <protection hidden="1"/>
    </xf>
    <xf numFmtId="0" fontId="0" fillId="0" borderId="30" xfId="0" applyBorder="1" applyAlignment="1">
      <alignment vertical="center" wrapText="1"/>
    </xf>
    <xf numFmtId="0" fontId="0" fillId="0" borderId="37" xfId="0" applyBorder="1" applyAlignment="1">
      <alignment horizontal="center" vertical="center" wrapText="1"/>
    </xf>
    <xf numFmtId="2" fontId="0" fillId="25" borderId="27" xfId="0" applyNumberFormat="1" applyFill="1" applyBorder="1" applyAlignment="1" applyProtection="1">
      <alignment horizontal="center" vertical="center"/>
      <protection hidden="1"/>
    </xf>
    <xf numFmtId="2" fontId="0" fillId="25" borderId="30" xfId="0" applyNumberFormat="1" applyFill="1" applyBorder="1" applyAlignment="1" applyProtection="1">
      <alignment horizontal="center" vertical="center"/>
      <protection locked="0"/>
    </xf>
    <xf numFmtId="2" fontId="0" fillId="25" borderId="73" xfId="0" applyNumberFormat="1" applyFill="1" applyBorder="1" applyAlignment="1" applyProtection="1">
      <alignment horizontal="center" vertical="center"/>
      <protection locked="0"/>
    </xf>
    <xf numFmtId="2" fontId="44" fillId="0" borderId="74" xfId="0" applyNumberFormat="1" applyFont="1" applyBorder="1" applyAlignment="1" applyProtection="1">
      <alignment horizontal="center" vertical="center"/>
      <protection hidden="1"/>
    </xf>
    <xf numFmtId="2" fontId="44" fillId="24" borderId="75" xfId="0" applyNumberFormat="1" applyFont="1" applyFill="1" applyBorder="1" applyAlignment="1" applyProtection="1">
      <alignment horizontal="center" vertical="center"/>
      <protection hidden="1"/>
    </xf>
    <xf numFmtId="2" fontId="58" fillId="24" borderId="76" xfId="0" applyNumberFormat="1" applyFont="1" applyFill="1" applyBorder="1"/>
    <xf numFmtId="0" fontId="58" fillId="24" borderId="76" xfId="0" applyFont="1" applyFill="1" applyBorder="1"/>
    <xf numFmtId="0" fontId="61" fillId="0" borderId="0" xfId="0" applyFont="1" applyAlignment="1" applyProtection="1">
      <alignment horizontal="left"/>
      <protection hidden="1"/>
    </xf>
    <xf numFmtId="0" fontId="19" fillId="0" borderId="0" xfId="0" applyFont="1" applyAlignment="1">
      <alignment horizontal="center"/>
    </xf>
    <xf numFmtId="0" fontId="0" fillId="0" borderId="77" xfId="0" applyBorder="1" applyAlignment="1" applyProtection="1">
      <alignment horizontal="center" vertical="center" wrapText="1"/>
      <protection hidden="1"/>
    </xf>
    <xf numFmtId="0" fontId="0" fillId="0" borderId="70" xfId="0" applyBorder="1" applyAlignment="1" applyProtection="1">
      <alignment horizontal="center" vertical="center" wrapText="1"/>
      <protection hidden="1"/>
    </xf>
    <xf numFmtId="0" fontId="0" fillId="0" borderId="78" xfId="0" applyBorder="1" applyAlignment="1" applyProtection="1">
      <alignment horizontal="center" vertical="center" wrapText="1"/>
      <protection hidden="1"/>
    </xf>
    <xf numFmtId="0" fontId="0" fillId="0" borderId="79" xfId="0" applyBorder="1" applyAlignment="1">
      <alignment horizontal="center" vertical="center" wrapText="1"/>
    </xf>
    <xf numFmtId="0" fontId="21" fillId="16" borderId="62" xfId="0" applyFont="1" applyFill="1" applyBorder="1" applyAlignment="1">
      <alignment vertical="top" wrapText="1"/>
    </xf>
    <xf numFmtId="0" fontId="0" fillId="28" borderId="35" xfId="0" applyFill="1" applyBorder="1"/>
    <xf numFmtId="0" fontId="21" fillId="16" borderId="80" xfId="0" applyFont="1" applyFill="1" applyBorder="1" applyAlignment="1">
      <alignment vertical="top" wrapText="1"/>
    </xf>
    <xf numFmtId="0" fontId="0" fillId="28" borderId="33" xfId="0" applyFill="1" applyBorder="1"/>
    <xf numFmtId="0" fontId="21" fillId="16" borderId="81" xfId="0" applyFont="1" applyFill="1" applyBorder="1" applyAlignment="1">
      <alignment vertical="top" wrapText="1"/>
    </xf>
    <xf numFmtId="0" fontId="49" fillId="0" borderId="37" xfId="0" applyFont="1" applyBorder="1" applyAlignment="1">
      <alignment vertical="center" wrapText="1"/>
    </xf>
    <xf numFmtId="0" fontId="0" fillId="0" borderId="12" xfId="0" applyBorder="1" applyProtection="1">
      <protection locked="0"/>
    </xf>
    <xf numFmtId="0" fontId="0" fillId="0" borderId="23" xfId="0" applyBorder="1" applyProtection="1">
      <protection hidden="1"/>
    </xf>
    <xf numFmtId="0" fontId="0" fillId="0" borderId="23" xfId="0" applyBorder="1" applyAlignment="1" applyProtection="1">
      <alignment wrapText="1"/>
      <protection hidden="1"/>
    </xf>
    <xf numFmtId="0" fontId="19" fillId="28" borderId="32" xfId="0" applyFont="1" applyFill="1" applyBorder="1" applyAlignment="1" applyProtection="1">
      <alignment wrapText="1"/>
      <protection hidden="1"/>
    </xf>
    <xf numFmtId="0" fontId="19" fillId="16" borderId="15" xfId="0" applyFont="1" applyFill="1" applyBorder="1"/>
    <xf numFmtId="0" fontId="19" fillId="16" borderId="82" xfId="0" applyFont="1" applyFill="1" applyBorder="1" applyProtection="1">
      <protection hidden="1"/>
    </xf>
    <xf numFmtId="0" fontId="0" fillId="0" borderId="14" xfId="0" applyBorder="1" applyAlignment="1">
      <alignment horizontal="center"/>
    </xf>
    <xf numFmtId="2" fontId="0" fillId="0" borderId="0" xfId="0" applyNumberFormat="1" applyAlignment="1">
      <alignment wrapText="1"/>
    </xf>
    <xf numFmtId="0" fontId="19" fillId="0" borderId="37" xfId="0" applyFont="1" applyBorder="1" applyAlignment="1">
      <alignment vertical="top" wrapText="1"/>
    </xf>
    <xf numFmtId="0" fontId="0" fillId="0" borderId="23" xfId="0" applyBorder="1" applyAlignment="1" applyProtection="1">
      <alignment horizontal="center" wrapText="1"/>
      <protection locked="0"/>
    </xf>
    <xf numFmtId="0" fontId="0" fillId="0" borderId="23" xfId="0" applyBorder="1" applyAlignment="1" applyProtection="1">
      <alignment horizontal="left" wrapText="1"/>
      <protection locked="0"/>
    </xf>
    <xf numFmtId="0" fontId="62" fillId="0" borderId="23" xfId="0" applyFont="1" applyBorder="1" applyProtection="1">
      <protection hidden="1"/>
    </xf>
    <xf numFmtId="0" fontId="0" fillId="0" borderId="37" xfId="0" applyBorder="1" applyAlignment="1">
      <alignment vertical="top" wrapText="1"/>
    </xf>
    <xf numFmtId="0" fontId="0" fillId="16" borderId="83" xfId="0" applyFill="1" applyBorder="1" applyProtection="1">
      <protection hidden="1"/>
    </xf>
    <xf numFmtId="1" fontId="0" fillId="16" borderId="12" xfId="0" applyNumberFormat="1" applyFill="1" applyBorder="1" applyAlignment="1" applyProtection="1">
      <alignment horizontal="center"/>
      <protection hidden="1"/>
    </xf>
    <xf numFmtId="0" fontId="0" fillId="16" borderId="12" xfId="0" applyFill="1" applyBorder="1" applyAlignment="1" applyProtection="1">
      <alignment horizontal="center"/>
      <protection hidden="1"/>
    </xf>
    <xf numFmtId="0" fontId="0" fillId="16" borderId="64" xfId="0" applyFill="1" applyBorder="1" applyAlignment="1" applyProtection="1">
      <alignment horizontal="center"/>
      <protection hidden="1"/>
    </xf>
    <xf numFmtId="0" fontId="0" fillId="16" borderId="21" xfId="0" applyFill="1" applyBorder="1" applyProtection="1">
      <protection hidden="1"/>
    </xf>
    <xf numFmtId="0" fontId="0" fillId="16" borderId="84" xfId="0" applyFill="1" applyBorder="1" applyProtection="1">
      <protection hidden="1"/>
    </xf>
    <xf numFmtId="1" fontId="0" fillId="16" borderId="85" xfId="0" applyNumberFormat="1" applyFill="1" applyBorder="1" applyAlignment="1" applyProtection="1">
      <alignment horizontal="center"/>
      <protection hidden="1"/>
    </xf>
    <xf numFmtId="0" fontId="0" fillId="16" borderId="13" xfId="0" applyFill="1" applyBorder="1" applyProtection="1">
      <protection hidden="1"/>
    </xf>
    <xf numFmtId="0" fontId="19" fillId="16" borderId="39" xfId="0" applyFont="1" applyFill="1" applyBorder="1" applyAlignment="1" applyProtection="1">
      <alignment horizontal="center"/>
      <protection hidden="1"/>
    </xf>
    <xf numFmtId="0" fontId="19" fillId="16" borderId="86" xfId="0" applyFont="1" applyFill="1" applyBorder="1" applyAlignment="1" applyProtection="1">
      <alignment horizontal="center"/>
      <protection hidden="1"/>
    </xf>
    <xf numFmtId="0" fontId="19" fillId="16" borderId="87" xfId="0" applyFont="1" applyFill="1" applyBorder="1" applyAlignment="1" applyProtection="1">
      <alignment horizontal="center"/>
      <protection hidden="1"/>
    </xf>
    <xf numFmtId="0" fontId="19" fillId="16" borderId="16" xfId="0" applyFont="1" applyFill="1" applyBorder="1" applyAlignment="1" applyProtection="1">
      <alignment horizontal="center"/>
      <protection hidden="1"/>
    </xf>
    <xf numFmtId="0" fontId="49" fillId="16" borderId="88" xfId="0" applyFont="1" applyFill="1" applyBorder="1" applyAlignment="1" applyProtection="1">
      <alignment horizontal="center"/>
      <protection hidden="1"/>
    </xf>
    <xf numFmtId="0" fontId="49" fillId="16" borderId="65" xfId="0" applyFont="1" applyFill="1" applyBorder="1" applyAlignment="1" applyProtection="1">
      <alignment horizontal="center"/>
      <protection hidden="1"/>
    </xf>
    <xf numFmtId="0" fontId="0" fillId="28" borderId="32" xfId="0" applyFill="1" applyBorder="1" applyAlignment="1">
      <alignment horizontal="center" vertical="center"/>
    </xf>
    <xf numFmtId="2" fontId="0" fillId="28" borderId="88" xfId="0" applyNumberFormat="1" applyFill="1" applyBorder="1" applyAlignment="1">
      <alignment horizontal="center" vertical="center"/>
    </xf>
    <xf numFmtId="0" fontId="0" fillId="28" borderId="37" xfId="0" applyFill="1" applyBorder="1" applyAlignment="1">
      <alignment horizontal="center" vertical="center"/>
    </xf>
    <xf numFmtId="2" fontId="0" fillId="28" borderId="65" xfId="0" applyNumberFormat="1" applyFill="1" applyBorder="1" applyAlignment="1">
      <alignment horizontal="center" vertical="center"/>
    </xf>
    <xf numFmtId="2" fontId="0" fillId="28" borderId="34" xfId="0" applyNumberFormat="1" applyFill="1" applyBorder="1" applyAlignment="1">
      <alignment horizontal="center" vertical="center"/>
    </xf>
    <xf numFmtId="2" fontId="0" fillId="28" borderId="89" xfId="0" applyNumberFormat="1" applyFill="1" applyBorder="1" applyAlignment="1">
      <alignment horizontal="center" vertical="center"/>
    </xf>
    <xf numFmtId="2" fontId="19" fillId="28" borderId="52" xfId="0" applyNumberFormat="1" applyFont="1" applyFill="1" applyBorder="1" applyAlignment="1">
      <alignment horizontal="center" vertical="center"/>
    </xf>
    <xf numFmtId="0" fontId="49" fillId="16" borderId="29" xfId="0" applyFont="1" applyFill="1" applyBorder="1" applyAlignment="1" applyProtection="1">
      <alignment horizontal="center"/>
      <protection hidden="1"/>
    </xf>
    <xf numFmtId="0" fontId="49" fillId="16" borderId="90" xfId="0" applyFont="1" applyFill="1" applyBorder="1" applyAlignment="1" applyProtection="1">
      <alignment horizontal="center"/>
      <protection hidden="1"/>
    </xf>
    <xf numFmtId="2" fontId="19" fillId="16" borderId="91" xfId="0" applyNumberFormat="1" applyFont="1" applyFill="1" applyBorder="1" applyAlignment="1" applyProtection="1">
      <alignment horizontal="center"/>
      <protection hidden="1"/>
    </xf>
    <xf numFmtId="2" fontId="49" fillId="16" borderId="91" xfId="0" applyNumberFormat="1" applyFont="1" applyFill="1" applyBorder="1" applyAlignment="1" applyProtection="1">
      <alignment horizontal="center" vertical="center"/>
      <protection hidden="1"/>
    </xf>
    <xf numFmtId="0" fontId="19" fillId="16" borderId="59" xfId="0" applyFont="1" applyFill="1" applyBorder="1" applyProtection="1">
      <protection hidden="1"/>
    </xf>
    <xf numFmtId="0" fontId="19" fillId="16" borderId="16" xfId="0" applyFont="1" applyFill="1" applyBorder="1" applyProtection="1">
      <protection hidden="1"/>
    </xf>
    <xf numFmtId="0" fontId="0" fillId="29" borderId="60" xfId="0" applyFill="1" applyBorder="1" applyAlignment="1">
      <alignment wrapText="1"/>
    </xf>
    <xf numFmtId="0" fontId="0" fillId="29" borderId="60" xfId="0" applyFill="1" applyBorder="1" applyAlignment="1">
      <alignment horizontal="center" wrapText="1"/>
    </xf>
    <xf numFmtId="0" fontId="19" fillId="30" borderId="60" xfId="0" applyFont="1" applyFill="1" applyBorder="1" applyAlignment="1">
      <alignment wrapText="1"/>
    </xf>
    <xf numFmtId="0" fontId="0" fillId="29" borderId="61" xfId="0" applyFill="1" applyBorder="1" applyAlignment="1">
      <alignment horizontal="left" wrapText="1"/>
    </xf>
    <xf numFmtId="0" fontId="19" fillId="16" borderId="16" xfId="0" applyFont="1" applyFill="1" applyBorder="1" applyAlignment="1" applyProtection="1">
      <alignment horizontal="right"/>
      <protection hidden="1"/>
    </xf>
    <xf numFmtId="0" fontId="19" fillId="0" borderId="92" xfId="0" applyFont="1" applyBorder="1" applyProtection="1">
      <protection hidden="1"/>
    </xf>
    <xf numFmtId="2" fontId="19" fillId="16" borderId="16" xfId="0" applyNumberFormat="1" applyFont="1" applyFill="1" applyBorder="1" applyProtection="1">
      <protection hidden="1"/>
    </xf>
    <xf numFmtId="0" fontId="22" fillId="0" borderId="0" xfId="0" applyFont="1" applyProtection="1">
      <protection hidden="1"/>
    </xf>
    <xf numFmtId="0" fontId="19" fillId="0" borderId="10" xfId="0" applyFont="1" applyBorder="1" applyProtection="1">
      <protection hidden="1"/>
    </xf>
    <xf numFmtId="0" fontId="0" fillId="0" borderId="10" xfId="0" applyBorder="1" applyProtection="1">
      <protection hidden="1"/>
    </xf>
    <xf numFmtId="0" fontId="0" fillId="0" borderId="93" xfId="0" applyBorder="1" applyAlignment="1" applyProtection="1">
      <alignment vertical="center"/>
      <protection hidden="1"/>
    </xf>
    <xf numFmtId="0" fontId="0" fillId="0" borderId="94" xfId="0" applyBorder="1" applyAlignment="1" applyProtection="1">
      <alignment vertical="center"/>
      <protection hidden="1"/>
    </xf>
    <xf numFmtId="0" fontId="0" fillId="0" borderId="94" xfId="0" applyBorder="1" applyProtection="1">
      <protection hidden="1"/>
    </xf>
    <xf numFmtId="0" fontId="0" fillId="0" borderId="95" xfId="0" applyBorder="1" applyProtection="1">
      <protection hidden="1"/>
    </xf>
    <xf numFmtId="0" fontId="0" fillId="0" borderId="96" xfId="0" applyBorder="1" applyAlignment="1" applyProtection="1">
      <alignment vertical="center"/>
      <protection hidden="1"/>
    </xf>
    <xf numFmtId="0" fontId="0" fillId="0" borderId="37" xfId="0" applyBorder="1" applyAlignment="1" applyProtection="1">
      <alignment vertical="center"/>
      <protection hidden="1"/>
    </xf>
    <xf numFmtId="0" fontId="0" fillId="0" borderId="37" xfId="0" applyBorder="1" applyProtection="1">
      <protection hidden="1"/>
    </xf>
    <xf numFmtId="0" fontId="0" fillId="0" borderId="65" xfId="0" applyBorder="1" applyProtection="1">
      <protection hidden="1"/>
    </xf>
    <xf numFmtId="0" fontId="0" fillId="0" borderId="97" xfId="0" applyBorder="1" applyAlignment="1" applyProtection="1">
      <alignment vertical="center"/>
      <protection hidden="1"/>
    </xf>
    <xf numFmtId="0" fontId="0" fillId="0" borderId="34" xfId="0" applyBorder="1" applyAlignment="1" applyProtection="1">
      <alignment vertical="center"/>
      <protection hidden="1"/>
    </xf>
    <xf numFmtId="0" fontId="0" fillId="0" borderId="34" xfId="0" applyBorder="1" applyProtection="1">
      <protection hidden="1"/>
    </xf>
    <xf numFmtId="0" fontId="0" fillId="0" borderId="89" xfId="0" applyBorder="1" applyProtection="1">
      <protection hidden="1"/>
    </xf>
    <xf numFmtId="0" fontId="39" fillId="0" borderId="0" xfId="0" applyFont="1" applyProtection="1">
      <protection hidden="1"/>
    </xf>
    <xf numFmtId="0" fontId="0" fillId="0" borderId="98" xfId="0" applyBorder="1" applyAlignment="1" applyProtection="1">
      <alignment vertical="center"/>
      <protection hidden="1"/>
    </xf>
    <xf numFmtId="0" fontId="0" fillId="0" borderId="70" xfId="0" applyBorder="1" applyAlignment="1" applyProtection="1">
      <alignment vertical="center"/>
      <protection hidden="1"/>
    </xf>
    <xf numFmtId="0" fontId="0" fillId="0" borderId="70" xfId="0" applyBorder="1" applyProtection="1">
      <protection hidden="1"/>
    </xf>
    <xf numFmtId="0" fontId="0" fillId="0" borderId="67" xfId="0" applyBorder="1" applyProtection="1">
      <protection hidden="1"/>
    </xf>
    <xf numFmtId="0" fontId="19" fillId="0" borderId="62" xfId="0" applyFont="1" applyBorder="1" applyProtection="1">
      <protection hidden="1"/>
    </xf>
    <xf numFmtId="0" fontId="0" fillId="0" borderId="0" xfId="0" applyAlignment="1" applyProtection="1">
      <alignment horizontal="right"/>
      <protection hidden="1"/>
    </xf>
    <xf numFmtId="0" fontId="47" fillId="0" borderId="0" xfId="0" applyFont="1" applyAlignment="1" applyProtection="1">
      <alignment horizontal="center"/>
      <protection hidden="1"/>
    </xf>
    <xf numFmtId="0" fontId="47" fillId="0" borderId="0" xfId="0" applyFont="1" applyProtection="1">
      <protection hidden="1"/>
    </xf>
    <xf numFmtId="167" fontId="0" fillId="0" borderId="0" xfId="0" applyNumberFormat="1" applyProtection="1">
      <protection hidden="1"/>
    </xf>
    <xf numFmtId="4" fontId="0" fillId="0" borderId="0" xfId="0" applyNumberFormat="1" applyProtection="1">
      <protection hidden="1"/>
    </xf>
    <xf numFmtId="168" fontId="1" fillId="0" borderId="0" xfId="45" applyNumberFormat="1" applyProtection="1">
      <protection hidden="1"/>
    </xf>
    <xf numFmtId="40" fontId="0" fillId="0" borderId="0" xfId="45" applyNumberFormat="1" applyFont="1" applyProtection="1">
      <protection hidden="1"/>
    </xf>
    <xf numFmtId="0" fontId="19" fillId="16" borderId="92" xfId="0" applyFont="1" applyFill="1" applyBorder="1" applyAlignment="1" applyProtection="1">
      <alignment horizontal="center"/>
      <protection hidden="1"/>
    </xf>
    <xf numFmtId="0" fontId="19" fillId="16" borderId="87" xfId="0" applyFont="1" applyFill="1" applyBorder="1" applyProtection="1">
      <protection hidden="1"/>
    </xf>
    <xf numFmtId="0" fontId="21" fillId="0" borderId="0" xfId="0" applyFont="1" applyAlignment="1" applyProtection="1">
      <alignment horizontal="center" vertical="top" wrapText="1"/>
      <protection locked="0"/>
    </xf>
    <xf numFmtId="0" fontId="21" fillId="0" borderId="0" xfId="0" applyFont="1" applyAlignment="1" applyProtection="1">
      <alignment vertical="top" wrapText="1"/>
      <protection locked="0"/>
    </xf>
    <xf numFmtId="0" fontId="21" fillId="0" borderId="57" xfId="0" applyFont="1" applyBorder="1" applyAlignment="1">
      <alignment horizontal="center" vertical="top" wrapText="1"/>
    </xf>
    <xf numFmtId="0" fontId="49" fillId="16" borderId="67" xfId="0" applyFont="1" applyFill="1" applyBorder="1" applyAlignment="1" applyProtection="1">
      <alignment horizontal="center"/>
      <protection hidden="1"/>
    </xf>
    <xf numFmtId="2" fontId="0" fillId="31" borderId="95" xfId="0" applyNumberFormat="1" applyFill="1" applyBorder="1" applyAlignment="1" applyProtection="1">
      <alignment horizontal="center"/>
      <protection hidden="1"/>
    </xf>
    <xf numFmtId="2" fontId="0" fillId="31" borderId="65" xfId="0" applyNumberFormat="1" applyFill="1" applyBorder="1" applyAlignment="1" applyProtection="1">
      <alignment horizontal="center"/>
      <protection hidden="1"/>
    </xf>
    <xf numFmtId="0" fontId="0" fillId="31" borderId="40" xfId="0" applyFill="1" applyBorder="1" applyAlignment="1" applyProtection="1">
      <alignment vertical="center"/>
      <protection hidden="1"/>
    </xf>
    <xf numFmtId="0" fontId="0" fillId="31" borderId="41" xfId="0" applyFill="1" applyBorder="1" applyAlignment="1" applyProtection="1">
      <alignment vertical="center"/>
      <protection hidden="1"/>
    </xf>
    <xf numFmtId="1" fontId="0" fillId="32" borderId="95" xfId="0" applyNumberFormat="1" applyFill="1" applyBorder="1" applyAlignment="1" applyProtection="1">
      <alignment horizontal="center" vertical="center"/>
      <protection hidden="1"/>
    </xf>
    <xf numFmtId="0" fontId="0" fillId="31" borderId="99" xfId="0" applyFill="1" applyBorder="1" applyAlignment="1" applyProtection="1">
      <alignment vertical="center"/>
      <protection hidden="1"/>
    </xf>
    <xf numFmtId="0" fontId="0" fillId="31" borderId="100" xfId="0" applyFill="1" applyBorder="1" applyAlignment="1" applyProtection="1">
      <alignment vertical="center"/>
      <protection hidden="1"/>
    </xf>
    <xf numFmtId="1" fontId="0" fillId="32" borderId="67" xfId="0" applyNumberFormat="1" applyFill="1" applyBorder="1" applyAlignment="1" applyProtection="1">
      <alignment horizontal="center" vertical="center"/>
      <protection hidden="1"/>
    </xf>
    <xf numFmtId="2" fontId="0" fillId="31" borderId="67" xfId="0" applyNumberFormat="1" applyFill="1" applyBorder="1" applyAlignment="1" applyProtection="1">
      <alignment horizontal="center"/>
      <protection hidden="1"/>
    </xf>
    <xf numFmtId="2" fontId="49" fillId="31" borderId="95" xfId="0" applyNumberFormat="1" applyFont="1" applyFill="1" applyBorder="1" applyAlignment="1" applyProtection="1">
      <alignment horizontal="center"/>
      <protection hidden="1"/>
    </xf>
    <xf numFmtId="0" fontId="0" fillId="31" borderId="69" xfId="0" applyFill="1" applyBorder="1" applyAlignment="1" applyProtection="1">
      <alignment vertical="center"/>
      <protection hidden="1"/>
    </xf>
    <xf numFmtId="2" fontId="0" fillId="32" borderId="95" xfId="0" applyNumberFormat="1" applyFill="1" applyBorder="1" applyAlignment="1" applyProtection="1">
      <alignment horizontal="center" vertical="center"/>
      <protection hidden="1"/>
    </xf>
    <xf numFmtId="2" fontId="49" fillId="31" borderId="65" xfId="0" applyNumberFormat="1" applyFont="1" applyFill="1" applyBorder="1" applyAlignment="1" applyProtection="1">
      <alignment horizontal="center"/>
      <protection hidden="1"/>
    </xf>
    <xf numFmtId="0" fontId="0" fillId="31" borderId="101" xfId="0" applyFill="1" applyBorder="1" applyAlignment="1" applyProtection="1">
      <alignment vertical="center"/>
      <protection hidden="1"/>
    </xf>
    <xf numFmtId="0" fontId="0" fillId="31" borderId="60" xfId="0" applyFill="1" applyBorder="1" applyAlignment="1" applyProtection="1">
      <alignment vertical="center"/>
      <protection hidden="1"/>
    </xf>
    <xf numFmtId="2" fontId="0" fillId="32" borderId="88" xfId="0" applyNumberFormat="1" applyFill="1" applyBorder="1" applyAlignment="1" applyProtection="1">
      <alignment horizontal="center" vertical="center"/>
      <protection hidden="1"/>
    </xf>
    <xf numFmtId="2" fontId="49" fillId="31" borderId="29" xfId="0" applyNumberFormat="1" applyFont="1" applyFill="1" applyBorder="1" applyAlignment="1" applyProtection="1">
      <alignment horizontal="center"/>
      <protection hidden="1"/>
    </xf>
    <xf numFmtId="0" fontId="0" fillId="31" borderId="102" xfId="0" applyFill="1" applyBorder="1" applyAlignment="1" applyProtection="1">
      <alignment vertical="center"/>
      <protection hidden="1"/>
    </xf>
    <xf numFmtId="2" fontId="0" fillId="32" borderId="67" xfId="0" applyNumberFormat="1" applyFill="1" applyBorder="1" applyAlignment="1" applyProtection="1">
      <alignment horizontal="center" vertical="center"/>
      <protection hidden="1"/>
    </xf>
    <xf numFmtId="0" fontId="19" fillId="31" borderId="103" xfId="0" applyFont="1" applyFill="1" applyBorder="1" applyAlignment="1" applyProtection="1">
      <alignment horizontal="left"/>
      <protection hidden="1"/>
    </xf>
    <xf numFmtId="0" fontId="49" fillId="31" borderId="104" xfId="0" applyFont="1" applyFill="1" applyBorder="1" applyAlignment="1" applyProtection="1">
      <alignment horizontal="left"/>
      <protection hidden="1"/>
    </xf>
    <xf numFmtId="2" fontId="49" fillId="31" borderId="52" xfId="0" applyNumberFormat="1" applyFont="1" applyFill="1" applyBorder="1" applyAlignment="1" applyProtection="1">
      <alignment horizontal="center"/>
      <protection hidden="1"/>
    </xf>
    <xf numFmtId="2" fontId="19" fillId="31" borderId="52" xfId="0" applyNumberFormat="1" applyFont="1" applyFill="1" applyBorder="1" applyAlignment="1" applyProtection="1">
      <alignment horizontal="center"/>
      <protection hidden="1"/>
    </xf>
    <xf numFmtId="0" fontId="19" fillId="0" borderId="0" xfId="0" applyFont="1" applyAlignment="1" applyProtection="1">
      <alignment horizontal="center" vertical="center" wrapText="1"/>
      <protection hidden="1"/>
    </xf>
    <xf numFmtId="0" fontId="0" fillId="0" borderId="0" xfId="0" applyAlignment="1" applyProtection="1">
      <alignment wrapText="1"/>
      <protection hidden="1"/>
    </xf>
    <xf numFmtId="0" fontId="0" fillId="0" borderId="23" xfId="0" applyBorder="1" applyAlignment="1" applyProtection="1">
      <alignment vertical="top" wrapText="1"/>
      <protection locked="0"/>
    </xf>
    <xf numFmtId="0" fontId="0" fillId="0" borderId="12" xfId="0" applyBorder="1" applyAlignment="1" applyProtection="1">
      <alignment horizontal="center" vertical="top" wrapText="1"/>
      <protection locked="0"/>
    </xf>
    <xf numFmtId="0" fontId="19" fillId="28" borderId="32" xfId="0" applyFont="1" applyFill="1" applyBorder="1" applyAlignment="1" applyProtection="1">
      <alignment vertical="top" wrapText="1"/>
      <protection hidden="1"/>
    </xf>
    <xf numFmtId="0" fontId="19" fillId="16" borderId="25" xfId="0" applyFont="1" applyFill="1" applyBorder="1" applyAlignment="1" applyProtection="1">
      <alignment vertical="top" wrapText="1"/>
      <protection locked="0"/>
    </xf>
    <xf numFmtId="0" fontId="0" fillId="0" borderId="64" xfId="0" applyBorder="1" applyAlignment="1" applyProtection="1">
      <alignment horizontal="left" vertical="top" wrapText="1"/>
      <protection locked="0"/>
    </xf>
    <xf numFmtId="0" fontId="0" fillId="0" borderId="18" xfId="0" applyBorder="1" applyAlignment="1" applyProtection="1">
      <alignment horizontal="left" vertical="top" wrapText="1"/>
      <protection locked="0"/>
    </xf>
    <xf numFmtId="0" fontId="0" fillId="0" borderId="23"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24" xfId="0" applyBorder="1" applyAlignment="1" applyProtection="1">
      <alignment horizontal="left" vertical="top" wrapText="1"/>
      <protection locked="0"/>
    </xf>
    <xf numFmtId="165" fontId="0" fillId="0" borderId="83" xfId="0" applyNumberFormat="1" applyBorder="1" applyAlignment="1" applyProtection="1">
      <alignment horizontal="left" vertical="top" wrapText="1"/>
      <protection locked="0"/>
    </xf>
    <xf numFmtId="165" fontId="0" fillId="0" borderId="23" xfId="0" applyNumberFormat="1" applyBorder="1" applyAlignment="1" applyProtection="1">
      <alignment horizontal="left" vertical="top" wrapText="1"/>
      <protection locked="0"/>
    </xf>
    <xf numFmtId="165" fontId="0" fillId="0" borderId="21" xfId="0" applyNumberFormat="1" applyBorder="1" applyAlignment="1" applyProtection="1">
      <alignment horizontal="left" vertical="top" wrapText="1"/>
      <protection locked="0"/>
    </xf>
    <xf numFmtId="165" fontId="0" fillId="0" borderId="24" xfId="0" applyNumberFormat="1" applyBorder="1" applyAlignment="1" applyProtection="1">
      <alignment horizontal="left" vertical="top" wrapText="1"/>
      <protection locked="0"/>
    </xf>
    <xf numFmtId="0" fontId="19" fillId="28" borderId="32" xfId="0" applyFont="1" applyFill="1" applyBorder="1" applyAlignment="1" applyProtection="1">
      <alignment horizontal="center" vertical="top" wrapText="1"/>
      <protection hidden="1"/>
    </xf>
    <xf numFmtId="0" fontId="0" fillId="0" borderId="23" xfId="0" applyBorder="1" applyAlignment="1" applyProtection="1">
      <alignment horizontal="center" vertical="top" wrapText="1"/>
      <protection locked="0"/>
    </xf>
    <xf numFmtId="0" fontId="0" fillId="0" borderId="85" xfId="0" applyBorder="1" applyProtection="1">
      <protection hidden="1"/>
    </xf>
    <xf numFmtId="0" fontId="0" fillId="0" borderId="12" xfId="0" applyBorder="1" applyAlignment="1" applyProtection="1">
      <alignment horizontal="center" vertical="center" wrapText="1"/>
      <protection locked="0"/>
    </xf>
    <xf numFmtId="0" fontId="19" fillId="28" borderId="32" xfId="0" applyFont="1" applyFill="1" applyBorder="1" applyAlignment="1" applyProtection="1">
      <alignment horizontal="center" wrapText="1"/>
      <protection hidden="1"/>
    </xf>
    <xf numFmtId="0" fontId="0" fillId="0" borderId="12" xfId="0" applyBorder="1" applyAlignment="1" applyProtection="1">
      <alignment horizontal="left" vertical="center" wrapText="1"/>
      <protection locked="0"/>
    </xf>
    <xf numFmtId="0" fontId="34" fillId="0" borderId="0" xfId="30"/>
    <xf numFmtId="0" fontId="34" fillId="0" borderId="0" xfId="30" applyProtection="1">
      <protection hidden="1"/>
    </xf>
    <xf numFmtId="0" fontId="56" fillId="0" borderId="0" xfId="0" applyFont="1" applyAlignment="1">
      <alignment wrapText="1"/>
    </xf>
    <xf numFmtId="0" fontId="0" fillId="0" borderId="32" xfId="0" applyBorder="1"/>
    <xf numFmtId="0" fontId="0" fillId="28" borderId="37" xfId="0" applyFill="1" applyBorder="1" applyAlignment="1">
      <alignment horizontal="center"/>
    </xf>
    <xf numFmtId="0" fontId="0" fillId="0" borderId="32" xfId="0" applyBorder="1" applyProtection="1">
      <protection locked="0"/>
    </xf>
    <xf numFmtId="0" fontId="0" fillId="0" borderId="37" xfId="0" applyBorder="1" applyProtection="1">
      <protection locked="0"/>
    </xf>
    <xf numFmtId="0" fontId="49" fillId="0" borderId="0" xfId="0" applyFont="1" applyProtection="1">
      <protection hidden="1"/>
    </xf>
    <xf numFmtId="0" fontId="19" fillId="33" borderId="37" xfId="0" applyFont="1" applyFill="1" applyBorder="1" applyAlignment="1">
      <alignment horizontal="center"/>
    </xf>
    <xf numFmtId="0" fontId="1" fillId="25" borderId="37" xfId="32" applyFill="1" applyBorder="1" applyAlignment="1" applyProtection="1">
      <alignment horizontal="center"/>
      <protection locked="0"/>
    </xf>
    <xf numFmtId="0" fontId="49" fillId="25" borderId="37" xfId="32" applyFont="1" applyFill="1" applyBorder="1" applyAlignment="1" applyProtection="1">
      <alignment horizontal="center"/>
      <protection locked="0"/>
    </xf>
    <xf numFmtId="0" fontId="68" fillId="16" borderId="79" xfId="0" applyFont="1" applyFill="1" applyBorder="1"/>
    <xf numFmtId="0" fontId="68" fillId="16" borderId="86" xfId="0" applyFont="1" applyFill="1" applyBorder="1"/>
    <xf numFmtId="0" fontId="68" fillId="16" borderId="105" xfId="0" applyFont="1" applyFill="1" applyBorder="1"/>
    <xf numFmtId="0" fontId="49" fillId="24" borderId="37" xfId="32" applyFont="1" applyFill="1" applyBorder="1" applyAlignment="1" applyProtection="1">
      <alignment horizontal="center" vertical="top"/>
      <protection hidden="1"/>
    </xf>
    <xf numFmtId="0" fontId="1" fillId="24" borderId="37" xfId="32" applyFill="1" applyBorder="1" applyAlignment="1" applyProtection="1">
      <alignment horizontal="center"/>
      <protection locked="0"/>
    </xf>
    <xf numFmtId="0" fontId="49" fillId="24" borderId="37" xfId="32" applyFont="1" applyFill="1" applyBorder="1" applyAlignment="1" applyProtection="1">
      <alignment horizontal="center"/>
      <protection locked="0"/>
    </xf>
    <xf numFmtId="0" fontId="0" fillId="28" borderId="32" xfId="0" applyFill="1" applyBorder="1" applyAlignment="1">
      <alignment horizontal="center"/>
    </xf>
    <xf numFmtId="0" fontId="1" fillId="25" borderId="65" xfId="32" applyFill="1" applyBorder="1" applyAlignment="1" applyProtection="1">
      <alignment horizontal="center"/>
      <protection locked="0"/>
    </xf>
    <xf numFmtId="0" fontId="49" fillId="24" borderId="34" xfId="32" applyFont="1" applyFill="1" applyBorder="1" applyAlignment="1" applyProtection="1">
      <alignment horizontal="center" vertical="top"/>
      <protection hidden="1"/>
    </xf>
    <xf numFmtId="0" fontId="49" fillId="24" borderId="34" xfId="32" applyFont="1" applyFill="1" applyBorder="1" applyAlignment="1" applyProtection="1">
      <alignment horizontal="center"/>
      <protection locked="0"/>
    </xf>
    <xf numFmtId="0" fontId="49" fillId="25" borderId="34" xfId="32" applyFont="1" applyFill="1" applyBorder="1" applyAlignment="1" applyProtection="1">
      <alignment horizontal="center"/>
      <protection locked="0"/>
    </xf>
    <xf numFmtId="0" fontId="1" fillId="24" borderId="34" xfId="32" applyFill="1" applyBorder="1" applyAlignment="1" applyProtection="1">
      <alignment horizontal="center"/>
      <protection locked="0"/>
    </xf>
    <xf numFmtId="0" fontId="1" fillId="25" borderId="34" xfId="32" applyFill="1" applyBorder="1" applyAlignment="1" applyProtection="1">
      <alignment horizontal="center"/>
      <protection locked="0"/>
    </xf>
    <xf numFmtId="0" fontId="1" fillId="25" borderId="89" xfId="32" applyFill="1" applyBorder="1" applyAlignment="1" applyProtection="1">
      <alignment horizontal="center"/>
      <protection locked="0"/>
    </xf>
    <xf numFmtId="0" fontId="66" fillId="29" borderId="100" xfId="32" applyFont="1" applyFill="1" applyBorder="1" applyAlignment="1">
      <alignment horizontal="center" vertical="top"/>
    </xf>
    <xf numFmtId="0" fontId="66" fillId="29" borderId="106" xfId="32" applyFont="1" applyFill="1" applyBorder="1" applyAlignment="1">
      <alignment horizontal="center" vertical="top"/>
    </xf>
    <xf numFmtId="0" fontId="67" fillId="29" borderId="38" xfId="0" applyFont="1" applyFill="1" applyBorder="1" applyAlignment="1" applyProtection="1">
      <alignment wrapText="1"/>
      <protection hidden="1"/>
    </xf>
    <xf numFmtId="0" fontId="49" fillId="0" borderId="32" xfId="32" applyFont="1" applyBorder="1" applyAlignment="1" applyProtection="1">
      <alignment horizontal="center" vertical="top"/>
      <protection hidden="1"/>
    </xf>
    <xf numFmtId="0" fontId="49" fillId="0" borderId="32" xfId="32" applyFont="1" applyBorder="1" applyAlignment="1" applyProtection="1">
      <alignment horizontal="center"/>
      <protection locked="0"/>
    </xf>
    <xf numFmtId="0" fontId="49" fillId="25" borderId="32" xfId="32" applyFont="1" applyFill="1" applyBorder="1" applyAlignment="1" applyProtection="1">
      <alignment horizontal="center"/>
      <protection locked="0"/>
    </xf>
    <xf numFmtId="0" fontId="1" fillId="0" borderId="32" xfId="32" applyBorder="1" applyAlignment="1" applyProtection="1">
      <alignment horizontal="center"/>
      <protection locked="0"/>
    </xf>
    <xf numFmtId="0" fontId="1" fillId="25" borderId="32" xfId="32" applyFill="1" applyBorder="1" applyAlignment="1" applyProtection="1">
      <alignment horizontal="center"/>
      <protection locked="0"/>
    </xf>
    <xf numFmtId="0" fontId="1" fillId="25" borderId="88" xfId="32" applyFill="1" applyBorder="1" applyAlignment="1" applyProtection="1">
      <alignment horizontal="center"/>
      <protection locked="0"/>
    </xf>
    <xf numFmtId="0" fontId="22" fillId="24" borderId="96" xfId="32" applyFont="1" applyFill="1" applyBorder="1" applyAlignment="1" applyProtection="1">
      <alignment horizontal="left" vertical="top" wrapText="1"/>
      <protection hidden="1"/>
    </xf>
    <xf numFmtId="0" fontId="69" fillId="24" borderId="96" xfId="32" applyFont="1" applyFill="1" applyBorder="1" applyAlignment="1" applyProtection="1">
      <alignment horizontal="left" vertical="top" wrapText="1"/>
      <protection hidden="1"/>
    </xf>
    <xf numFmtId="0" fontId="65" fillId="24" borderId="96" xfId="32" applyFont="1" applyFill="1" applyBorder="1" applyAlignment="1" applyProtection="1">
      <alignment horizontal="left" vertical="top" wrapText="1"/>
      <protection hidden="1"/>
    </xf>
    <xf numFmtId="0" fontId="65" fillId="24" borderId="97" xfId="32" applyFont="1" applyFill="1" applyBorder="1" applyAlignment="1" applyProtection="1">
      <alignment horizontal="left" vertical="top" wrapText="1"/>
      <protection hidden="1"/>
    </xf>
    <xf numFmtId="0" fontId="66" fillId="29" borderId="99" xfId="32" applyFont="1" applyFill="1" applyBorder="1" applyAlignment="1" applyProtection="1">
      <alignment horizontal="center" vertical="top"/>
      <protection hidden="1"/>
    </xf>
    <xf numFmtId="0" fontId="66" fillId="29" borderId="100" xfId="32" applyFont="1" applyFill="1" applyBorder="1" applyAlignment="1" applyProtection="1">
      <alignment horizontal="center" vertical="top"/>
      <protection hidden="1"/>
    </xf>
    <xf numFmtId="0" fontId="73" fillId="0" borderId="0" xfId="0" applyFont="1"/>
    <xf numFmtId="0" fontId="19" fillId="33" borderId="37" xfId="0" applyFont="1" applyFill="1" applyBorder="1" applyAlignment="1">
      <alignment horizontal="center" wrapText="1"/>
    </xf>
    <xf numFmtId="0" fontId="0" fillId="17" borderId="10" xfId="0" applyFill="1" applyBorder="1" applyAlignment="1" applyProtection="1">
      <alignment horizontal="left"/>
      <protection locked="0"/>
    </xf>
    <xf numFmtId="0" fontId="0" fillId="25" borderId="10" xfId="0" applyFill="1" applyBorder="1" applyAlignment="1" applyProtection="1">
      <alignment horizontal="center" vertical="center"/>
      <protection locked="0"/>
    </xf>
    <xf numFmtId="0" fontId="0" fillId="27" borderId="10" xfId="0" applyFill="1" applyBorder="1" applyAlignment="1" applyProtection="1">
      <alignment horizontal="center" vertical="center"/>
      <protection locked="0"/>
    </xf>
    <xf numFmtId="0" fontId="21" fillId="27" borderId="10" xfId="0" applyFont="1" applyFill="1" applyBorder="1" applyAlignment="1" applyProtection="1">
      <alignment horizontal="left" vertical="justify" wrapText="1"/>
      <protection locked="0"/>
    </xf>
    <xf numFmtId="0" fontId="19" fillId="17" borderId="10" xfId="0" applyFont="1" applyFill="1" applyBorder="1" applyAlignment="1">
      <alignment horizontal="center" vertical="center" wrapText="1"/>
    </xf>
    <xf numFmtId="0" fontId="0" fillId="25" borderId="10" xfId="0" applyFill="1" applyBorder="1" applyAlignment="1" applyProtection="1">
      <alignment horizontal="left" vertical="center"/>
      <protection locked="0"/>
    </xf>
    <xf numFmtId="0" fontId="0" fillId="0" borderId="10" xfId="0" applyBorder="1" applyAlignment="1" applyProtection="1">
      <alignment horizontal="center" vertical="center"/>
      <protection locked="0" hidden="1"/>
    </xf>
    <xf numFmtId="0" fontId="58" fillId="0" borderId="14" xfId="0" applyFont="1" applyBorder="1" applyAlignment="1">
      <alignment horizontal="left" wrapText="1"/>
    </xf>
    <xf numFmtId="0" fontId="49" fillId="0" borderId="0" xfId="0" applyFont="1"/>
    <xf numFmtId="0" fontId="0" fillId="0" borderId="0" xfId="0" applyFont="1"/>
    <xf numFmtId="2" fontId="0" fillId="0" borderId="37" xfId="0" applyNumberFormat="1" applyBorder="1" applyProtection="1">
      <protection locked="0"/>
    </xf>
    <xf numFmtId="0" fontId="0" fillId="24" borderId="37" xfId="32" applyFont="1" applyFill="1" applyBorder="1" applyAlignment="1" applyProtection="1">
      <alignment horizontal="center"/>
      <protection locked="0"/>
    </xf>
    <xf numFmtId="0" fontId="0" fillId="29" borderId="60" xfId="0" applyFill="1" applyBorder="1" applyAlignment="1" applyProtection="1">
      <alignment horizontal="center" wrapText="1"/>
    </xf>
    <xf numFmtId="0" fontId="0" fillId="0" borderId="12" xfId="0" applyBorder="1" applyAlignment="1" applyProtection="1">
      <alignment vertical="top"/>
      <protection locked="0"/>
    </xf>
    <xf numFmtId="0" fontId="62" fillId="0" borderId="23" xfId="0" applyFont="1" applyBorder="1" applyAlignment="1" applyProtection="1">
      <alignment vertical="top"/>
      <protection hidden="1"/>
    </xf>
    <xf numFmtId="0" fontId="0" fillId="0" borderId="23" xfId="0" applyBorder="1" applyAlignment="1" applyProtection="1">
      <alignment vertical="top"/>
      <protection hidden="1"/>
    </xf>
    <xf numFmtId="0" fontId="60" fillId="0" borderId="107" xfId="0" applyFont="1" applyBorder="1" applyAlignment="1" applyProtection="1">
      <alignment horizontal="center" vertical="top" wrapText="1"/>
      <protection hidden="1"/>
    </xf>
    <xf numFmtId="0" fontId="19" fillId="17" borderId="10" xfId="0" applyFont="1" applyFill="1" applyBorder="1" applyAlignment="1">
      <alignment horizontal="center"/>
    </xf>
    <xf numFmtId="0" fontId="20" fillId="0" borderId="10" xfId="0" applyFont="1" applyBorder="1" applyAlignment="1">
      <alignment horizontal="center"/>
    </xf>
    <xf numFmtId="0" fontId="21" fillId="0" borderId="10" xfId="0" applyFont="1" applyBorder="1" applyAlignment="1" applyProtection="1">
      <alignment horizontal="center" vertical="center"/>
      <protection locked="0"/>
    </xf>
    <xf numFmtId="0" fontId="19" fillId="17" borderId="10" xfId="0" applyFont="1" applyFill="1" applyBorder="1" applyAlignment="1">
      <alignment horizontal="center" wrapText="1"/>
    </xf>
    <xf numFmtId="0" fontId="0" fillId="0" borderId="10" xfId="0" applyBorder="1" applyAlignment="1" applyProtection="1">
      <alignment horizontal="center"/>
      <protection locked="0"/>
    </xf>
    <xf numFmtId="0" fontId="0" fillId="0" borderId="10" xfId="0" applyBorder="1" applyAlignment="1" applyProtection="1">
      <alignment horizontal="left"/>
      <protection locked="0"/>
    </xf>
    <xf numFmtId="0" fontId="0" fillId="16" borderId="10" xfId="0" applyFill="1" applyBorder="1" applyAlignment="1">
      <alignment horizontal="left"/>
    </xf>
    <xf numFmtId="0" fontId="19" fillId="17" borderId="108" xfId="0" applyFont="1" applyFill="1" applyBorder="1" applyAlignment="1">
      <alignment horizontal="left" vertical="center" wrapText="1"/>
    </xf>
    <xf numFmtId="0" fontId="19" fillId="17" borderId="109" xfId="0" applyFont="1" applyFill="1" applyBorder="1" applyAlignment="1">
      <alignment horizontal="left" vertical="center" wrapText="1"/>
    </xf>
    <xf numFmtId="0" fontId="19" fillId="17" borderId="24" xfId="0" applyFont="1" applyFill="1" applyBorder="1" applyAlignment="1">
      <alignment horizontal="left" vertical="center" wrapText="1"/>
    </xf>
    <xf numFmtId="0" fontId="19" fillId="17" borderId="10" xfId="0" applyFont="1" applyFill="1" applyBorder="1" applyAlignment="1">
      <alignment horizontal="right" vertical="center"/>
    </xf>
    <xf numFmtId="0" fontId="21" fillId="16" borderId="10" xfId="0" applyFont="1" applyFill="1" applyBorder="1" applyAlignment="1">
      <alignment horizontal="left" vertical="top" wrapText="1"/>
    </xf>
    <xf numFmtId="0" fontId="19" fillId="17" borderId="10" xfId="0" applyFont="1" applyFill="1" applyBorder="1" applyAlignment="1">
      <alignment horizontal="center" vertical="top" wrapText="1"/>
    </xf>
    <xf numFmtId="0" fontId="21" fillId="16" borderId="10" xfId="0" applyFont="1" applyFill="1" applyBorder="1" applyAlignment="1">
      <alignment horizontal="left"/>
    </xf>
    <xf numFmtId="0" fontId="21" fillId="16" borderId="108" xfId="0" applyFont="1" applyFill="1" applyBorder="1" applyAlignment="1">
      <alignment horizontal="left"/>
    </xf>
    <xf numFmtId="0" fontId="21" fillId="16" borderId="109" xfId="0" applyFont="1" applyFill="1" applyBorder="1" applyAlignment="1">
      <alignment horizontal="left"/>
    </xf>
    <xf numFmtId="0" fontId="21" fillId="16" borderId="24" xfId="0" applyFont="1" applyFill="1" applyBorder="1" applyAlignment="1">
      <alignment horizontal="left"/>
    </xf>
    <xf numFmtId="0" fontId="19" fillId="35" borderId="10" xfId="0" applyFont="1" applyFill="1" applyBorder="1" applyAlignment="1">
      <alignment horizontal="center"/>
    </xf>
    <xf numFmtId="0" fontId="21" fillId="16" borderId="108" xfId="0" applyFont="1" applyFill="1" applyBorder="1" applyAlignment="1">
      <alignment horizontal="left" vertical="top" wrapText="1"/>
    </xf>
    <xf numFmtId="0" fontId="21" fillId="16" borderId="24" xfId="0" applyFont="1" applyFill="1" applyBorder="1" applyAlignment="1">
      <alignment horizontal="left" vertical="top" wrapText="1"/>
    </xf>
    <xf numFmtId="0" fontId="0" fillId="25" borderId="108" xfId="0" applyFill="1" applyBorder="1" applyAlignment="1" applyProtection="1">
      <alignment horizontal="center" vertical="center"/>
      <protection locked="0"/>
    </xf>
    <xf numFmtId="0" fontId="0" fillId="25" borderId="109" xfId="0" applyFill="1" applyBorder="1" applyAlignment="1" applyProtection="1">
      <alignment horizontal="center" vertical="center"/>
      <protection locked="0"/>
    </xf>
    <xf numFmtId="0" fontId="0" fillId="25" borderId="24" xfId="0" applyFill="1" applyBorder="1" applyAlignment="1" applyProtection="1">
      <alignment horizontal="center" vertical="center"/>
      <protection locked="0"/>
    </xf>
    <xf numFmtId="0" fontId="19" fillId="17" borderId="10" xfId="0" applyFont="1" applyFill="1" applyBorder="1" applyAlignment="1">
      <alignment vertical="top" wrapText="1"/>
    </xf>
    <xf numFmtId="0" fontId="0" fillId="0" borderId="108" xfId="0" applyBorder="1" applyAlignment="1" applyProtection="1">
      <alignment horizontal="center"/>
      <protection locked="0"/>
    </xf>
    <xf numFmtId="0" fontId="0" fillId="0" borderId="24" xfId="0" applyBorder="1" applyAlignment="1" applyProtection="1">
      <alignment horizontal="center"/>
      <protection locked="0"/>
    </xf>
    <xf numFmtId="0" fontId="19" fillId="17" borderId="85" xfId="0" applyFont="1" applyFill="1" applyBorder="1" applyAlignment="1">
      <alignment horizontal="center" vertical="top" wrapText="1"/>
    </xf>
    <xf numFmtId="0" fontId="19" fillId="17" borderId="62" xfId="0" applyFont="1" applyFill="1" applyBorder="1" applyAlignment="1">
      <alignment horizontal="center" vertical="top" wrapText="1"/>
    </xf>
    <xf numFmtId="0" fontId="18" fillId="0" borderId="10" xfId="0" applyFont="1" applyBorder="1" applyAlignment="1">
      <alignment horizontal="center" vertical="center"/>
    </xf>
    <xf numFmtId="0" fontId="18" fillId="0" borderId="108" xfId="0" applyFont="1" applyBorder="1" applyAlignment="1">
      <alignment horizontal="center" vertical="center" wrapText="1"/>
    </xf>
    <xf numFmtId="0" fontId="18" fillId="0" borderId="109" xfId="0" applyFont="1" applyBorder="1" applyAlignment="1">
      <alignment horizontal="center" vertical="center" wrapText="1"/>
    </xf>
    <xf numFmtId="0" fontId="18" fillId="0" borderId="24" xfId="0" applyFont="1" applyBorder="1" applyAlignment="1">
      <alignment horizontal="center" vertical="center" wrapText="1"/>
    </xf>
    <xf numFmtId="0" fontId="19" fillId="17" borderId="24" xfId="0" applyFont="1" applyFill="1" applyBorder="1" applyAlignment="1">
      <alignment horizontal="center" wrapText="1"/>
    </xf>
    <xf numFmtId="49" fontId="0" fillId="0" borderId="24" xfId="0" applyNumberFormat="1" applyBorder="1" applyAlignment="1" applyProtection="1">
      <alignment horizontal="center"/>
      <protection locked="0"/>
    </xf>
    <xf numFmtId="49" fontId="0" fillId="0" borderId="10" xfId="0" applyNumberFormat="1" applyBorder="1" applyAlignment="1" applyProtection="1">
      <alignment horizontal="center"/>
      <protection locked="0"/>
    </xf>
    <xf numFmtId="0" fontId="0" fillId="34" borderId="109" xfId="0" applyFill="1" applyBorder="1" applyAlignment="1" applyProtection="1">
      <alignment horizontal="center"/>
      <protection locked="0"/>
    </xf>
    <xf numFmtId="0" fontId="0" fillId="34" borderId="24" xfId="0" applyFill="1" applyBorder="1" applyAlignment="1" applyProtection="1">
      <alignment horizontal="center"/>
      <protection locked="0"/>
    </xf>
    <xf numFmtId="0" fontId="19" fillId="17" borderId="10" xfId="0" applyFont="1" applyFill="1" applyBorder="1" applyAlignment="1">
      <alignment horizontal="center" vertical="center"/>
    </xf>
    <xf numFmtId="0" fontId="19" fillId="17" borderId="108" xfId="0" applyFont="1" applyFill="1" applyBorder="1" applyAlignment="1">
      <alignment horizontal="center" vertical="center" wrapText="1"/>
    </xf>
    <xf numFmtId="0" fontId="0" fillId="0" borderId="24" xfId="0" applyBorder="1" applyAlignment="1">
      <alignment horizontal="center" vertical="center" wrapText="1"/>
    </xf>
    <xf numFmtId="0" fontId="19" fillId="23" borderId="114" xfId="0" applyFont="1" applyFill="1" applyBorder="1" applyAlignment="1">
      <alignment horizontal="center"/>
    </xf>
    <xf numFmtId="0" fontId="19" fillId="23" borderId="10" xfId="0" applyFont="1" applyFill="1" applyBorder="1" applyAlignment="1">
      <alignment horizontal="center"/>
    </xf>
    <xf numFmtId="0" fontId="19" fillId="23" borderId="115" xfId="0" applyFont="1" applyFill="1" applyBorder="1" applyAlignment="1">
      <alignment horizontal="center"/>
    </xf>
    <xf numFmtId="0" fontId="0" fillId="27" borderId="108" xfId="0" applyFill="1" applyBorder="1" applyAlignment="1" applyProtection="1">
      <alignment horizontal="left" vertical="justify"/>
      <protection locked="0"/>
    </xf>
    <xf numFmtId="0" fontId="0" fillId="16" borderId="108" xfId="0" applyFill="1" applyBorder="1" applyAlignment="1">
      <alignment horizontal="center"/>
    </xf>
    <xf numFmtId="0" fontId="23" fillId="0" borderId="0" xfId="0" applyFont="1" applyAlignment="1">
      <alignment horizontal="center" wrapText="1"/>
    </xf>
    <xf numFmtId="0" fontId="18" fillId="17" borderId="10" xfId="0" applyFont="1" applyFill="1" applyBorder="1" applyAlignment="1">
      <alignment horizontal="center"/>
    </xf>
    <xf numFmtId="0" fontId="0" fillId="0" borderId="114" xfId="0" applyBorder="1" applyAlignment="1" applyProtection="1">
      <alignment horizontal="center"/>
      <protection locked="0"/>
    </xf>
    <xf numFmtId="0" fontId="0" fillId="0" borderId="115" xfId="0" applyBorder="1" applyAlignment="1" applyProtection="1">
      <alignment horizontal="center"/>
      <protection locked="0"/>
    </xf>
    <xf numFmtId="0" fontId="19" fillId="33" borderId="50" xfId="0" applyFont="1" applyFill="1" applyBorder="1" applyAlignment="1">
      <alignment horizontal="left"/>
    </xf>
    <xf numFmtId="0" fontId="19" fillId="33" borderId="51" xfId="0" applyFont="1" applyFill="1" applyBorder="1" applyAlignment="1">
      <alignment horizontal="left"/>
    </xf>
    <xf numFmtId="0" fontId="0" fillId="0" borderId="45" xfId="0" applyBorder="1" applyAlignment="1" applyProtection="1">
      <alignment horizontal="center"/>
      <protection locked="0"/>
    </xf>
    <xf numFmtId="0" fontId="0" fillId="0" borderId="110" xfId="0" applyBorder="1" applyAlignment="1" applyProtection="1">
      <alignment horizontal="center"/>
      <protection locked="0"/>
    </xf>
    <xf numFmtId="0" fontId="0" fillId="36" borderId="111" xfId="0" applyFill="1" applyBorder="1" applyAlignment="1">
      <alignment horizontal="center"/>
    </xf>
    <xf numFmtId="0" fontId="0" fillId="36" borderId="112" xfId="0" applyFill="1" applyBorder="1" applyAlignment="1">
      <alignment horizontal="center"/>
    </xf>
    <xf numFmtId="0" fontId="0" fillId="36" borderId="113" xfId="0" applyFill="1" applyBorder="1" applyAlignment="1">
      <alignment horizontal="center"/>
    </xf>
    <xf numFmtId="0" fontId="19" fillId="25" borderId="10" xfId="0" applyFont="1" applyFill="1" applyBorder="1" applyAlignment="1" applyProtection="1">
      <alignment horizontal="center"/>
      <protection locked="0"/>
    </xf>
    <xf numFmtId="0" fontId="18" fillId="0" borderId="0" xfId="0" applyFont="1" applyAlignment="1">
      <alignment horizontal="center"/>
    </xf>
    <xf numFmtId="0" fontId="19" fillId="0" borderId="116" xfId="0" applyFont="1" applyBorder="1" applyAlignment="1">
      <alignment horizontal="center"/>
    </xf>
    <xf numFmtId="0" fontId="19" fillId="0" borderId="117" xfId="0" applyFont="1" applyBorder="1" applyAlignment="1">
      <alignment horizontal="center"/>
    </xf>
    <xf numFmtId="0" fontId="0" fillId="0" borderId="117" xfId="0" applyBorder="1" applyAlignment="1">
      <alignment horizontal="center" vertical="center" wrapText="1"/>
    </xf>
    <xf numFmtId="0" fontId="0" fillId="0" borderId="118" xfId="0" applyBorder="1" applyAlignment="1">
      <alignment horizontal="center" vertical="center" wrapText="1"/>
    </xf>
    <xf numFmtId="0" fontId="0" fillId="0" borderId="119" xfId="0" applyBorder="1" applyAlignment="1">
      <alignment horizontal="center" vertical="center" wrapText="1"/>
    </xf>
    <xf numFmtId="0" fontId="0" fillId="0" borderId="120" xfId="0" applyBorder="1" applyAlignment="1">
      <alignment horizontal="center" vertical="center" wrapText="1"/>
    </xf>
    <xf numFmtId="0" fontId="0" fillId="0" borderId="121" xfId="0" applyBorder="1" applyAlignment="1">
      <alignment horizontal="center" vertical="center" wrapText="1"/>
    </xf>
    <xf numFmtId="0" fontId="0" fillId="0" borderId="122" xfId="0" applyBorder="1" applyAlignment="1">
      <alignment horizontal="center" vertical="center" wrapText="1"/>
    </xf>
    <xf numFmtId="0" fontId="0" fillId="0" borderId="121" xfId="0" applyBorder="1" applyAlignment="1">
      <alignment horizontal="center" vertical="center"/>
    </xf>
    <xf numFmtId="0" fontId="0" fillId="0" borderId="122" xfId="0" applyBorder="1" applyAlignment="1">
      <alignment horizontal="center" vertical="center"/>
    </xf>
    <xf numFmtId="0" fontId="19" fillId="16" borderId="121" xfId="0" applyFont="1" applyFill="1" applyBorder="1" applyAlignment="1">
      <alignment horizontal="center" vertical="center" wrapText="1"/>
    </xf>
    <xf numFmtId="0" fontId="19" fillId="16" borderId="122" xfId="0" applyFont="1" applyFill="1" applyBorder="1" applyAlignment="1">
      <alignment horizontal="center" vertical="center" wrapText="1"/>
    </xf>
    <xf numFmtId="0" fontId="19" fillId="0" borderId="121" xfId="0" applyFont="1" applyBorder="1" applyAlignment="1">
      <alignment horizontal="center" vertical="center" wrapText="1"/>
    </xf>
    <xf numFmtId="0" fontId="19" fillId="0" borderId="122" xfId="0" applyFont="1" applyBorder="1" applyAlignment="1">
      <alignment horizontal="center" vertical="center" wrapText="1"/>
    </xf>
    <xf numFmtId="0" fontId="0" fillId="0" borderId="123" xfId="0" applyBorder="1" applyAlignment="1">
      <alignment horizontal="center" vertical="center" wrapText="1"/>
    </xf>
    <xf numFmtId="0" fontId="0" fillId="0" borderId="124" xfId="0" applyBorder="1" applyAlignment="1">
      <alignment horizontal="center" vertical="center" wrapText="1"/>
    </xf>
    <xf numFmtId="0" fontId="0" fillId="16" borderId="121" xfId="0" applyFill="1" applyBorder="1" applyAlignment="1">
      <alignment horizontal="center" vertical="center" wrapText="1"/>
    </xf>
    <xf numFmtId="0" fontId="0" fillId="16" borderId="122" xfId="0" applyFill="1" applyBorder="1" applyAlignment="1">
      <alignment horizontal="center" vertical="center" wrapText="1"/>
    </xf>
    <xf numFmtId="0" fontId="19" fillId="0" borderId="10" xfId="0" applyFont="1" applyBorder="1" applyAlignment="1" applyProtection="1">
      <alignment horizontal="center"/>
      <protection hidden="1"/>
    </xf>
    <xf numFmtId="0" fontId="0" fillId="0" borderId="125" xfId="0" applyBorder="1" applyAlignment="1">
      <alignment horizontal="center" vertical="center" wrapText="1"/>
    </xf>
    <xf numFmtId="0" fontId="0" fillId="0" borderId="126" xfId="0" applyBorder="1" applyAlignment="1">
      <alignment horizontal="center" vertical="center" wrapText="1"/>
    </xf>
    <xf numFmtId="0" fontId="0" fillId="0" borderId="127" xfId="0" applyBorder="1" applyAlignment="1">
      <alignment horizontal="center" vertical="center" wrapText="1"/>
    </xf>
    <xf numFmtId="0" fontId="0" fillId="0" borderId="11" xfId="0" applyBorder="1" applyAlignment="1">
      <alignment horizontal="center" vertical="center" wrapText="1"/>
    </xf>
    <xf numFmtId="0" fontId="0" fillId="0" borderId="127" xfId="0" applyBorder="1" applyAlignment="1">
      <alignment horizontal="center" vertical="center"/>
    </xf>
    <xf numFmtId="0" fontId="0" fillId="0" borderId="11" xfId="0" applyBorder="1" applyAlignment="1">
      <alignment horizontal="center" vertical="center"/>
    </xf>
    <xf numFmtId="0" fontId="19" fillId="16" borderId="127" xfId="0" applyFont="1" applyFill="1" applyBorder="1" applyAlignment="1">
      <alignment horizontal="center" vertical="center" wrapText="1"/>
    </xf>
    <xf numFmtId="0" fontId="19" fillId="16" borderId="11" xfId="0" applyFont="1" applyFill="1" applyBorder="1" applyAlignment="1">
      <alignment horizontal="center" vertical="center" wrapText="1"/>
    </xf>
    <xf numFmtId="0" fontId="19" fillId="0" borderId="128" xfId="0" applyFont="1" applyBorder="1" applyAlignment="1">
      <alignment horizontal="center" vertical="center" wrapText="1"/>
    </xf>
    <xf numFmtId="0" fontId="19" fillId="0" borderId="59" xfId="0" applyFont="1" applyBorder="1" applyAlignment="1">
      <alignment horizontal="center" vertical="center" wrapText="1"/>
    </xf>
    <xf numFmtId="0" fontId="0" fillId="0" borderId="129" xfId="0" applyBorder="1" applyAlignment="1">
      <alignment horizontal="center" vertical="center" wrapText="1"/>
    </xf>
    <xf numFmtId="0" fontId="0" fillId="16" borderId="127" xfId="0" applyFill="1" applyBorder="1" applyAlignment="1">
      <alignment horizontal="center" vertical="center" wrapText="1"/>
    </xf>
    <xf numFmtId="0" fontId="0" fillId="16" borderId="11" xfId="0" applyFill="1" applyBorder="1" applyAlignment="1">
      <alignment horizontal="center" vertical="center" wrapText="1"/>
    </xf>
    <xf numFmtId="0" fontId="0" fillId="0" borderId="130" xfId="0" applyBorder="1" applyAlignment="1" applyProtection="1">
      <alignment horizontal="center" vertical="center" wrapText="1"/>
      <protection hidden="1"/>
    </xf>
    <xf numFmtId="0" fontId="0" fillId="0" borderId="131" xfId="0" applyBorder="1" applyAlignment="1" applyProtection="1">
      <alignment horizontal="center" vertical="center" wrapText="1"/>
      <protection hidden="1"/>
    </xf>
    <xf numFmtId="0" fontId="0" fillId="0" borderId="132" xfId="0" applyBorder="1" applyAlignment="1" applyProtection="1">
      <alignment horizontal="center" vertical="center" wrapText="1"/>
      <protection hidden="1"/>
    </xf>
    <xf numFmtId="0" fontId="0" fillId="0" borderId="133" xfId="0" applyBorder="1" applyAlignment="1">
      <alignment horizontal="center" vertical="center" wrapText="1"/>
    </xf>
    <xf numFmtId="0" fontId="0" fillId="0" borderId="134" xfId="0" applyBorder="1" applyAlignment="1">
      <alignment horizontal="center" vertical="center" wrapText="1"/>
    </xf>
    <xf numFmtId="0" fontId="19" fillId="37" borderId="10" xfId="0" applyFont="1" applyFill="1" applyBorder="1" applyAlignment="1" applyProtection="1">
      <alignment horizontal="center"/>
      <protection locked="0"/>
    </xf>
    <xf numFmtId="0" fontId="0" fillId="38" borderId="127" xfId="0" applyFill="1" applyBorder="1" applyAlignment="1">
      <alignment horizontal="center" vertical="center" wrapText="1"/>
    </xf>
    <xf numFmtId="0" fontId="0" fillId="38" borderId="11" xfId="0" applyFill="1" applyBorder="1" applyAlignment="1">
      <alignment horizontal="center" vertical="center" wrapText="1"/>
    </xf>
    <xf numFmtId="0" fontId="0" fillId="0" borderId="135" xfId="0" applyBorder="1" applyAlignment="1">
      <alignment horizontal="center" vertical="center" wrapText="1"/>
    </xf>
    <xf numFmtId="1" fontId="70" fillId="25" borderId="54" xfId="32" applyNumberFormat="1" applyFont="1" applyFill="1" applyBorder="1" applyAlignment="1">
      <alignment vertical="center" textRotation="90"/>
    </xf>
    <xf numFmtId="0" fontId="0" fillId="0" borderId="30" xfId="0" applyBorder="1" applyAlignment="1">
      <alignment vertical="center" textRotation="90"/>
    </xf>
    <xf numFmtId="0" fontId="0" fillId="0" borderId="27" xfId="0" applyBorder="1" applyAlignment="1">
      <alignment vertical="center" textRotation="90"/>
    </xf>
    <xf numFmtId="1" fontId="70" fillId="24" borderId="54" xfId="32" applyNumberFormat="1" applyFont="1" applyFill="1" applyBorder="1" applyAlignment="1">
      <alignment vertical="center" textRotation="90"/>
    </xf>
    <xf numFmtId="1" fontId="70" fillId="25" borderId="55" xfId="32" applyNumberFormat="1" applyFont="1" applyFill="1" applyBorder="1" applyAlignment="1">
      <alignment vertical="center" textRotation="90"/>
    </xf>
    <xf numFmtId="0" fontId="0" fillId="0" borderId="136" xfId="0" applyBorder="1" applyAlignment="1">
      <alignment vertical="center" textRotation="90"/>
    </xf>
    <xf numFmtId="0" fontId="0" fillId="0" borderId="29" xfId="0" applyBorder="1" applyAlignment="1">
      <alignment vertical="center" textRotation="90"/>
    </xf>
    <xf numFmtId="0" fontId="69" fillId="33" borderId="137" xfId="32" applyFont="1" applyFill="1" applyBorder="1" applyAlignment="1">
      <alignment horizontal="center"/>
    </xf>
    <xf numFmtId="0" fontId="69" fillId="33" borderId="103" xfId="32" applyFont="1" applyFill="1" applyBorder="1" applyAlignment="1">
      <alignment horizontal="center"/>
    </xf>
    <xf numFmtId="0" fontId="49" fillId="33" borderId="103" xfId="0" applyFont="1" applyFill="1" applyBorder="1" applyAlignment="1">
      <alignment horizontal="center"/>
    </xf>
    <xf numFmtId="0" fontId="49" fillId="33" borderId="138" xfId="0" applyFont="1" applyFill="1" applyBorder="1" applyAlignment="1">
      <alignment horizontal="center"/>
    </xf>
    <xf numFmtId="0" fontId="70" fillId="0" borderId="53" xfId="32" applyFont="1" applyBorder="1" applyAlignment="1">
      <alignment horizontal="center" vertical="center" textRotation="90"/>
    </xf>
    <xf numFmtId="0" fontId="0" fillId="0" borderId="139" xfId="0" applyBorder="1" applyAlignment="1">
      <alignment horizontal="center" vertical="center" textRotation="90"/>
    </xf>
    <xf numFmtId="0" fontId="0" fillId="0" borderId="140" xfId="0" applyBorder="1" applyAlignment="1">
      <alignment horizontal="center" vertical="center" textRotation="90"/>
    </xf>
    <xf numFmtId="0" fontId="18" fillId="0" borderId="49" xfId="0" applyFont="1" applyBorder="1" applyAlignment="1">
      <alignment horizontal="center"/>
    </xf>
    <xf numFmtId="0" fontId="39" fillId="0" borderId="26" xfId="0" applyFont="1" applyBorder="1" applyAlignment="1"/>
    <xf numFmtId="0" fontId="39" fillId="0" borderId="141" xfId="0" applyFont="1" applyBorder="1" applyAlignment="1"/>
    <xf numFmtId="0" fontId="39" fillId="0" borderId="42" xfId="0" applyFont="1" applyBorder="1" applyAlignment="1"/>
    <xf numFmtId="0" fontId="39" fillId="0" borderId="36" xfId="0" applyFont="1" applyBorder="1" applyAlignment="1"/>
    <xf numFmtId="0" fontId="39" fillId="0" borderId="142" xfId="0" applyFont="1" applyBorder="1" applyAlignment="1"/>
    <xf numFmtId="0" fontId="19" fillId="33" borderId="121" xfId="32" applyFont="1" applyFill="1" applyBorder="1" applyAlignment="1">
      <alignment horizontal="left" vertical="center" wrapText="1"/>
    </xf>
    <xf numFmtId="0" fontId="49" fillId="33" borderId="143" xfId="0" applyFont="1" applyFill="1" applyBorder="1" applyAlignment="1">
      <alignment vertical="center" wrapText="1"/>
    </xf>
    <xf numFmtId="0" fontId="0" fillId="33" borderId="122" xfId="0" applyFont="1" applyFill="1" applyBorder="1" applyAlignment="1">
      <alignment vertical="center" wrapText="1"/>
    </xf>
    <xf numFmtId="0" fontId="19" fillId="33" borderId="121" xfId="32" applyFont="1" applyFill="1" applyBorder="1" applyAlignment="1">
      <alignment horizontal="center" vertical="center" wrapText="1"/>
    </xf>
    <xf numFmtId="0" fontId="49" fillId="33" borderId="143" xfId="0" applyFont="1" applyFill="1" applyBorder="1" applyAlignment="1">
      <alignment horizontal="center" vertical="center" wrapText="1"/>
    </xf>
    <xf numFmtId="0" fontId="49" fillId="33" borderId="122" xfId="0" applyFont="1" applyFill="1" applyBorder="1" applyAlignment="1">
      <alignment horizontal="center" vertical="center" wrapText="1"/>
    </xf>
    <xf numFmtId="0" fontId="19" fillId="31" borderId="137" xfId="0" applyFont="1" applyFill="1" applyBorder="1" applyAlignment="1" applyProtection="1">
      <alignment horizontal="center"/>
      <protection hidden="1"/>
    </xf>
    <xf numFmtId="0" fontId="19" fillId="31" borderId="103" xfId="0" applyFont="1" applyFill="1" applyBorder="1" applyAlignment="1" applyProtection="1">
      <alignment horizontal="center"/>
      <protection hidden="1"/>
    </xf>
    <xf numFmtId="0" fontId="19" fillId="31" borderId="138" xfId="0" applyFont="1" applyFill="1" applyBorder="1" applyAlignment="1" applyProtection="1">
      <alignment horizontal="center"/>
      <protection hidden="1"/>
    </xf>
    <xf numFmtId="0" fontId="0" fillId="31" borderId="93" xfId="0" applyFill="1" applyBorder="1" applyAlignment="1" applyProtection="1">
      <alignment horizontal="left"/>
      <protection hidden="1"/>
    </xf>
    <xf numFmtId="0" fontId="0" fillId="31" borderId="94" xfId="0" applyFill="1" applyBorder="1" applyAlignment="1" applyProtection="1">
      <alignment horizontal="left"/>
      <protection hidden="1"/>
    </xf>
    <xf numFmtId="0" fontId="0" fillId="31" borderId="96" xfId="0" applyFill="1" applyBorder="1" applyAlignment="1" applyProtection="1">
      <alignment horizontal="left"/>
      <protection hidden="1"/>
    </xf>
    <xf numFmtId="0" fontId="0" fillId="31" borderId="37" xfId="0" applyFill="1" applyBorder="1" applyAlignment="1" applyProtection="1">
      <alignment horizontal="left"/>
      <protection hidden="1"/>
    </xf>
    <xf numFmtId="0" fontId="0" fillId="31" borderId="98" xfId="0" applyFill="1" applyBorder="1" applyAlignment="1" applyProtection="1">
      <alignment horizontal="left"/>
      <protection hidden="1"/>
    </xf>
    <xf numFmtId="0" fontId="0" fillId="31" borderId="70" xfId="0" applyFill="1" applyBorder="1" applyAlignment="1" applyProtection="1">
      <alignment horizontal="left"/>
      <protection hidden="1"/>
    </xf>
    <xf numFmtId="0" fontId="19" fillId="16" borderId="144" xfId="0" applyFont="1" applyFill="1" applyBorder="1" applyAlignment="1" applyProtection="1">
      <alignment horizontal="center"/>
      <protection hidden="1"/>
    </xf>
    <xf numFmtId="0" fontId="19" fillId="16" borderId="145" xfId="0" applyFont="1" applyFill="1" applyBorder="1" applyAlignment="1" applyProtection="1">
      <alignment horizontal="center"/>
      <protection hidden="1"/>
    </xf>
    <xf numFmtId="0" fontId="19" fillId="16" borderId="146" xfId="0" applyFont="1" applyFill="1" applyBorder="1" applyAlignment="1" applyProtection="1">
      <alignment horizontal="center"/>
      <protection hidden="1"/>
    </xf>
    <xf numFmtId="0" fontId="49" fillId="16" borderId="147" xfId="0" applyFont="1" applyFill="1" applyBorder="1" applyAlignment="1" applyProtection="1">
      <alignment horizontal="left"/>
      <protection hidden="1"/>
    </xf>
    <xf numFmtId="0" fontId="49" fillId="16" borderId="148" xfId="0" applyFont="1" applyFill="1" applyBorder="1" applyAlignment="1" applyProtection="1">
      <alignment horizontal="left"/>
      <protection hidden="1"/>
    </xf>
    <xf numFmtId="0" fontId="0" fillId="16" borderId="149" xfId="0" applyFill="1" applyBorder="1" applyAlignment="1" applyProtection="1">
      <alignment horizontal="left" vertical="center"/>
      <protection hidden="1"/>
    </xf>
    <xf numFmtId="0" fontId="0" fillId="16" borderId="32" xfId="0" applyFill="1" applyBorder="1" applyAlignment="1" applyProtection="1">
      <alignment horizontal="left" vertical="center"/>
      <protection hidden="1"/>
    </xf>
    <xf numFmtId="0" fontId="0" fillId="16" borderId="98" xfId="0" applyFill="1" applyBorder="1" applyAlignment="1" applyProtection="1">
      <alignment horizontal="left" vertical="center"/>
      <protection hidden="1"/>
    </xf>
    <xf numFmtId="0" fontId="0" fillId="16" borderId="70" xfId="0" applyFill="1" applyBorder="1" applyAlignment="1" applyProtection="1">
      <alignment horizontal="left" vertical="center"/>
      <protection hidden="1"/>
    </xf>
    <xf numFmtId="0" fontId="19" fillId="16" borderId="50" xfId="0" applyFont="1" applyFill="1" applyBorder="1" applyAlignment="1" applyProtection="1">
      <alignment horizontal="center"/>
      <protection hidden="1"/>
    </xf>
    <xf numFmtId="0" fontId="19" fillId="16" borderId="51" xfId="0" applyFont="1" applyFill="1" applyBorder="1" applyAlignment="1" applyProtection="1">
      <alignment horizontal="center"/>
      <protection hidden="1"/>
    </xf>
    <xf numFmtId="0" fontId="19" fillId="16" borderId="52" xfId="0" applyFont="1" applyFill="1" applyBorder="1" applyAlignment="1" applyProtection="1">
      <alignment horizontal="center"/>
      <protection hidden="1"/>
    </xf>
    <xf numFmtId="0" fontId="49" fillId="16" borderId="150" xfId="0" applyFont="1" applyFill="1" applyBorder="1" applyAlignment="1" applyProtection="1">
      <alignment horizontal="left"/>
      <protection hidden="1"/>
    </xf>
    <xf numFmtId="0" fontId="49" fillId="16" borderId="151" xfId="0" applyFont="1" applyFill="1" applyBorder="1" applyAlignment="1" applyProtection="1">
      <alignment horizontal="left"/>
      <protection hidden="1"/>
    </xf>
    <xf numFmtId="0" fontId="0" fillId="16" borderId="152" xfId="0" applyFill="1" applyBorder="1" applyAlignment="1" applyProtection="1">
      <alignment horizontal="left"/>
      <protection hidden="1"/>
    </xf>
    <xf numFmtId="0" fontId="49" fillId="16" borderId="153" xfId="0" applyFont="1" applyFill="1" applyBorder="1" applyAlignment="1" applyProtection="1">
      <alignment horizontal="left"/>
      <protection hidden="1"/>
    </xf>
    <xf numFmtId="0" fontId="0" fillId="16" borderId="96" xfId="0" applyFill="1" applyBorder="1" applyAlignment="1" applyProtection="1">
      <alignment horizontal="left" vertical="center"/>
      <protection hidden="1"/>
    </xf>
    <xf numFmtId="0" fontId="0" fillId="16" borderId="37" xfId="0" applyFill="1" applyBorder="1" applyAlignment="1" applyProtection="1">
      <alignment horizontal="left" vertical="center"/>
      <protection hidden="1"/>
    </xf>
    <xf numFmtId="0" fontId="0" fillId="31" borderId="157" xfId="0" applyFill="1" applyBorder="1" applyAlignment="1" applyProtection="1">
      <alignment horizontal="left"/>
      <protection hidden="1"/>
    </xf>
    <xf numFmtId="0" fontId="49" fillId="31" borderId="158" xfId="0" applyFont="1" applyFill="1" applyBorder="1" applyAlignment="1" applyProtection="1">
      <alignment horizontal="left"/>
      <protection hidden="1"/>
    </xf>
    <xf numFmtId="0" fontId="0" fillId="31" borderId="150" xfId="0" applyFill="1" applyBorder="1" applyAlignment="1" applyProtection="1">
      <alignment horizontal="left"/>
      <protection hidden="1"/>
    </xf>
    <xf numFmtId="0" fontId="49" fillId="31" borderId="151" xfId="0" applyFont="1" applyFill="1" applyBorder="1" applyAlignment="1" applyProtection="1">
      <alignment horizontal="left"/>
      <protection hidden="1"/>
    </xf>
    <xf numFmtId="0" fontId="19" fillId="31" borderId="50" xfId="0" applyFont="1" applyFill="1" applyBorder="1" applyAlignment="1" applyProtection="1">
      <alignment horizontal="left" vertical="center"/>
      <protection hidden="1"/>
    </xf>
    <xf numFmtId="0" fontId="19" fillId="31" borderId="51" xfId="0" applyFont="1" applyFill="1" applyBorder="1" applyAlignment="1" applyProtection="1">
      <alignment horizontal="left" vertical="center"/>
      <protection hidden="1"/>
    </xf>
    <xf numFmtId="0" fontId="0" fillId="31" borderId="152" xfId="0" applyFill="1" applyBorder="1" applyAlignment="1" applyProtection="1">
      <alignment horizontal="left"/>
      <protection hidden="1"/>
    </xf>
    <xf numFmtId="0" fontId="49" fillId="31" borderId="153" xfId="0" applyFont="1" applyFill="1" applyBorder="1" applyAlignment="1" applyProtection="1">
      <alignment horizontal="left"/>
      <protection hidden="1"/>
    </xf>
    <xf numFmtId="0" fontId="0" fillId="25" borderId="32" xfId="0" applyFill="1" applyBorder="1" applyAlignment="1" applyProtection="1">
      <alignment horizontal="center"/>
      <protection locked="0"/>
    </xf>
    <xf numFmtId="0" fontId="0" fillId="25" borderId="88" xfId="0" applyFill="1" applyBorder="1" applyAlignment="1" applyProtection="1">
      <alignment horizontal="center"/>
      <protection locked="0"/>
    </xf>
    <xf numFmtId="0" fontId="0" fillId="25" borderId="37" xfId="0" applyFill="1" applyBorder="1" applyAlignment="1" applyProtection="1">
      <alignment horizontal="center"/>
      <protection locked="0"/>
    </xf>
    <xf numFmtId="0" fontId="0" fillId="25" borderId="65" xfId="0" applyFill="1" applyBorder="1" applyAlignment="1" applyProtection="1">
      <alignment horizontal="center"/>
      <protection locked="0"/>
    </xf>
    <xf numFmtId="0" fontId="0" fillId="25" borderId="70" xfId="0" applyFill="1" applyBorder="1" applyAlignment="1" applyProtection="1">
      <alignment horizontal="center"/>
      <protection locked="0"/>
    </xf>
    <xf numFmtId="0" fontId="0" fillId="25" borderId="67" xfId="0" applyFill="1" applyBorder="1" applyAlignment="1" applyProtection="1">
      <alignment horizontal="center"/>
      <protection locked="0"/>
    </xf>
    <xf numFmtId="0" fontId="0" fillId="28" borderId="96" xfId="0" applyFill="1" applyBorder="1" applyAlignment="1">
      <alignment horizontal="left" vertical="center"/>
    </xf>
    <xf numFmtId="0" fontId="0" fillId="28" borderId="37" xfId="0" applyFill="1" applyBorder="1" applyAlignment="1">
      <alignment horizontal="left" vertical="center"/>
    </xf>
    <xf numFmtId="0" fontId="0" fillId="28" borderId="97" xfId="0" applyFill="1" applyBorder="1" applyAlignment="1">
      <alignment horizontal="left" vertical="center"/>
    </xf>
    <xf numFmtId="0" fontId="0" fillId="28" borderId="34" xfId="0" applyFill="1" applyBorder="1" applyAlignment="1">
      <alignment horizontal="left" vertical="center"/>
    </xf>
    <xf numFmtId="0" fontId="19" fillId="28" borderId="137" xfId="0" applyFont="1" applyFill="1" applyBorder="1" applyAlignment="1">
      <alignment horizontal="right"/>
    </xf>
    <xf numFmtId="0" fontId="19" fillId="28" borderId="103" xfId="0" applyFont="1" applyFill="1" applyBorder="1" applyAlignment="1">
      <alignment horizontal="right"/>
    </xf>
    <xf numFmtId="0" fontId="19" fillId="28" borderId="104" xfId="0" applyFont="1" applyFill="1" applyBorder="1" applyAlignment="1">
      <alignment horizontal="right"/>
    </xf>
    <xf numFmtId="0" fontId="0" fillId="25" borderId="149" xfId="0" applyFill="1" applyBorder="1" applyAlignment="1" applyProtection="1">
      <alignment horizontal="center"/>
      <protection locked="0"/>
    </xf>
    <xf numFmtId="0" fontId="0" fillId="25" borderId="96" xfId="0" applyFill="1" applyBorder="1" applyAlignment="1" applyProtection="1">
      <alignment horizontal="center"/>
      <protection locked="0"/>
    </xf>
    <xf numFmtId="0" fontId="0" fillId="25" borderId="98" xfId="0" applyFill="1" applyBorder="1" applyAlignment="1" applyProtection="1">
      <alignment horizontal="center"/>
      <protection locked="0"/>
    </xf>
    <xf numFmtId="0" fontId="19" fillId="16" borderId="156" xfId="0" applyFont="1" applyFill="1" applyBorder="1" applyAlignment="1" applyProtection="1">
      <alignment horizontal="center"/>
      <protection hidden="1"/>
    </xf>
    <xf numFmtId="0" fontId="52" fillId="28" borderId="42" xfId="0" applyFont="1" applyFill="1" applyBorder="1" applyAlignment="1" applyProtection="1">
      <alignment horizontal="center" vertical="center" wrapText="1"/>
      <protection hidden="1"/>
    </xf>
    <xf numFmtId="0" fontId="52" fillId="28" borderId="36" xfId="0" applyFont="1" applyFill="1" applyBorder="1" applyAlignment="1" applyProtection="1">
      <alignment horizontal="center" vertical="center" wrapText="1"/>
      <protection hidden="1"/>
    </xf>
    <xf numFmtId="0" fontId="52" fillId="28" borderId="142" xfId="0" applyFont="1" applyFill="1" applyBorder="1" applyAlignment="1" applyProtection="1">
      <alignment horizontal="center" vertical="center" wrapText="1"/>
      <protection hidden="1"/>
    </xf>
    <xf numFmtId="0" fontId="19" fillId="28" borderId="51" xfId="0" applyFont="1" applyFill="1" applyBorder="1" applyAlignment="1">
      <alignment horizontal="center" vertical="center" wrapText="1"/>
    </xf>
    <xf numFmtId="0" fontId="19" fillId="28" borderId="52" xfId="0" applyFont="1" applyFill="1" applyBorder="1" applyAlignment="1">
      <alignment horizontal="center" vertical="center" wrapText="1"/>
    </xf>
    <xf numFmtId="0" fontId="19" fillId="16" borderId="154" xfId="0" applyFont="1" applyFill="1" applyBorder="1" applyAlignment="1" applyProtection="1">
      <alignment horizontal="left"/>
      <protection hidden="1"/>
    </xf>
    <xf numFmtId="0" fontId="19" fillId="16" borderId="155" xfId="0" applyFont="1" applyFill="1" applyBorder="1" applyAlignment="1" applyProtection="1">
      <alignment horizontal="left"/>
      <protection hidden="1"/>
    </xf>
    <xf numFmtId="0" fontId="19" fillId="16" borderId="137" xfId="0" applyFont="1" applyFill="1" applyBorder="1" applyAlignment="1" applyProtection="1">
      <alignment horizontal="center"/>
      <protection hidden="1"/>
    </xf>
    <xf numFmtId="0" fontId="19" fillId="16" borderId="103" xfId="0" applyFont="1" applyFill="1" applyBorder="1" applyAlignment="1" applyProtection="1">
      <alignment horizontal="center"/>
      <protection hidden="1"/>
    </xf>
    <xf numFmtId="0" fontId="19" fillId="16" borderId="138" xfId="0" applyFont="1" applyFill="1" applyBorder="1" applyAlignment="1" applyProtection="1">
      <alignment horizontal="center"/>
      <protection hidden="1"/>
    </xf>
    <xf numFmtId="0" fontId="49" fillId="16" borderId="154" xfId="0" applyFont="1" applyFill="1" applyBorder="1" applyAlignment="1" applyProtection="1">
      <alignment horizontal="left" vertical="center"/>
      <protection hidden="1"/>
    </xf>
    <xf numFmtId="0" fontId="49" fillId="16" borderId="155" xfId="0" applyFont="1" applyFill="1" applyBorder="1" applyAlignment="1" applyProtection="1">
      <alignment horizontal="left" vertical="center"/>
      <protection hidden="1"/>
    </xf>
    <xf numFmtId="0" fontId="0" fillId="28" borderId="149" xfId="0" applyFill="1" applyBorder="1" applyAlignment="1">
      <alignment horizontal="left" vertical="center"/>
    </xf>
    <xf numFmtId="0" fontId="0" fillId="28" borderId="32" xfId="0" applyFill="1" applyBorder="1" applyAlignment="1">
      <alignment horizontal="left" vertical="center"/>
    </xf>
    <xf numFmtId="0" fontId="0" fillId="0" borderId="31" xfId="0" applyBorder="1" applyAlignment="1" applyProtection="1">
      <alignment horizontal="center" wrapText="1"/>
      <protection hidden="1"/>
    </xf>
    <xf numFmtId="0" fontId="51" fillId="28" borderId="137" xfId="0" applyFont="1" applyFill="1" applyBorder="1" applyAlignment="1" applyProtection="1">
      <alignment horizontal="center" vertical="center" wrapText="1"/>
      <protection hidden="1"/>
    </xf>
    <xf numFmtId="0" fontId="51" fillId="28" borderId="103" xfId="0" applyFont="1" applyFill="1" applyBorder="1" applyAlignment="1" applyProtection="1">
      <alignment horizontal="center" vertical="center" wrapText="1"/>
      <protection hidden="1"/>
    </xf>
    <xf numFmtId="0" fontId="51" fillId="28" borderId="138" xfId="0" applyFont="1" applyFill="1" applyBorder="1" applyAlignment="1" applyProtection="1">
      <alignment horizontal="center" vertical="center" wrapText="1"/>
      <protection hidden="1"/>
    </xf>
    <xf numFmtId="0" fontId="19" fillId="0" borderId="38" xfId="0" applyFont="1" applyBorder="1" applyAlignment="1" applyProtection="1">
      <alignment horizontal="center"/>
      <protection hidden="1"/>
    </xf>
    <xf numFmtId="0" fontId="19" fillId="0" borderId="60" xfId="0" applyFont="1" applyBorder="1" applyAlignment="1" applyProtection="1">
      <alignment horizontal="center"/>
      <protection hidden="1"/>
    </xf>
    <xf numFmtId="0" fontId="19" fillId="0" borderId="61" xfId="0" applyFont="1" applyBorder="1" applyAlignment="1" applyProtection="1">
      <alignment horizontal="center"/>
      <protection hidden="1"/>
    </xf>
    <xf numFmtId="0" fontId="0" fillId="0" borderId="0" xfId="0" applyAlignment="1" applyProtection="1">
      <alignment horizontal="center"/>
      <protection hidden="1"/>
    </xf>
    <xf numFmtId="0" fontId="0" fillId="0" borderId="34" xfId="0" applyBorder="1" applyAlignment="1" applyProtection="1">
      <alignment horizontal="center" wrapText="1"/>
      <protection hidden="1"/>
    </xf>
    <xf numFmtId="0" fontId="0" fillId="0" borderId="32" xfId="0" applyBorder="1" applyAlignment="1" applyProtection="1">
      <alignment horizontal="center" wrapText="1"/>
      <protection hidden="1"/>
    </xf>
    <xf numFmtId="0" fontId="0" fillId="25" borderId="162" xfId="0" applyFill="1" applyBorder="1" applyAlignment="1" applyProtection="1">
      <alignment horizontal="left" vertical="top" wrapText="1"/>
      <protection locked="0"/>
    </xf>
    <xf numFmtId="0" fontId="0" fillId="25" borderId="26" xfId="0" applyFill="1" applyBorder="1" applyAlignment="1" applyProtection="1">
      <alignment horizontal="left" vertical="top" wrapText="1"/>
      <protection locked="0"/>
    </xf>
    <xf numFmtId="0" fontId="0" fillId="25" borderId="164" xfId="0" applyFill="1" applyBorder="1" applyAlignment="1" applyProtection="1">
      <alignment horizontal="left" vertical="top" wrapText="1"/>
      <protection locked="0"/>
    </xf>
    <xf numFmtId="0" fontId="0" fillId="25" borderId="31" xfId="0" applyFill="1" applyBorder="1" applyAlignment="1" applyProtection="1">
      <alignment horizontal="left" vertical="top" wrapText="1"/>
      <protection locked="0"/>
    </xf>
    <xf numFmtId="0" fontId="0" fillId="25" borderId="0" xfId="0" applyFill="1" applyAlignment="1" applyProtection="1">
      <alignment horizontal="left" vertical="top" wrapText="1"/>
      <protection locked="0"/>
    </xf>
    <xf numFmtId="0" fontId="0" fillId="25" borderId="165" xfId="0" applyFill="1" applyBorder="1" applyAlignment="1" applyProtection="1">
      <alignment horizontal="left" vertical="top" wrapText="1"/>
      <protection locked="0"/>
    </xf>
    <xf numFmtId="0" fontId="0" fillId="25" borderId="28" xfId="0" applyFill="1" applyBorder="1" applyAlignment="1" applyProtection="1">
      <alignment horizontal="left" vertical="top" wrapText="1"/>
      <protection locked="0"/>
    </xf>
    <xf numFmtId="0" fontId="0" fillId="25" borderId="36" xfId="0" applyFill="1" applyBorder="1" applyAlignment="1" applyProtection="1">
      <alignment horizontal="left" vertical="top" wrapText="1"/>
      <protection locked="0"/>
    </xf>
    <xf numFmtId="0" fontId="0" fillId="25" borderId="166" xfId="0" applyFill="1" applyBorder="1" applyAlignment="1" applyProtection="1">
      <alignment horizontal="left" vertical="top" wrapText="1"/>
      <protection locked="0"/>
    </xf>
    <xf numFmtId="1" fontId="0" fillId="26" borderId="162" xfId="0" applyNumberFormat="1" applyFill="1" applyBorder="1" applyAlignment="1" applyProtection="1">
      <alignment horizontal="center" vertical="center"/>
      <protection hidden="1"/>
    </xf>
    <xf numFmtId="1" fontId="0" fillId="28" borderId="26" xfId="0" applyNumberFormat="1" applyFill="1" applyBorder="1" applyAlignment="1" applyProtection="1">
      <alignment horizontal="center" vertical="center"/>
      <protection hidden="1"/>
    </xf>
    <xf numFmtId="1" fontId="0" fillId="28" borderId="161" xfId="0" applyNumberFormat="1" applyFill="1" applyBorder="1" applyAlignment="1" applyProtection="1">
      <alignment horizontal="center" vertical="center"/>
      <protection hidden="1"/>
    </xf>
    <xf numFmtId="1" fontId="0" fillId="28" borderId="33" xfId="0" applyNumberFormat="1" applyFill="1" applyBorder="1" applyAlignment="1" applyProtection="1">
      <alignment horizontal="center" vertical="center"/>
      <protection hidden="1"/>
    </xf>
    <xf numFmtId="1" fontId="0" fillId="28" borderId="163" xfId="0" applyNumberFormat="1" applyFill="1" applyBorder="1" applyAlignment="1" applyProtection="1">
      <alignment horizontal="center" vertical="center"/>
      <protection hidden="1"/>
    </xf>
    <xf numFmtId="1" fontId="0" fillId="28" borderId="81" xfId="0" applyNumberFormat="1" applyFill="1" applyBorder="1" applyAlignment="1" applyProtection="1">
      <alignment horizontal="center" vertical="center"/>
      <protection hidden="1"/>
    </xf>
    <xf numFmtId="0" fontId="19" fillId="26" borderId="169" xfId="0" applyFont="1" applyFill="1" applyBorder="1" applyAlignment="1" applyProtection="1">
      <alignment horizontal="center" vertical="center"/>
      <protection hidden="1"/>
    </xf>
    <xf numFmtId="0" fontId="19" fillId="26" borderId="170" xfId="0" applyFont="1" applyFill="1" applyBorder="1" applyAlignment="1" applyProtection="1">
      <alignment horizontal="center" vertical="center"/>
      <protection hidden="1"/>
    </xf>
    <xf numFmtId="0" fontId="19" fillId="26" borderId="171" xfId="0" applyFont="1" applyFill="1" applyBorder="1" applyAlignment="1" applyProtection="1">
      <alignment horizontal="center" vertical="center"/>
      <protection hidden="1"/>
    </xf>
    <xf numFmtId="1" fontId="19" fillId="28" borderId="162" xfId="0" applyNumberFormat="1" applyFont="1" applyFill="1" applyBorder="1" applyAlignment="1" applyProtection="1">
      <alignment horizontal="center" wrapText="1"/>
      <protection hidden="1"/>
    </xf>
    <xf numFmtId="1" fontId="19" fillId="28" borderId="26" xfId="0" applyNumberFormat="1" applyFont="1" applyFill="1" applyBorder="1" applyAlignment="1" applyProtection="1">
      <alignment horizontal="center" wrapText="1"/>
      <protection hidden="1"/>
    </xf>
    <xf numFmtId="1" fontId="19" fillId="28" borderId="161" xfId="0" applyNumberFormat="1" applyFont="1" applyFill="1" applyBorder="1" applyAlignment="1" applyProtection="1">
      <alignment horizontal="center" wrapText="1"/>
      <protection hidden="1"/>
    </xf>
    <xf numFmtId="1" fontId="19" fillId="28" borderId="33" xfId="0" applyNumberFormat="1" applyFont="1" applyFill="1" applyBorder="1" applyAlignment="1" applyProtection="1">
      <alignment horizontal="center" wrapText="1"/>
      <protection hidden="1"/>
    </xf>
    <xf numFmtId="1" fontId="19" fillId="28" borderId="163" xfId="0" applyNumberFormat="1" applyFont="1" applyFill="1" applyBorder="1" applyAlignment="1" applyProtection="1">
      <alignment horizontal="center" wrapText="1"/>
      <protection hidden="1"/>
    </xf>
    <xf numFmtId="1" fontId="19" fillId="28" borderId="81" xfId="0" applyNumberFormat="1" applyFont="1" applyFill="1" applyBorder="1" applyAlignment="1" applyProtection="1">
      <alignment horizontal="center" wrapText="1"/>
      <protection hidden="1"/>
    </xf>
    <xf numFmtId="0" fontId="0" fillId="0" borderId="99" xfId="0" applyBorder="1" applyAlignment="1" applyProtection="1">
      <alignment horizontal="left" vertical="center" wrapText="1"/>
      <protection hidden="1"/>
    </xf>
    <xf numFmtId="0" fontId="0" fillId="0" borderId="100" xfId="0" applyBorder="1" applyAlignment="1" applyProtection="1">
      <alignment horizontal="left" vertical="center" wrapText="1"/>
      <protection hidden="1"/>
    </xf>
    <xf numFmtId="0" fontId="0" fillId="0" borderId="102" xfId="0" applyBorder="1" applyAlignment="1" applyProtection="1">
      <alignment horizontal="left" vertical="center" wrapText="1"/>
      <protection hidden="1"/>
    </xf>
    <xf numFmtId="0" fontId="44" fillId="0" borderId="49" xfId="0" applyFont="1" applyBorder="1" applyAlignment="1" applyProtection="1">
      <alignment horizontal="left" vertical="justify" wrapText="1"/>
      <protection hidden="1"/>
    </xf>
    <xf numFmtId="0" fontId="44" fillId="0" borderId="26" xfId="0" applyFont="1" applyBorder="1" applyAlignment="1" applyProtection="1">
      <alignment horizontal="left" vertical="justify" wrapText="1"/>
      <protection hidden="1"/>
    </xf>
    <xf numFmtId="0" fontId="44" fillId="0" borderId="161" xfId="0" applyFont="1" applyBorder="1" applyAlignment="1" applyProtection="1">
      <alignment horizontal="left" vertical="justify" wrapText="1"/>
      <protection hidden="1"/>
    </xf>
    <xf numFmtId="0" fontId="0" fillId="0" borderId="101" xfId="0" applyBorder="1" applyAlignment="1" applyProtection="1">
      <alignment horizontal="left" vertical="justify" wrapText="1"/>
      <protection hidden="1"/>
    </xf>
    <xf numFmtId="0" fontId="0" fillId="0" borderId="60" xfId="0" applyBorder="1" applyAlignment="1" applyProtection="1">
      <alignment horizontal="left" vertical="justify" wrapText="1"/>
      <protection hidden="1"/>
    </xf>
    <xf numFmtId="0" fontId="0" fillId="0" borderId="61" xfId="0" applyBorder="1" applyAlignment="1" applyProtection="1">
      <alignment horizontal="left" vertical="justify" wrapText="1"/>
      <protection hidden="1"/>
    </xf>
    <xf numFmtId="1" fontId="0" fillId="28" borderId="141" xfId="0" applyNumberFormat="1" applyFill="1" applyBorder="1" applyAlignment="1" applyProtection="1">
      <alignment horizontal="center" vertical="center"/>
      <protection hidden="1"/>
    </xf>
    <xf numFmtId="1" fontId="0" fillId="28" borderId="172" xfId="0" applyNumberFormat="1" applyFill="1" applyBorder="1" applyAlignment="1" applyProtection="1">
      <alignment horizontal="center" vertical="center"/>
      <protection hidden="1"/>
    </xf>
    <xf numFmtId="0" fontId="44" fillId="26" borderId="49" xfId="0" applyFont="1" applyFill="1" applyBorder="1" applyAlignment="1" applyProtection="1">
      <alignment horizontal="center" vertical="center" wrapText="1"/>
      <protection hidden="1"/>
    </xf>
    <xf numFmtId="0" fontId="0" fillId="28" borderId="26" xfId="0" applyFill="1" applyBorder="1" applyAlignment="1" applyProtection="1">
      <alignment horizontal="center" vertical="center" wrapText="1"/>
      <protection hidden="1"/>
    </xf>
    <xf numFmtId="0" fontId="0" fillId="28" borderId="141" xfId="0" applyFill="1" applyBorder="1" applyAlignment="1" applyProtection="1">
      <alignment horizontal="center" vertical="center" wrapText="1"/>
      <protection hidden="1"/>
    </xf>
    <xf numFmtId="0" fontId="44" fillId="28" borderId="42" xfId="0" applyFont="1" applyFill="1" applyBorder="1" applyAlignment="1" applyProtection="1">
      <alignment horizontal="center" vertical="center" wrapText="1"/>
      <protection hidden="1"/>
    </xf>
    <xf numFmtId="0" fontId="0" fillId="28" borderId="36" xfId="0" applyFill="1" applyBorder="1" applyAlignment="1" applyProtection="1">
      <alignment horizontal="center" vertical="center" wrapText="1"/>
      <protection hidden="1"/>
    </xf>
    <xf numFmtId="0" fontId="0" fillId="28" borderId="142" xfId="0" applyFill="1" applyBorder="1" applyAlignment="1" applyProtection="1">
      <alignment horizontal="center" vertical="center" wrapText="1"/>
      <protection hidden="1"/>
    </xf>
    <xf numFmtId="0" fontId="45" fillId="26" borderId="143" xfId="0" applyFont="1" applyFill="1" applyBorder="1" applyAlignment="1" applyProtection="1">
      <alignment horizontal="center" vertical="center" wrapText="1"/>
      <protection hidden="1"/>
    </xf>
    <xf numFmtId="0" fontId="45" fillId="28" borderId="122" xfId="0" applyFont="1" applyFill="1" applyBorder="1" applyAlignment="1" applyProtection="1">
      <alignment horizontal="center" vertical="center" wrapText="1"/>
      <protection hidden="1"/>
    </xf>
    <xf numFmtId="0" fontId="0" fillId="0" borderId="101" xfId="0" applyBorder="1" applyAlignment="1" applyProtection="1">
      <alignment horizontal="left" vertical="top" wrapText="1"/>
      <protection hidden="1"/>
    </xf>
    <xf numFmtId="0" fontId="0" fillId="0" borderId="60" xfId="0" applyBorder="1" applyAlignment="1" applyProtection="1">
      <alignment horizontal="left" vertical="top" wrapText="1"/>
      <protection hidden="1"/>
    </xf>
    <xf numFmtId="0" fontId="0" fillId="0" borderId="61" xfId="0" applyBorder="1" applyAlignment="1" applyProtection="1">
      <alignment horizontal="left" vertical="top" wrapText="1"/>
      <protection hidden="1"/>
    </xf>
    <xf numFmtId="0" fontId="0" fillId="0" borderId="99" xfId="0" applyBorder="1" applyAlignment="1" applyProtection="1">
      <alignment horizontal="left" vertical="justify" wrapText="1"/>
      <protection hidden="1"/>
    </xf>
    <xf numFmtId="0" fontId="0" fillId="0" borderId="100" xfId="0" applyBorder="1" applyAlignment="1" applyProtection="1">
      <alignment horizontal="left" vertical="justify" wrapText="1"/>
      <protection hidden="1"/>
    </xf>
    <xf numFmtId="0" fontId="0" fillId="0" borderId="102" xfId="0" applyBorder="1" applyAlignment="1" applyProtection="1">
      <alignment horizontal="left" vertical="justify" wrapText="1"/>
      <protection hidden="1"/>
    </xf>
    <xf numFmtId="49" fontId="44" fillId="0" borderId="159" xfId="0" applyNumberFormat="1" applyFont="1" applyBorder="1" applyAlignment="1" applyProtection="1">
      <alignment horizontal="center" vertical="center"/>
      <protection hidden="1"/>
    </xf>
    <xf numFmtId="49" fontId="44" fillId="0" borderId="160" xfId="0" applyNumberFormat="1" applyFont="1" applyBorder="1" applyAlignment="1" applyProtection="1">
      <alignment horizontal="center" vertical="center"/>
      <protection hidden="1"/>
    </xf>
    <xf numFmtId="0" fontId="44" fillId="26" borderId="48" xfId="0" applyFont="1" applyFill="1" applyBorder="1" applyAlignment="1" applyProtection="1">
      <alignment horizontal="center" vertical="center" wrapText="1"/>
      <protection hidden="1"/>
    </xf>
    <xf numFmtId="0" fontId="44" fillId="28" borderId="0" xfId="0" applyFont="1" applyFill="1" applyAlignment="1" applyProtection="1">
      <alignment horizontal="center" vertical="center" wrapText="1"/>
      <protection hidden="1"/>
    </xf>
    <xf numFmtId="0" fontId="44" fillId="28" borderId="165" xfId="0" applyFont="1" applyFill="1" applyBorder="1" applyAlignment="1" applyProtection="1">
      <alignment horizontal="center" vertical="center" wrapText="1"/>
      <protection hidden="1"/>
    </xf>
    <xf numFmtId="0" fontId="44" fillId="28" borderId="36" xfId="0" applyFont="1" applyFill="1" applyBorder="1" applyAlignment="1" applyProtection="1">
      <alignment horizontal="center" vertical="center" wrapText="1"/>
      <protection hidden="1"/>
    </xf>
    <xf numFmtId="0" fontId="44" fillId="28" borderId="166" xfId="0" applyFont="1" applyFill="1" applyBorder="1" applyAlignment="1" applyProtection="1">
      <alignment horizontal="center" vertical="center" wrapText="1"/>
      <protection hidden="1"/>
    </xf>
    <xf numFmtId="0" fontId="0" fillId="25" borderId="48" xfId="0" applyFill="1" applyBorder="1" applyAlignment="1" applyProtection="1">
      <alignment horizontal="left" vertical="top"/>
      <protection locked="0"/>
    </xf>
    <xf numFmtId="0" fontId="0" fillId="25" borderId="0" xfId="0" applyFill="1" applyAlignment="1" applyProtection="1">
      <alignment horizontal="left" vertical="top"/>
      <protection locked="0"/>
    </xf>
    <xf numFmtId="0" fontId="0" fillId="25" borderId="165" xfId="0" applyFill="1" applyBorder="1" applyAlignment="1" applyProtection="1">
      <alignment horizontal="left" vertical="top"/>
      <protection locked="0"/>
    </xf>
    <xf numFmtId="1" fontId="45" fillId="26" borderId="143" xfId="0" applyNumberFormat="1" applyFont="1" applyFill="1" applyBorder="1" applyAlignment="1" applyProtection="1">
      <alignment horizontal="center" vertical="center" wrapText="1"/>
      <protection hidden="1"/>
    </xf>
    <xf numFmtId="1" fontId="45" fillId="28" borderId="122" xfId="0" applyNumberFormat="1" applyFont="1" applyFill="1" applyBorder="1" applyAlignment="1" applyProtection="1">
      <alignment horizontal="center" vertical="center" wrapText="1"/>
      <protection hidden="1"/>
    </xf>
    <xf numFmtId="0" fontId="44" fillId="28" borderId="173" xfId="0" applyFont="1" applyFill="1" applyBorder="1" applyAlignment="1" applyProtection="1">
      <alignment horizontal="center" vertical="center"/>
      <protection hidden="1"/>
    </xf>
    <xf numFmtId="0" fontId="44" fillId="28" borderId="26" xfId="0" applyFont="1" applyFill="1" applyBorder="1" applyAlignment="1" applyProtection="1">
      <alignment horizontal="center" vertical="center"/>
      <protection hidden="1"/>
    </xf>
    <xf numFmtId="0" fontId="44" fillId="28" borderId="164" xfId="0" applyFont="1" applyFill="1" applyBorder="1" applyAlignment="1" applyProtection="1">
      <alignment horizontal="center" vertical="center"/>
      <protection hidden="1"/>
    </xf>
    <xf numFmtId="0" fontId="0" fillId="25" borderId="49" xfId="0" applyFill="1" applyBorder="1" applyAlignment="1" applyProtection="1">
      <alignment horizontal="left" vertical="top" wrapText="1"/>
      <protection locked="0"/>
    </xf>
    <xf numFmtId="0" fontId="0" fillId="25" borderId="48" xfId="0" applyFill="1" applyBorder="1" applyAlignment="1" applyProtection="1">
      <alignment horizontal="left" vertical="top" wrapText="1"/>
      <protection locked="0"/>
    </xf>
    <xf numFmtId="0" fontId="0" fillId="25" borderId="42" xfId="0" applyFill="1" applyBorder="1" applyAlignment="1" applyProtection="1">
      <alignment horizontal="left" vertical="top" wrapText="1"/>
      <protection locked="0"/>
    </xf>
    <xf numFmtId="0" fontId="44" fillId="26" borderId="160" xfId="0" applyFont="1" applyFill="1" applyBorder="1" applyAlignment="1" applyProtection="1">
      <alignment horizontal="center" vertical="center" wrapText="1"/>
      <protection hidden="1"/>
    </xf>
    <xf numFmtId="0" fontId="44" fillId="28" borderId="167" xfId="0" applyFont="1" applyFill="1" applyBorder="1" applyAlignment="1" applyProtection="1">
      <alignment horizontal="center" vertical="center" wrapText="1"/>
      <protection hidden="1"/>
    </xf>
    <xf numFmtId="49" fontId="44" fillId="0" borderId="121" xfId="0" applyNumberFormat="1" applyFont="1" applyBorder="1" applyAlignment="1" applyProtection="1">
      <alignment horizontal="center" vertical="center"/>
      <protection hidden="1"/>
    </xf>
    <xf numFmtId="49" fontId="44" fillId="0" borderId="143" xfId="0" applyNumberFormat="1" applyFont="1" applyBorder="1" applyAlignment="1" applyProtection="1">
      <alignment horizontal="center" vertical="center"/>
      <protection hidden="1"/>
    </xf>
    <xf numFmtId="49" fontId="44" fillId="0" borderId="122" xfId="0" applyNumberFormat="1" applyFont="1" applyBorder="1" applyAlignment="1" applyProtection="1">
      <alignment horizontal="center" vertical="center"/>
      <protection hidden="1"/>
    </xf>
    <xf numFmtId="0" fontId="44" fillId="0" borderId="49" xfId="0" applyFont="1" applyBorder="1" applyAlignment="1" applyProtection="1">
      <alignment horizontal="left" vertical="center" wrapText="1"/>
      <protection hidden="1"/>
    </xf>
    <xf numFmtId="0" fontId="0" fillId="0" borderId="26" xfId="0" applyBorder="1" applyAlignment="1" applyProtection="1">
      <alignment horizontal="left" vertical="center" wrapText="1"/>
      <protection hidden="1"/>
    </xf>
    <xf numFmtId="0" fontId="0" fillId="0" borderId="161" xfId="0" applyBorder="1" applyAlignment="1" applyProtection="1">
      <alignment horizontal="left" vertical="center" wrapText="1"/>
      <protection hidden="1"/>
    </xf>
    <xf numFmtId="0" fontId="44" fillId="0" borderId="40" xfId="0" applyFont="1" applyBorder="1" applyAlignment="1" applyProtection="1">
      <alignment horizontal="left" vertical="justify" wrapText="1"/>
      <protection hidden="1"/>
    </xf>
    <xf numFmtId="0" fontId="44" fillId="0" borderId="41" xfId="0" applyFont="1" applyBorder="1" applyAlignment="1" applyProtection="1">
      <alignment horizontal="left" vertical="justify" wrapText="1"/>
      <protection hidden="1"/>
    </xf>
    <xf numFmtId="0" fontId="44" fillId="0" borderId="69" xfId="0" applyFont="1" applyBorder="1" applyAlignment="1" applyProtection="1">
      <alignment horizontal="left" vertical="justify" wrapText="1"/>
      <protection hidden="1"/>
    </xf>
    <xf numFmtId="0" fontId="19" fillId="0" borderId="99" xfId="0" applyFont="1" applyBorder="1" applyAlignment="1" applyProtection="1">
      <alignment horizontal="left" vertical="center" wrapText="1"/>
      <protection hidden="1"/>
    </xf>
    <xf numFmtId="0" fontId="0" fillId="0" borderId="100" xfId="0" applyBorder="1" applyAlignment="1" applyProtection="1">
      <alignment vertical="center"/>
      <protection hidden="1"/>
    </xf>
    <xf numFmtId="0" fontId="0" fillId="0" borderId="102" xfId="0" applyBorder="1" applyAlignment="1" applyProtection="1">
      <alignment vertical="center"/>
      <protection hidden="1"/>
    </xf>
    <xf numFmtId="0" fontId="0" fillId="0" borderId="99" xfId="0" applyBorder="1" applyAlignment="1" applyProtection="1">
      <alignment horizontal="left" wrapText="1"/>
      <protection hidden="1"/>
    </xf>
    <xf numFmtId="0" fontId="0" fillId="0" borderId="100" xfId="0" applyBorder="1" applyAlignment="1" applyProtection="1">
      <alignment horizontal="left" wrapText="1"/>
      <protection hidden="1"/>
    </xf>
    <xf numFmtId="0" fontId="0" fillId="0" borderId="102" xfId="0" applyBorder="1" applyAlignment="1" applyProtection="1">
      <alignment horizontal="left" wrapText="1"/>
      <protection hidden="1"/>
    </xf>
    <xf numFmtId="0" fontId="44" fillId="0" borderId="49" xfId="0" applyFont="1" applyBorder="1" applyAlignment="1" applyProtection="1">
      <alignment horizontal="left" vertical="top" wrapText="1"/>
      <protection hidden="1"/>
    </xf>
    <xf numFmtId="0" fontId="44" fillId="0" borderId="26" xfId="0" applyFont="1" applyBorder="1" applyAlignment="1" applyProtection="1">
      <alignment horizontal="left" vertical="top" wrapText="1"/>
      <protection hidden="1"/>
    </xf>
    <xf numFmtId="0" fontId="44" fillId="0" borderId="161" xfId="0" applyFont="1" applyBorder="1" applyAlignment="1" applyProtection="1">
      <alignment horizontal="left" vertical="top" wrapText="1"/>
      <protection hidden="1"/>
    </xf>
    <xf numFmtId="4" fontId="44" fillId="26" borderId="72" xfId="0" applyNumberFormat="1" applyFont="1" applyFill="1" applyBorder="1" applyAlignment="1" applyProtection="1">
      <alignment horizontal="center" vertical="center"/>
      <protection hidden="1"/>
    </xf>
    <xf numFmtId="4" fontId="44" fillId="28" borderId="72" xfId="0" applyNumberFormat="1" applyFont="1" applyFill="1" applyBorder="1" applyAlignment="1" applyProtection="1">
      <alignment horizontal="center" vertical="center"/>
      <protection hidden="1"/>
    </xf>
    <xf numFmtId="0" fontId="0" fillId="0" borderId="101" xfId="0" applyBorder="1" applyAlignment="1" applyProtection="1">
      <alignment horizontal="left" vertical="center"/>
      <protection hidden="1"/>
    </xf>
    <xf numFmtId="0" fontId="0" fillId="0" borderId="60" xfId="0" applyBorder="1" applyAlignment="1" applyProtection="1">
      <alignment horizontal="left" vertical="center"/>
      <protection hidden="1"/>
    </xf>
    <xf numFmtId="0" fontId="0" fillId="0" borderId="61" xfId="0" applyBorder="1" applyAlignment="1" applyProtection="1">
      <alignment horizontal="left" vertical="center"/>
      <protection hidden="1"/>
    </xf>
    <xf numFmtId="0" fontId="0" fillId="0" borderId="168" xfId="0" applyBorder="1" applyAlignment="1" applyProtection="1">
      <alignment horizontal="left" vertical="top"/>
      <protection hidden="1"/>
    </xf>
    <xf numFmtId="0" fontId="0" fillId="0" borderId="163" xfId="0" applyBorder="1" applyAlignment="1" applyProtection="1">
      <alignment horizontal="left" vertical="top"/>
      <protection hidden="1"/>
    </xf>
    <xf numFmtId="1" fontId="9" fillId="33" borderId="162" xfId="0" applyNumberFormat="1" applyFont="1" applyFill="1" applyBorder="1" applyAlignment="1" applyProtection="1">
      <alignment horizontal="center" vertical="center"/>
      <protection locked="0"/>
    </xf>
    <xf numFmtId="1" fontId="9" fillId="33" borderId="26" xfId="0" applyNumberFormat="1" applyFont="1" applyFill="1" applyBorder="1" applyAlignment="1" applyProtection="1">
      <alignment horizontal="center" vertical="center"/>
      <protection locked="0"/>
    </xf>
    <xf numFmtId="1" fontId="9" fillId="33" borderId="161" xfId="0" applyNumberFormat="1" applyFont="1" applyFill="1" applyBorder="1" applyAlignment="1" applyProtection="1">
      <alignment horizontal="center" vertical="center"/>
      <protection locked="0"/>
    </xf>
    <xf numFmtId="1" fontId="9" fillId="33" borderId="31" xfId="0" applyNumberFormat="1" applyFont="1" applyFill="1" applyBorder="1" applyAlignment="1" applyProtection="1">
      <alignment horizontal="center" vertical="center"/>
      <protection locked="0"/>
    </xf>
    <xf numFmtId="1" fontId="9" fillId="33" borderId="0" xfId="0" applyNumberFormat="1" applyFont="1" applyFill="1" applyAlignment="1" applyProtection="1">
      <alignment horizontal="center" vertical="center"/>
      <protection locked="0"/>
    </xf>
    <xf numFmtId="1" fontId="9" fillId="33" borderId="66" xfId="0" applyNumberFormat="1" applyFont="1" applyFill="1" applyBorder="1" applyAlignment="1" applyProtection="1">
      <alignment horizontal="center" vertical="center"/>
      <protection locked="0"/>
    </xf>
    <xf numFmtId="1" fontId="9" fillId="33" borderId="33" xfId="0" applyNumberFormat="1" applyFont="1" applyFill="1" applyBorder="1" applyAlignment="1" applyProtection="1">
      <alignment horizontal="center" vertical="center"/>
      <protection locked="0"/>
    </xf>
    <xf numFmtId="1" fontId="9" fillId="33" borderId="163" xfId="0" applyNumberFormat="1" applyFont="1" applyFill="1" applyBorder="1" applyAlignment="1" applyProtection="1">
      <alignment horizontal="center" vertical="center"/>
      <protection locked="0"/>
    </xf>
    <xf numFmtId="1" fontId="9" fillId="33" borderId="81" xfId="0" applyNumberFormat="1" applyFont="1" applyFill="1" applyBorder="1" applyAlignment="1" applyProtection="1">
      <alignment horizontal="center" vertical="center"/>
      <protection locked="0"/>
    </xf>
    <xf numFmtId="0" fontId="0" fillId="0" borderId="101" xfId="0" applyBorder="1" applyAlignment="1" applyProtection="1">
      <alignment horizontal="left" vertical="top"/>
      <protection hidden="1"/>
    </xf>
    <xf numFmtId="0" fontId="0" fillId="0" borderId="60" xfId="0" applyBorder="1" applyAlignment="1" applyProtection="1">
      <alignment horizontal="left" vertical="top"/>
      <protection hidden="1"/>
    </xf>
    <xf numFmtId="0" fontId="0" fillId="0" borderId="42" xfId="0" applyBorder="1" applyAlignment="1" applyProtection="1">
      <alignment horizontal="left" vertical="top"/>
      <protection hidden="1"/>
    </xf>
    <xf numFmtId="0" fontId="0" fillId="0" borderId="36" xfId="0" applyBorder="1" applyAlignment="1" applyProtection="1">
      <alignment horizontal="left" vertical="top"/>
      <protection hidden="1"/>
    </xf>
    <xf numFmtId="49" fontId="44" fillId="0" borderId="159" xfId="0" applyNumberFormat="1" applyFont="1" applyBorder="1" applyAlignment="1" applyProtection="1">
      <alignment horizontal="center" vertical="center" wrapText="1"/>
      <protection hidden="1"/>
    </xf>
    <xf numFmtId="49" fontId="44" fillId="0" borderId="160" xfId="0" applyNumberFormat="1" applyFont="1" applyBorder="1" applyAlignment="1" applyProtection="1">
      <alignment horizontal="center" vertical="center" wrapText="1"/>
      <protection hidden="1"/>
    </xf>
    <xf numFmtId="49" fontId="44" fillId="0" borderId="167" xfId="0" applyNumberFormat="1" applyFont="1" applyBorder="1" applyAlignment="1" applyProtection="1">
      <alignment horizontal="center" vertical="center" wrapText="1"/>
      <protection hidden="1"/>
    </xf>
    <xf numFmtId="0" fontId="0" fillId="25" borderId="26" xfId="0" applyFill="1" applyBorder="1" applyAlignment="1" applyProtection="1">
      <alignment horizontal="center" vertical="top"/>
      <protection locked="0"/>
    </xf>
    <xf numFmtId="0" fontId="0" fillId="25" borderId="164" xfId="0" applyFill="1" applyBorder="1" applyAlignment="1" applyProtection="1">
      <alignment horizontal="center" vertical="top"/>
      <protection locked="0"/>
    </xf>
    <xf numFmtId="0" fontId="0" fillId="25" borderId="0" xfId="0" applyFill="1" applyAlignment="1" applyProtection="1">
      <alignment horizontal="center" vertical="top"/>
      <protection locked="0"/>
    </xf>
    <xf numFmtId="0" fontId="0" fillId="25" borderId="165" xfId="0" applyFill="1" applyBorder="1" applyAlignment="1" applyProtection="1">
      <alignment horizontal="center" vertical="top"/>
      <protection locked="0"/>
    </xf>
    <xf numFmtId="0" fontId="0" fillId="25" borderId="36" xfId="0" applyFill="1" applyBorder="1" applyAlignment="1" applyProtection="1">
      <alignment horizontal="center" vertical="top"/>
      <protection locked="0"/>
    </xf>
    <xf numFmtId="0" fontId="0" fillId="25" borderId="166" xfId="0" applyFill="1" applyBorder="1" applyAlignment="1" applyProtection="1">
      <alignment horizontal="center" vertical="top"/>
      <protection locked="0"/>
    </xf>
    <xf numFmtId="49" fontId="44" fillId="0" borderId="167" xfId="0" applyNumberFormat="1" applyFont="1" applyBorder="1" applyAlignment="1" applyProtection="1">
      <alignment horizontal="center" vertical="center"/>
      <protection hidden="1"/>
    </xf>
    <xf numFmtId="0" fontId="44" fillId="0" borderId="40" xfId="0" applyFont="1" applyBorder="1" applyAlignment="1" applyProtection="1">
      <alignment horizontal="left" vertical="top" wrapText="1"/>
      <protection hidden="1"/>
    </xf>
    <xf numFmtId="0" fontId="44" fillId="0" borderId="41" xfId="0" applyFont="1" applyBorder="1" applyAlignment="1" applyProtection="1">
      <alignment horizontal="left" vertical="top" wrapText="1"/>
      <protection hidden="1"/>
    </xf>
    <xf numFmtId="0" fontId="0" fillId="0" borderId="101" xfId="0" applyBorder="1" applyAlignment="1" applyProtection="1">
      <alignment horizontal="left" vertical="justify"/>
      <protection hidden="1"/>
    </xf>
    <xf numFmtId="0" fontId="0" fillId="0" borderId="60" xfId="0" applyBorder="1" applyAlignment="1" applyProtection="1">
      <alignment horizontal="left" vertical="justify"/>
      <protection hidden="1"/>
    </xf>
    <xf numFmtId="0" fontId="0" fillId="0" borderId="61" xfId="0" applyBorder="1" applyAlignment="1" applyProtection="1">
      <alignment horizontal="left" vertical="justify"/>
      <protection hidden="1"/>
    </xf>
    <xf numFmtId="0" fontId="0" fillId="26" borderId="174" xfId="0" applyFill="1" applyBorder="1" applyAlignment="1" applyProtection="1">
      <alignment horizontal="center"/>
      <protection hidden="1"/>
    </xf>
    <xf numFmtId="0" fontId="0" fillId="28" borderId="175" xfId="0" applyFill="1" applyBorder="1" applyAlignment="1" applyProtection="1">
      <alignment horizontal="center"/>
      <protection hidden="1"/>
    </xf>
    <xf numFmtId="0" fontId="0" fillId="28" borderId="176" xfId="0" applyFill="1" applyBorder="1" applyAlignment="1" applyProtection="1">
      <alignment horizontal="center"/>
      <protection hidden="1"/>
    </xf>
    <xf numFmtId="49" fontId="44" fillId="0" borderId="185" xfId="0" applyNumberFormat="1" applyFont="1" applyBorder="1" applyAlignment="1" applyProtection="1">
      <alignment horizontal="center" vertical="center"/>
      <protection hidden="1"/>
    </xf>
    <xf numFmtId="49" fontId="44" fillId="0" borderId="186" xfId="0" applyNumberFormat="1" applyFont="1" applyBorder="1" applyAlignment="1" applyProtection="1">
      <alignment horizontal="center" vertical="center"/>
      <protection hidden="1"/>
    </xf>
    <xf numFmtId="1" fontId="0" fillId="26" borderId="187" xfId="0" applyNumberFormat="1" applyFill="1" applyBorder="1" applyAlignment="1" applyProtection="1">
      <alignment horizontal="center" vertical="center"/>
      <protection hidden="1"/>
    </xf>
    <xf numFmtId="1" fontId="0" fillId="28" borderId="183" xfId="0" applyNumberFormat="1" applyFill="1" applyBorder="1" applyAlignment="1" applyProtection="1">
      <alignment horizontal="center" vertical="center"/>
      <protection hidden="1"/>
    </xf>
    <xf numFmtId="1" fontId="0" fillId="28" borderId="184" xfId="0" applyNumberFormat="1" applyFill="1" applyBorder="1" applyAlignment="1" applyProtection="1">
      <alignment horizontal="center" vertical="center"/>
      <protection hidden="1"/>
    </xf>
    <xf numFmtId="0" fontId="0" fillId="25" borderId="187" xfId="0" applyFill="1" applyBorder="1" applyAlignment="1" applyProtection="1">
      <alignment horizontal="left" vertical="top" wrapText="1"/>
      <protection locked="0"/>
    </xf>
    <xf numFmtId="0" fontId="0" fillId="25" borderId="183" xfId="0" applyFill="1" applyBorder="1" applyAlignment="1" applyProtection="1">
      <alignment horizontal="left" vertical="top" wrapText="1"/>
      <protection locked="0"/>
    </xf>
    <xf numFmtId="0" fontId="0" fillId="25" borderId="188" xfId="0" applyFill="1" applyBorder="1" applyAlignment="1" applyProtection="1">
      <alignment horizontal="left" vertical="top" wrapText="1"/>
      <protection locked="0"/>
    </xf>
    <xf numFmtId="0" fontId="0" fillId="25" borderId="174" xfId="0" applyFill="1" applyBorder="1" applyAlignment="1" applyProtection="1">
      <alignment horizontal="left" vertical="top" wrapText="1"/>
      <protection locked="0"/>
    </xf>
    <xf numFmtId="0" fontId="0" fillId="25" borderId="175" xfId="0" applyFill="1" applyBorder="1" applyAlignment="1" applyProtection="1">
      <alignment horizontal="left" vertical="top" wrapText="1"/>
      <protection locked="0"/>
    </xf>
    <xf numFmtId="0" fontId="0" fillId="25" borderId="176" xfId="0" applyFill="1" applyBorder="1" applyAlignment="1" applyProtection="1">
      <alignment horizontal="left" vertical="top" wrapText="1"/>
      <protection locked="0"/>
    </xf>
    <xf numFmtId="0" fontId="0" fillId="0" borderId="177" xfId="0" applyBorder="1" applyAlignment="1" applyProtection="1">
      <alignment horizontal="left" vertical="center" wrapText="1"/>
      <protection hidden="1"/>
    </xf>
    <xf numFmtId="0" fontId="0" fillId="0" borderId="178" xfId="0" applyBorder="1" applyAlignment="1" applyProtection="1">
      <alignment horizontal="left" vertical="center" wrapText="1"/>
      <protection hidden="1"/>
    </xf>
    <xf numFmtId="0" fontId="0" fillId="0" borderId="179" xfId="0" applyBorder="1" applyAlignment="1" applyProtection="1">
      <alignment horizontal="left" vertical="center" wrapText="1"/>
      <protection hidden="1"/>
    </xf>
    <xf numFmtId="0" fontId="0" fillId="0" borderId="180" xfId="0" applyBorder="1" applyAlignment="1" applyProtection="1">
      <alignment horizontal="left" vertical="center" wrapText="1"/>
      <protection hidden="1"/>
    </xf>
    <xf numFmtId="0" fontId="0" fillId="0" borderId="181" xfId="0" applyBorder="1" applyAlignment="1" applyProtection="1">
      <alignment horizontal="left" vertical="center" wrapText="1"/>
      <protection hidden="1"/>
    </xf>
    <xf numFmtId="0" fontId="0" fillId="0" borderId="80" xfId="0" applyBorder="1" applyAlignment="1" applyProtection="1">
      <alignment horizontal="left" vertical="center" wrapText="1"/>
      <protection hidden="1"/>
    </xf>
    <xf numFmtId="0" fontId="44" fillId="0" borderId="182" xfId="0" applyFont="1" applyBorder="1" applyAlignment="1" applyProtection="1">
      <alignment horizontal="left" vertical="top" wrapText="1"/>
      <protection hidden="1"/>
    </xf>
    <xf numFmtId="0" fontId="44" fillId="0" borderId="183" xfId="0" applyFont="1" applyBorder="1" applyAlignment="1" applyProtection="1">
      <alignment horizontal="left" vertical="top" wrapText="1"/>
      <protection hidden="1"/>
    </xf>
    <xf numFmtId="0" fontId="44" fillId="0" borderId="184" xfId="0" applyFont="1" applyBorder="1" applyAlignment="1" applyProtection="1">
      <alignment horizontal="left" vertical="top" wrapText="1"/>
      <protection hidden="1"/>
    </xf>
    <xf numFmtId="0" fontId="0" fillId="26" borderId="31" xfId="0" applyFill="1" applyBorder="1" applyAlignment="1" applyProtection="1">
      <alignment horizontal="center"/>
      <protection hidden="1"/>
    </xf>
    <xf numFmtId="0" fontId="0" fillId="28" borderId="0" xfId="0" applyFill="1" applyAlignment="1" applyProtection="1">
      <alignment horizontal="center"/>
      <protection hidden="1"/>
    </xf>
    <xf numFmtId="0" fontId="0" fillId="28" borderId="189" xfId="0" applyFill="1" applyBorder="1" applyAlignment="1" applyProtection="1">
      <alignment horizontal="center"/>
      <protection hidden="1"/>
    </xf>
    <xf numFmtId="0" fontId="0" fillId="28" borderId="28" xfId="0" applyFill="1" applyBorder="1" applyAlignment="1" applyProtection="1">
      <alignment horizontal="center"/>
      <protection hidden="1"/>
    </xf>
    <xf numFmtId="0" fontId="0" fillId="28" borderId="36" xfId="0" applyFill="1" applyBorder="1" applyAlignment="1" applyProtection="1">
      <alignment horizontal="center"/>
      <protection hidden="1"/>
    </xf>
    <xf numFmtId="0" fontId="0" fillId="28" borderId="142" xfId="0" applyFill="1" applyBorder="1" applyAlignment="1" applyProtection="1">
      <alignment horizontal="center"/>
      <protection hidden="1"/>
    </xf>
    <xf numFmtId="4" fontId="44" fillId="26" borderId="36" xfId="0" applyNumberFormat="1" applyFont="1" applyFill="1" applyBorder="1" applyAlignment="1" applyProtection="1">
      <alignment horizontal="center" vertical="center"/>
      <protection hidden="1"/>
    </xf>
    <xf numFmtId="4" fontId="44" fillId="28" borderId="36" xfId="0" applyNumberFormat="1" applyFont="1" applyFill="1" applyBorder="1" applyAlignment="1" applyProtection="1">
      <alignment horizontal="center" vertical="center"/>
      <protection hidden="1"/>
    </xf>
    <xf numFmtId="0" fontId="0" fillId="25" borderId="137" xfId="0" applyFill="1" applyBorder="1" applyAlignment="1" applyProtection="1">
      <alignment horizontal="center" vertical="top"/>
      <protection locked="0"/>
    </xf>
    <xf numFmtId="0" fontId="0" fillId="25" borderId="103" xfId="0" applyFill="1" applyBorder="1" applyAlignment="1" applyProtection="1">
      <alignment horizontal="center" vertical="top"/>
      <protection locked="0"/>
    </xf>
    <xf numFmtId="0" fontId="0" fillId="25" borderId="138" xfId="0" applyFill="1" applyBorder="1" applyAlignment="1" applyProtection="1">
      <alignment horizontal="center" vertical="top"/>
      <protection locked="0"/>
    </xf>
    <xf numFmtId="4" fontId="44" fillId="26" borderId="41" xfId="0" applyNumberFormat="1" applyFont="1" applyFill="1" applyBorder="1" applyAlignment="1" applyProtection="1">
      <alignment horizontal="center" vertical="center"/>
      <protection hidden="1"/>
    </xf>
    <xf numFmtId="4" fontId="44" fillId="28" borderId="41" xfId="0" applyNumberFormat="1" applyFont="1" applyFill="1" applyBorder="1" applyAlignment="1" applyProtection="1">
      <alignment horizontal="center" vertical="center"/>
      <protection hidden="1"/>
    </xf>
    <xf numFmtId="0" fontId="0" fillId="0" borderId="99" xfId="0" applyBorder="1" applyAlignment="1" applyProtection="1">
      <alignment horizontal="left" vertical="top" wrapText="1"/>
      <protection hidden="1"/>
    </xf>
    <xf numFmtId="0" fontId="0" fillId="0" borderId="100" xfId="0" applyBorder="1" applyAlignment="1" applyProtection="1">
      <alignment horizontal="left" vertical="top" wrapText="1"/>
      <protection hidden="1"/>
    </xf>
    <xf numFmtId="0" fontId="0" fillId="0" borderId="102" xfId="0" applyBorder="1" applyAlignment="1" applyProtection="1">
      <alignment horizontal="left" vertical="top" wrapText="1"/>
      <protection hidden="1"/>
    </xf>
    <xf numFmtId="0" fontId="48" fillId="0" borderId="137" xfId="0" applyFont="1" applyBorder="1" applyAlignment="1" applyProtection="1">
      <alignment horizontal="justify" vertical="center" wrapText="1"/>
      <protection hidden="1"/>
    </xf>
    <xf numFmtId="0" fontId="48" fillId="0" borderId="103" xfId="0" applyFont="1" applyBorder="1" applyAlignment="1" applyProtection="1">
      <alignment horizontal="justify" vertical="center" wrapText="1"/>
      <protection hidden="1"/>
    </xf>
    <xf numFmtId="0" fontId="48" fillId="0" borderId="138" xfId="0" applyFont="1" applyBorder="1" applyAlignment="1" applyProtection="1">
      <alignment horizontal="justify" vertical="center" wrapText="1"/>
      <protection hidden="1"/>
    </xf>
    <xf numFmtId="0" fontId="0" fillId="0" borderId="137" xfId="0" applyBorder="1" applyAlignment="1" applyProtection="1">
      <alignment horizontal="justify" vertical="justify" wrapText="1"/>
      <protection hidden="1"/>
    </xf>
    <xf numFmtId="0" fontId="0" fillId="0" borderId="103" xfId="0" applyBorder="1" applyAlignment="1" applyProtection="1">
      <alignment horizontal="justify" vertical="justify" wrapText="1"/>
      <protection hidden="1"/>
    </xf>
    <xf numFmtId="0" fontId="0" fillId="0" borderId="138" xfId="0" applyBorder="1" applyAlignment="1" applyProtection="1">
      <alignment horizontal="justify" vertical="justify" wrapText="1"/>
      <protection hidden="1"/>
    </xf>
    <xf numFmtId="0" fontId="44" fillId="0" borderId="49" xfId="0" applyFont="1" applyBorder="1" applyAlignment="1" applyProtection="1">
      <alignment horizontal="center" vertical="justify" wrapText="1"/>
      <protection hidden="1"/>
    </xf>
    <xf numFmtId="0" fontId="44" fillId="0" borderId="26" xfId="0" applyFont="1" applyBorder="1" applyAlignment="1" applyProtection="1">
      <alignment horizontal="center" vertical="justify" wrapText="1"/>
      <protection hidden="1"/>
    </xf>
    <xf numFmtId="0" fontId="44" fillId="0" borderId="161" xfId="0" applyFont="1" applyBorder="1" applyAlignment="1" applyProtection="1">
      <alignment horizontal="center" vertical="justify" wrapText="1"/>
      <protection hidden="1"/>
    </xf>
    <xf numFmtId="0" fontId="0" fillId="0" borderId="99" xfId="0" applyBorder="1" applyAlignment="1" applyProtection="1">
      <alignment horizontal="center" vertical="justify" wrapText="1"/>
      <protection hidden="1"/>
    </xf>
    <xf numFmtId="0" fontId="0" fillId="0" borderId="100" xfId="0" applyBorder="1" applyAlignment="1" applyProtection="1">
      <alignment horizontal="center" vertical="justify" wrapText="1"/>
      <protection hidden="1"/>
    </xf>
    <xf numFmtId="0" fontId="0" fillId="0" borderId="102" xfId="0" applyBorder="1" applyAlignment="1" applyProtection="1">
      <alignment horizontal="center" vertical="justify" wrapText="1"/>
      <protection hidden="1"/>
    </xf>
    <xf numFmtId="0" fontId="44" fillId="28" borderId="189" xfId="0" applyFont="1" applyFill="1" applyBorder="1" applyAlignment="1" applyProtection="1">
      <alignment horizontal="center" vertical="center" wrapText="1"/>
      <protection hidden="1"/>
    </xf>
    <xf numFmtId="0" fontId="44" fillId="28" borderId="142" xfId="0" applyFont="1" applyFill="1" applyBorder="1" applyAlignment="1" applyProtection="1">
      <alignment horizontal="center" vertical="center" wrapText="1"/>
      <protection hidden="1"/>
    </xf>
    <xf numFmtId="0" fontId="0" fillId="25" borderId="49" xfId="0" applyFill="1" applyBorder="1" applyAlignment="1" applyProtection="1">
      <alignment horizontal="left" vertical="top"/>
      <protection locked="0"/>
    </xf>
    <xf numFmtId="0" fontId="0" fillId="25" borderId="26" xfId="0" applyFill="1" applyBorder="1" applyAlignment="1" applyProtection="1">
      <alignment horizontal="left" vertical="top"/>
      <protection locked="0"/>
    </xf>
    <xf numFmtId="0" fontId="0" fillId="25" borderId="141" xfId="0" applyFill="1" applyBorder="1" applyAlignment="1" applyProtection="1">
      <alignment horizontal="left" vertical="top"/>
      <protection locked="0"/>
    </xf>
    <xf numFmtId="0" fontId="0" fillId="25" borderId="189" xfId="0" applyFill="1" applyBorder="1" applyAlignment="1" applyProtection="1">
      <alignment horizontal="left" vertical="top"/>
      <protection locked="0"/>
    </xf>
    <xf numFmtId="0" fontId="0" fillId="25" borderId="42" xfId="0" applyFill="1" applyBorder="1" applyAlignment="1" applyProtection="1">
      <alignment horizontal="left" vertical="top"/>
      <protection locked="0"/>
    </xf>
    <xf numFmtId="0" fontId="0" fillId="25" borderId="36" xfId="0" applyFill="1" applyBorder="1" applyAlignment="1" applyProtection="1">
      <alignment horizontal="left" vertical="top"/>
      <protection locked="0"/>
    </xf>
    <xf numFmtId="0" fontId="0" fillId="25" borderId="142" xfId="0" applyFill="1" applyBorder="1" applyAlignment="1" applyProtection="1">
      <alignment horizontal="left" vertical="top"/>
      <protection locked="0"/>
    </xf>
    <xf numFmtId="0" fontId="0" fillId="0" borderId="100" xfId="0" applyBorder="1" applyAlignment="1" applyProtection="1">
      <protection hidden="1"/>
    </xf>
    <xf numFmtId="0" fontId="0" fillId="0" borderId="102" xfId="0" applyBorder="1" applyAlignment="1" applyProtection="1">
      <protection hidden="1"/>
    </xf>
    <xf numFmtId="0" fontId="0" fillId="25" borderId="162" xfId="0" applyFill="1" applyBorder="1" applyAlignment="1" applyProtection="1">
      <alignment horizontal="left" vertical="top"/>
      <protection locked="0"/>
    </xf>
    <xf numFmtId="0" fontId="0" fillId="25" borderId="31" xfId="0" applyFill="1" applyBorder="1" applyAlignment="1" applyProtection="1">
      <alignment horizontal="left" vertical="top"/>
      <protection locked="0"/>
    </xf>
    <xf numFmtId="0" fontId="0" fillId="25" borderId="28" xfId="0" applyFill="1" applyBorder="1" applyAlignment="1" applyProtection="1">
      <alignment horizontal="left" vertical="top"/>
      <protection locked="0"/>
    </xf>
    <xf numFmtId="0" fontId="47" fillId="0" borderId="99" xfId="0" applyFont="1" applyBorder="1" applyAlignment="1" applyProtection="1">
      <alignment horizontal="left" vertical="top" wrapText="1"/>
      <protection hidden="1"/>
    </xf>
    <xf numFmtId="0" fontId="47" fillId="0" borderId="100" xfId="0" applyFont="1" applyBorder="1" applyAlignment="1" applyProtection="1">
      <alignment horizontal="left" vertical="top" wrapText="1"/>
      <protection hidden="1"/>
    </xf>
    <xf numFmtId="0" fontId="47" fillId="0" borderId="102" xfId="0" applyFont="1" applyBorder="1" applyAlignment="1" applyProtection="1">
      <alignment horizontal="left" vertical="top" wrapText="1"/>
      <protection hidden="1"/>
    </xf>
    <xf numFmtId="0" fontId="19" fillId="26" borderId="137" xfId="0" applyFont="1" applyFill="1" applyBorder="1" applyAlignment="1" applyProtection="1">
      <alignment horizontal="center" vertical="center"/>
      <protection hidden="1"/>
    </xf>
    <xf numFmtId="0" fontId="19" fillId="26" borderId="103" xfId="0" applyFont="1" applyFill="1" applyBorder="1" applyAlignment="1" applyProtection="1">
      <alignment horizontal="center" vertical="center"/>
      <protection hidden="1"/>
    </xf>
    <xf numFmtId="0" fontId="19" fillId="26" borderId="138" xfId="0" applyFont="1" applyFill="1" applyBorder="1" applyAlignment="1" applyProtection="1">
      <alignment horizontal="center" vertical="center"/>
      <protection hidden="1"/>
    </xf>
    <xf numFmtId="0" fontId="46" fillId="0" borderId="99" xfId="0" applyFont="1" applyBorder="1" applyAlignment="1" applyProtection="1">
      <alignment horizontal="left" vertical="top" wrapText="1"/>
      <protection hidden="1"/>
    </xf>
    <xf numFmtId="0" fontId="46" fillId="0" borderId="100" xfId="0" applyFont="1" applyBorder="1" applyAlignment="1" applyProtection="1">
      <alignment horizontal="left" vertical="top" wrapText="1"/>
      <protection hidden="1"/>
    </xf>
    <xf numFmtId="0" fontId="46" fillId="0" borderId="102" xfId="0" applyFont="1" applyBorder="1" applyAlignment="1" applyProtection="1">
      <alignment horizontal="left" vertical="top" wrapText="1"/>
      <protection hidden="1"/>
    </xf>
    <xf numFmtId="49" fontId="44" fillId="0" borderId="48" xfId="0" applyNumberFormat="1" applyFont="1" applyBorder="1" applyAlignment="1" applyProtection="1">
      <alignment horizontal="center" vertical="center"/>
      <protection hidden="1"/>
    </xf>
    <xf numFmtId="49" fontId="44" fillId="0" borderId="42" xfId="0" applyNumberFormat="1" applyFont="1" applyBorder="1" applyAlignment="1" applyProtection="1">
      <alignment horizontal="center" vertical="center"/>
      <protection hidden="1"/>
    </xf>
    <xf numFmtId="0" fontId="44" fillId="26" borderId="143" xfId="0" applyFont="1" applyFill="1" applyBorder="1" applyAlignment="1" applyProtection="1">
      <alignment horizontal="center" vertical="center" wrapText="1"/>
      <protection hidden="1"/>
    </xf>
    <xf numFmtId="0" fontId="44" fillId="28" borderId="122" xfId="0" applyFont="1" applyFill="1" applyBorder="1" applyAlignment="1" applyProtection="1">
      <alignment horizontal="center" vertical="center" wrapText="1"/>
      <protection hidden="1"/>
    </xf>
    <xf numFmtId="0" fontId="0" fillId="25" borderId="31" xfId="0" applyFill="1" applyBorder="1" applyAlignment="1" applyProtection="1">
      <alignment horizontal="center" vertical="top"/>
      <protection locked="0"/>
    </xf>
    <xf numFmtId="0" fontId="0" fillId="25" borderId="189" xfId="0" applyFill="1" applyBorder="1" applyAlignment="1" applyProtection="1">
      <alignment horizontal="center" vertical="top"/>
      <protection locked="0"/>
    </xf>
    <xf numFmtId="0" fontId="0" fillId="0" borderId="168" xfId="0" applyBorder="1" applyAlignment="1" applyProtection="1">
      <alignment horizontal="left" vertical="justify" wrapText="1"/>
      <protection hidden="1"/>
    </xf>
    <xf numFmtId="0" fontId="0" fillId="0" borderId="163" xfId="0" applyBorder="1" applyAlignment="1" applyProtection="1">
      <alignment horizontal="left" vertical="justify" wrapText="1"/>
      <protection hidden="1"/>
    </xf>
    <xf numFmtId="0" fontId="0" fillId="0" borderId="81" xfId="0" applyBorder="1" applyAlignment="1" applyProtection="1">
      <alignment horizontal="left" vertical="justify" wrapText="1"/>
      <protection hidden="1"/>
    </xf>
    <xf numFmtId="0" fontId="0" fillId="25" borderId="162" xfId="0" applyFill="1" applyBorder="1" applyAlignment="1" applyProtection="1">
      <alignment horizontal="center" vertical="top"/>
      <protection locked="0"/>
    </xf>
    <xf numFmtId="0" fontId="0" fillId="25" borderId="141" xfId="0" applyFill="1" applyBorder="1" applyAlignment="1" applyProtection="1">
      <alignment horizontal="center" vertical="top"/>
      <protection locked="0"/>
    </xf>
    <xf numFmtId="0" fontId="0" fillId="25" borderId="28" xfId="0" applyFill="1" applyBorder="1" applyAlignment="1" applyProtection="1">
      <alignment horizontal="center" vertical="top"/>
      <protection locked="0"/>
    </xf>
    <xf numFmtId="0" fontId="0" fillId="25" borderId="142" xfId="0" applyFill="1" applyBorder="1" applyAlignment="1" applyProtection="1">
      <alignment horizontal="center" vertical="top"/>
      <protection locked="0"/>
    </xf>
    <xf numFmtId="0" fontId="0" fillId="0" borderId="42" xfId="0" applyBorder="1" applyAlignment="1" applyProtection="1">
      <alignment horizontal="left" vertical="justify" wrapText="1"/>
      <protection hidden="1"/>
    </xf>
    <xf numFmtId="0" fontId="0" fillId="0" borderId="36" xfId="0" applyBorder="1" applyAlignment="1" applyProtection="1">
      <alignment horizontal="left" vertical="justify" wrapText="1"/>
      <protection hidden="1"/>
    </xf>
    <xf numFmtId="0" fontId="0" fillId="0" borderId="190" xfId="0" applyBorder="1" applyAlignment="1" applyProtection="1">
      <alignment horizontal="left" vertical="justify" wrapText="1"/>
      <protection hidden="1"/>
    </xf>
    <xf numFmtId="1" fontId="0" fillId="26" borderId="26" xfId="0" applyNumberFormat="1" applyFill="1" applyBorder="1" applyAlignment="1" applyProtection="1">
      <alignment horizontal="center" vertical="center"/>
      <protection hidden="1"/>
    </xf>
    <xf numFmtId="1" fontId="0" fillId="26" borderId="141" xfId="0" applyNumberFormat="1" applyFill="1" applyBorder="1" applyAlignment="1" applyProtection="1">
      <alignment horizontal="center" vertical="center"/>
      <protection hidden="1"/>
    </xf>
    <xf numFmtId="0" fontId="0" fillId="25" borderId="48" xfId="0" applyFill="1" applyBorder="1" applyAlignment="1" applyProtection="1">
      <alignment horizontal="center" vertical="top"/>
      <protection locked="0"/>
    </xf>
    <xf numFmtId="0" fontId="0" fillId="25" borderId="42" xfId="0" applyFill="1" applyBorder="1" applyAlignment="1" applyProtection="1">
      <alignment horizontal="center" vertical="top"/>
      <protection locked="0"/>
    </xf>
    <xf numFmtId="1" fontId="0" fillId="28" borderId="31" xfId="0" applyNumberFormat="1" applyFill="1" applyBorder="1" applyAlignment="1" applyProtection="1">
      <alignment horizontal="center" vertical="center"/>
      <protection hidden="1"/>
    </xf>
    <xf numFmtId="1" fontId="0" fillId="28" borderId="0" xfId="0" applyNumberFormat="1" applyFill="1" applyAlignment="1" applyProtection="1">
      <alignment horizontal="center" vertical="center"/>
      <protection hidden="1"/>
    </xf>
    <xf numFmtId="1" fontId="0" fillId="28" borderId="189" xfId="0" applyNumberFormat="1" applyFill="1" applyBorder="1" applyAlignment="1" applyProtection="1">
      <alignment horizontal="center" vertical="center"/>
      <protection hidden="1"/>
    </xf>
    <xf numFmtId="0" fontId="0" fillId="25" borderId="49" xfId="0" applyFill="1" applyBorder="1" applyAlignment="1" applyProtection="1">
      <alignment horizontal="center" vertical="top"/>
      <protection locked="0"/>
    </xf>
    <xf numFmtId="0" fontId="0" fillId="0" borderId="168" xfId="0" applyBorder="1" applyAlignment="1" applyProtection="1">
      <alignment horizontal="left" vertical="top" wrapText="1"/>
      <protection hidden="1"/>
    </xf>
    <xf numFmtId="0" fontId="0" fillId="0" borderId="163" xfId="0" applyBorder="1" applyAlignment="1" applyProtection="1">
      <alignment horizontal="left" vertical="top" wrapText="1"/>
      <protection hidden="1"/>
    </xf>
    <xf numFmtId="0" fontId="0" fillId="0" borderId="81" xfId="0" applyBorder="1" applyAlignment="1" applyProtection="1">
      <alignment horizontal="left" vertical="top" wrapText="1"/>
      <protection hidden="1"/>
    </xf>
    <xf numFmtId="0" fontId="44" fillId="26" borderId="41" xfId="0" applyFont="1" applyFill="1" applyBorder="1" applyAlignment="1" applyProtection="1">
      <alignment horizontal="center" vertical="center" wrapText="1"/>
      <protection hidden="1"/>
    </xf>
    <xf numFmtId="1" fontId="0" fillId="26" borderId="161" xfId="0" applyNumberFormat="1" applyFill="1" applyBorder="1" applyAlignment="1" applyProtection="1">
      <alignment horizontal="center" vertical="center"/>
      <protection hidden="1"/>
    </xf>
    <xf numFmtId="1" fontId="0" fillId="26" borderId="33" xfId="0" applyNumberFormat="1" applyFill="1" applyBorder="1" applyAlignment="1" applyProtection="1">
      <alignment horizontal="center" vertical="center"/>
      <protection hidden="1"/>
    </xf>
    <xf numFmtId="1" fontId="0" fillId="26" borderId="163" xfId="0" applyNumberFormat="1" applyFill="1" applyBorder="1" applyAlignment="1" applyProtection="1">
      <alignment horizontal="center" vertical="center"/>
      <protection hidden="1"/>
    </xf>
    <xf numFmtId="1" fontId="0" fillId="26" borderId="81" xfId="0" applyNumberFormat="1" applyFill="1" applyBorder="1" applyAlignment="1" applyProtection="1">
      <alignment horizontal="center" vertical="center"/>
      <protection hidden="1"/>
    </xf>
    <xf numFmtId="0" fontId="19" fillId="0" borderId="101" xfId="0" applyFont="1" applyBorder="1" applyAlignment="1" applyProtection="1">
      <alignment horizontal="left" vertical="top" wrapText="1"/>
      <protection hidden="1"/>
    </xf>
    <xf numFmtId="0" fontId="19" fillId="0" borderId="60" xfId="0" applyFont="1" applyBorder="1" applyAlignment="1" applyProtection="1">
      <alignment horizontal="left" vertical="top" wrapText="1"/>
      <protection hidden="1"/>
    </xf>
    <xf numFmtId="0" fontId="19" fillId="0" borderId="61" xfId="0" applyFont="1" applyBorder="1" applyAlignment="1" applyProtection="1">
      <alignment horizontal="left" vertical="top" wrapText="1"/>
      <protection hidden="1"/>
    </xf>
    <xf numFmtId="0" fontId="21" fillId="0" borderId="20" xfId="0" applyFont="1" applyBorder="1" applyAlignment="1" applyProtection="1">
      <alignment horizontal="center" vertical="top" wrapText="1"/>
      <protection locked="0"/>
    </xf>
    <xf numFmtId="0" fontId="21" fillId="0" borderId="19" xfId="0" applyFont="1" applyBorder="1" applyAlignment="1" applyProtection="1">
      <alignment horizontal="center" vertical="top" wrapText="1"/>
      <protection locked="0"/>
    </xf>
    <xf numFmtId="0" fontId="21" fillId="0" borderId="191" xfId="0" applyFont="1" applyBorder="1" applyAlignment="1" applyProtection="1">
      <alignment horizontal="center" vertical="top" wrapText="1"/>
      <protection locked="0"/>
    </xf>
    <xf numFmtId="0" fontId="21" fillId="0" borderId="192" xfId="0" applyFont="1" applyBorder="1" applyAlignment="1" applyProtection="1">
      <alignment horizontal="center" vertical="top" wrapText="1"/>
      <protection locked="0"/>
    </xf>
    <xf numFmtId="0" fontId="21" fillId="16" borderId="18" xfId="0" applyFont="1" applyFill="1" applyBorder="1" applyAlignment="1">
      <alignment vertical="top" wrapText="1"/>
    </xf>
    <xf numFmtId="0" fontId="21" fillId="0" borderId="22" xfId="0" applyFont="1" applyBorder="1" applyAlignment="1" applyProtection="1">
      <alignment horizontal="center" vertical="top" wrapText="1"/>
      <protection locked="0"/>
    </xf>
    <xf numFmtId="0" fontId="21" fillId="0" borderId="18" xfId="0" applyFont="1" applyBorder="1" applyAlignment="1" applyProtection="1">
      <alignment horizontal="center" vertical="top" wrapText="1"/>
      <protection locked="0"/>
    </xf>
    <xf numFmtId="0" fontId="21" fillId="0" borderId="21" xfId="0" applyFont="1" applyBorder="1" applyAlignment="1" applyProtection="1">
      <alignment horizontal="center" vertical="top" wrapText="1"/>
      <protection locked="0"/>
    </xf>
    <xf numFmtId="0" fontId="21" fillId="0" borderId="10" xfId="0" applyFont="1" applyBorder="1" applyAlignment="1" applyProtection="1">
      <alignment horizontal="center" vertical="top" wrapText="1"/>
      <protection locked="0"/>
    </xf>
    <xf numFmtId="0" fontId="24" fillId="23" borderId="18" xfId="0" applyFont="1" applyFill="1" applyBorder="1" applyAlignment="1">
      <alignment horizontal="center" vertical="top" wrapText="1"/>
    </xf>
    <xf numFmtId="0" fontId="33" fillId="23" borderId="108" xfId="0" applyFont="1" applyFill="1" applyBorder="1" applyAlignment="1">
      <alignment horizontal="center" vertical="top"/>
    </xf>
    <xf numFmtId="0" fontId="33" fillId="23" borderId="24" xfId="0" applyFont="1" applyFill="1" applyBorder="1" applyAlignment="1">
      <alignment horizontal="center" vertical="top"/>
    </xf>
    <xf numFmtId="0" fontId="21" fillId="16" borderId="19" xfId="0" applyFont="1" applyFill="1" applyBorder="1" applyAlignment="1">
      <alignment vertical="top" wrapText="1"/>
    </xf>
    <xf numFmtId="0" fontId="22" fillId="27" borderId="10" xfId="0" applyFont="1" applyFill="1" applyBorder="1" applyAlignment="1" applyProtection="1">
      <alignment horizontal="center"/>
      <protection locked="0"/>
    </xf>
    <xf numFmtId="0" fontId="22" fillId="27" borderId="20" xfId="0" applyFont="1" applyFill="1" applyBorder="1" applyAlignment="1" applyProtection="1">
      <alignment horizontal="center"/>
      <protection locked="0"/>
    </xf>
    <xf numFmtId="0" fontId="24" fillId="23" borderId="118" xfId="0" applyFont="1" applyFill="1" applyBorder="1" applyAlignment="1">
      <alignment horizontal="center"/>
    </xf>
    <xf numFmtId="0" fontId="25" fillId="29" borderId="193" xfId="0" applyFont="1" applyFill="1" applyBorder="1" applyAlignment="1">
      <alignment horizontal="center" vertical="top"/>
    </xf>
    <xf numFmtId="0" fontId="25" fillId="29" borderId="194" xfId="0" applyFont="1" applyFill="1" applyBorder="1" applyAlignment="1">
      <alignment horizontal="center" vertical="top"/>
    </xf>
    <xf numFmtId="0" fontId="25" fillId="29" borderId="56" xfId="0" applyFont="1" applyFill="1" applyBorder="1" applyAlignment="1">
      <alignment horizontal="center" vertical="top"/>
    </xf>
    <xf numFmtId="0" fontId="25" fillId="29" borderId="58" xfId="0" applyFont="1" applyFill="1" applyBorder="1" applyAlignment="1">
      <alignment horizontal="center" vertical="top"/>
    </xf>
    <xf numFmtId="0" fontId="25" fillId="0" borderId="24" xfId="0" applyFont="1" applyBorder="1" applyAlignment="1" applyProtection="1">
      <alignment horizontal="center" vertical="top" wrapText="1"/>
      <protection locked="0"/>
    </xf>
    <xf numFmtId="0" fontId="25" fillId="0" borderId="192" xfId="0" applyFont="1" applyBorder="1" applyAlignment="1" applyProtection="1">
      <alignment horizontal="right" vertical="top" wrapText="1"/>
      <protection locked="0"/>
    </xf>
    <xf numFmtId="0" fontId="24" fillId="23" borderId="195" xfId="0" applyFont="1" applyFill="1" applyBorder="1" applyAlignment="1">
      <alignment horizontal="left" vertical="top" wrapText="1"/>
    </xf>
    <xf numFmtId="0" fontId="33" fillId="23" borderId="21" xfId="0" applyFont="1" applyFill="1" applyBorder="1" applyAlignment="1">
      <alignment horizontal="center" vertical="top" wrapText="1"/>
    </xf>
    <xf numFmtId="0" fontId="24" fillId="23" borderId="10" xfId="0" applyFont="1" applyFill="1" applyBorder="1" applyAlignment="1">
      <alignment horizontal="center" vertical="top" wrapText="1"/>
    </xf>
    <xf numFmtId="0" fontId="21" fillId="0" borderId="108" xfId="0" applyFont="1" applyBorder="1" applyAlignment="1" applyProtection="1">
      <alignment horizontal="center" vertical="top" wrapText="1"/>
      <protection locked="0"/>
    </xf>
    <xf numFmtId="0" fontId="21" fillId="0" borderId="24" xfId="0" applyFont="1" applyBorder="1" applyAlignment="1" applyProtection="1">
      <alignment horizontal="center" vertical="top" wrapText="1"/>
      <protection locked="0"/>
    </xf>
    <xf numFmtId="0" fontId="24" fillId="23" borderId="196" xfId="0" applyFont="1" applyFill="1" applyBorder="1" applyAlignment="1">
      <alignment vertical="top" wrapText="1"/>
    </xf>
    <xf numFmtId="0" fontId="24" fillId="23" borderId="197" xfId="0" applyFont="1" applyFill="1" applyBorder="1" applyAlignment="1">
      <alignment vertical="top" wrapText="1"/>
    </xf>
    <xf numFmtId="0" fontId="25" fillId="0" borderId="116" xfId="0" applyFont="1" applyBorder="1" applyAlignment="1" applyProtection="1">
      <alignment horizontal="center" vertical="top" wrapText="1"/>
      <protection locked="0"/>
    </xf>
    <xf numFmtId="0" fontId="24" fillId="23" borderId="117" xfId="0" applyFont="1" applyFill="1" applyBorder="1" applyAlignment="1">
      <alignment vertical="top" wrapText="1"/>
    </xf>
    <xf numFmtId="0" fontId="24" fillId="23" borderId="194" xfId="0" applyFont="1" applyFill="1" applyBorder="1" applyAlignment="1">
      <alignment vertical="top" wrapText="1"/>
    </xf>
    <xf numFmtId="0" fontId="19" fillId="0" borderId="0" xfId="0" applyFont="1" applyAlignment="1">
      <alignment horizontal="center"/>
    </xf>
    <xf numFmtId="0" fontId="24" fillId="23" borderId="198" xfId="0" applyFont="1" applyFill="1" applyBorder="1" applyAlignment="1">
      <alignment horizontal="center" vertical="top" wrapText="1"/>
    </xf>
    <xf numFmtId="0" fontId="24" fillId="23" borderId="199" xfId="0" applyFont="1" applyFill="1" applyBorder="1" applyAlignment="1">
      <alignment vertical="top" wrapText="1"/>
    </xf>
    <xf numFmtId="0" fontId="25" fillId="0" borderId="198" xfId="0" applyFont="1" applyBorder="1" applyAlignment="1" applyProtection="1">
      <alignment horizontal="center" vertical="top" wrapText="1"/>
      <protection locked="0"/>
    </xf>
    <xf numFmtId="0" fontId="25" fillId="0" borderId="199" xfId="0" applyFont="1" applyBorder="1" applyAlignment="1" applyProtection="1">
      <alignment horizontal="right" vertical="top" wrapText="1"/>
      <protection locked="0"/>
    </xf>
    <xf numFmtId="0" fontId="24" fillId="23" borderId="56" xfId="0" applyFont="1" applyFill="1" applyBorder="1" applyAlignment="1">
      <alignment vertical="top" wrapText="1"/>
    </xf>
    <xf numFmtId="0" fontId="24" fillId="23" borderId="200" xfId="0" applyFont="1" applyFill="1" applyBorder="1" applyAlignment="1">
      <alignment vertical="top" wrapText="1"/>
    </xf>
    <xf numFmtId="0" fontId="24" fillId="23" borderId="117" xfId="0" applyFont="1" applyFill="1" applyBorder="1" applyAlignment="1">
      <alignment horizontal="center"/>
    </xf>
    <xf numFmtId="0" fontId="27" fillId="16" borderId="21" xfId="0" applyFont="1" applyFill="1" applyBorder="1" applyAlignment="1">
      <alignment horizontal="center" wrapText="1"/>
    </xf>
    <xf numFmtId="0" fontId="27" fillId="16" borderId="10" xfId="0" applyFont="1" applyFill="1" applyBorder="1" applyAlignment="1">
      <alignment horizontal="center" wrapText="1"/>
    </xf>
    <xf numFmtId="0" fontId="24" fillId="23" borderId="118" xfId="0" applyFont="1" applyFill="1" applyBorder="1" applyAlignment="1">
      <alignment horizontal="center" vertical="top" wrapText="1"/>
    </xf>
    <xf numFmtId="0" fontId="26" fillId="0" borderId="118" xfId="0" applyFont="1" applyBorder="1" applyAlignment="1" applyProtection="1">
      <alignment vertical="top" wrapText="1"/>
      <protection locked="0"/>
    </xf>
    <xf numFmtId="0" fontId="20" fillId="16" borderId="116" xfId="0" applyFont="1" applyFill="1" applyBorder="1" applyAlignment="1">
      <alignment horizontal="center"/>
    </xf>
    <xf numFmtId="0" fontId="20" fillId="16" borderId="193" xfId="0" applyFont="1" applyFill="1" applyBorder="1" applyAlignment="1">
      <alignment horizontal="left"/>
    </xf>
    <xf numFmtId="0" fontId="20" fillId="27" borderId="117" xfId="0" applyFont="1" applyFill="1" applyBorder="1" applyAlignment="1" applyProtection="1">
      <alignment horizontal="center"/>
      <protection locked="0"/>
    </xf>
    <xf numFmtId="0" fontId="21" fillId="0" borderId="116" xfId="0" applyFont="1" applyBorder="1" applyAlignment="1" applyProtection="1">
      <protection locked="0"/>
    </xf>
    <xf numFmtId="0" fontId="24" fillId="23" borderId="117" xfId="0" applyFont="1" applyFill="1" applyBorder="1" applyAlignment="1">
      <alignment horizontal="left" vertical="top" wrapText="1"/>
    </xf>
    <xf numFmtId="0" fontId="24" fillId="23" borderId="117" xfId="0" applyFont="1" applyFill="1" applyBorder="1" applyAlignment="1">
      <alignment horizontal="center" vertical="top" wrapText="1"/>
    </xf>
    <xf numFmtId="0" fontId="21" fillId="0" borderId="116" xfId="0" applyFont="1" applyBorder="1" applyAlignment="1" applyProtection="1">
      <alignment horizontal="left" vertical="top" wrapText="1"/>
      <protection locked="0"/>
    </xf>
    <xf numFmtId="0" fontId="0" fillId="0" borderId="34" xfId="0" applyBorder="1" applyAlignment="1">
      <alignment horizontal="center" vertical="center" wrapText="1"/>
    </xf>
    <xf numFmtId="0" fontId="0" fillId="0" borderId="30" xfId="0" applyBorder="1" applyAlignment="1">
      <alignment horizontal="center" vertical="center" wrapText="1"/>
    </xf>
    <xf numFmtId="0" fontId="35" fillId="0" borderId="201" xfId="30" applyFont="1" applyBorder="1" applyAlignment="1">
      <alignment horizontal="center"/>
    </xf>
  </cellXfs>
  <cellStyles count="49">
    <cellStyle name="20% - Ênfase1" xfId="1"/>
    <cellStyle name="20% - Ênfase2" xfId="2"/>
    <cellStyle name="20% - Ênfase3" xfId="3"/>
    <cellStyle name="20% - Ênfase4" xfId="4"/>
    <cellStyle name="20% - Ênfase5" xfId="5"/>
    <cellStyle name="20% - Ênfase6" xfId="6"/>
    <cellStyle name="40% - Ênfase1" xfId="7"/>
    <cellStyle name="40% - Ênfase2" xfId="8"/>
    <cellStyle name="40% - Ênfase3" xfId="9"/>
    <cellStyle name="40% - Ênfase4" xfId="10"/>
    <cellStyle name="40% - Ênfase5" xfId="11"/>
    <cellStyle name="40% - Ênfase6" xfId="12"/>
    <cellStyle name="60% - Ênfase1" xfId="13"/>
    <cellStyle name="60% - Ênfase2" xfId="14"/>
    <cellStyle name="60% - Ênfase3" xfId="15"/>
    <cellStyle name="60% - Ênfase4" xfId="16"/>
    <cellStyle name="60% - Ênfase5" xfId="17"/>
    <cellStyle name="60% - Ênfase6" xfId="18"/>
    <cellStyle name="Bom" xfId="19"/>
    <cellStyle name="Cálculo" xfId="20"/>
    <cellStyle name="Célula de Verificação" xfId="21"/>
    <cellStyle name="Célula Vinculada" xfId="22"/>
    <cellStyle name="Ênfase1" xfId="23"/>
    <cellStyle name="Ênfase2" xfId="24"/>
    <cellStyle name="Ênfase3" xfId="25"/>
    <cellStyle name="Ênfase4" xfId="26"/>
    <cellStyle name="Ênfase5" xfId="27"/>
    <cellStyle name="Ênfase6" xfId="28"/>
    <cellStyle name="Entrada" xfId="29"/>
    <cellStyle name="Hiperlink" xfId="30" builtinId="8"/>
    <cellStyle name="Incorreto" xfId="47" hidden="1"/>
    <cellStyle name="Neutra" xfId="48" hidden="1"/>
    <cellStyle name="Normal" xfId="0" builtinId="0"/>
    <cellStyle name="Normal 2" xfId="31"/>
    <cellStyle name="Normal_PPDS_Laudo_Cont_FSDMS_Versao" xfId="32"/>
    <cellStyle name="Nota" xfId="33"/>
    <cellStyle name="Saída" xfId="34"/>
    <cellStyle name="Texto de Aviso" xfId="35"/>
    <cellStyle name="Texto Explicativo" xfId="36"/>
    <cellStyle name="Título" xfId="37"/>
    <cellStyle name="Título 1" xfId="38"/>
    <cellStyle name="Título 1 1" xfId="39"/>
    <cellStyle name="Título 1_Contagem APF - Caixa (FSDMS) - proposta comite_v1_4_0" xfId="40"/>
    <cellStyle name="Título 2" xfId="41"/>
    <cellStyle name="Título 3" xfId="42"/>
    <cellStyle name="Título 4" xfId="43"/>
    <cellStyle name="Total" xfId="44" builtinId="25" customBuiltin="1"/>
    <cellStyle name="Vírgula" xfId="45" builtinId="3"/>
    <cellStyle name="Vírgula 2" xfId="46"/>
  </cellStyles>
  <dxfs count="6">
    <dxf>
      <fill>
        <patternFill patternType="solid">
          <fgColor indexed="27"/>
          <bgColor indexed="42"/>
        </patternFill>
      </fill>
    </dxf>
    <dxf>
      <fill>
        <patternFill patternType="solid">
          <fgColor indexed="31"/>
          <bgColor indexed="22"/>
        </patternFill>
      </fill>
    </dxf>
    <dxf>
      <fill>
        <patternFill patternType="solid">
          <fgColor indexed="27"/>
          <bgColor indexed="42"/>
        </patternFill>
      </fill>
    </dxf>
    <dxf>
      <fill>
        <patternFill patternType="solid">
          <fgColor indexed="31"/>
          <bgColor indexed="22"/>
        </patternFill>
      </fill>
    </dxf>
    <dxf>
      <fill>
        <patternFill patternType="solid">
          <fgColor indexed="27"/>
          <bgColor indexed="42"/>
        </patternFill>
      </fill>
    </dxf>
    <dxf>
      <fill>
        <patternFill patternType="solid">
          <fgColor indexed="31"/>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152400</xdr:colOff>
      <xdr:row>1</xdr:row>
      <xdr:rowOff>0</xdr:rowOff>
    </xdr:to>
    <xdr:pic>
      <xdr:nvPicPr>
        <xdr:cNvPr id="17848" name="Imagem 1">
          <a:extLst>
            <a:ext uri="{FF2B5EF4-FFF2-40B4-BE49-F238E27FC236}">
              <a16:creationId xmlns:a16="http://schemas.microsoft.com/office/drawing/2014/main" xmlns="" id="{00000000-0008-0000-0000-0000B84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715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228600</xdr:colOff>
      <xdr:row>1</xdr:row>
      <xdr:rowOff>57150</xdr:rowOff>
    </xdr:to>
    <xdr:pic>
      <xdr:nvPicPr>
        <xdr:cNvPr id="18795" name="Imagem 1">
          <a:extLst>
            <a:ext uri="{FF2B5EF4-FFF2-40B4-BE49-F238E27FC236}">
              <a16:creationId xmlns:a16="http://schemas.microsoft.com/office/drawing/2014/main" xmlns="" id="{00000000-0008-0000-0100-00006B4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572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295275</xdr:colOff>
      <xdr:row>1</xdr:row>
      <xdr:rowOff>57150</xdr:rowOff>
    </xdr:to>
    <xdr:pic>
      <xdr:nvPicPr>
        <xdr:cNvPr id="19798" name="Imagem 1">
          <a:extLst>
            <a:ext uri="{FF2B5EF4-FFF2-40B4-BE49-F238E27FC236}">
              <a16:creationId xmlns:a16="http://schemas.microsoft.com/office/drawing/2014/main" xmlns="" id="{00000000-0008-0000-0200-0000564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572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295275</xdr:colOff>
      <xdr:row>1</xdr:row>
      <xdr:rowOff>57150</xdr:rowOff>
    </xdr:to>
    <xdr:pic>
      <xdr:nvPicPr>
        <xdr:cNvPr id="16920" name="Imagem 1">
          <a:extLst>
            <a:ext uri="{FF2B5EF4-FFF2-40B4-BE49-F238E27FC236}">
              <a16:creationId xmlns:a16="http://schemas.microsoft.com/office/drawing/2014/main" xmlns="" id="{00000000-0008-0000-0300-000018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572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676275</xdr:colOff>
      <xdr:row>1</xdr:row>
      <xdr:rowOff>133350</xdr:rowOff>
    </xdr:to>
    <xdr:pic>
      <xdr:nvPicPr>
        <xdr:cNvPr id="21576" name="Imagem 1">
          <a:extLst>
            <a:ext uri="{FF2B5EF4-FFF2-40B4-BE49-F238E27FC236}">
              <a16:creationId xmlns:a16="http://schemas.microsoft.com/office/drawing/2014/main" xmlns="" id="{00000000-0008-0000-0400-0000485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715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9525</xdr:colOff>
          <xdr:row>2</xdr:row>
          <xdr:rowOff>19050</xdr:rowOff>
        </xdr:from>
        <xdr:to>
          <xdr:col>23</xdr:col>
          <xdr:colOff>28575</xdr:colOff>
          <xdr:row>4</xdr:row>
          <xdr:rowOff>95250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Arial"/>
                  <a:cs typeface="Arial"/>
                </a:rPr>
                <a:t>1) Preencher Funções e RTCs/Itens de backlog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152400</xdr:colOff>
          <xdr:row>2</xdr:row>
          <xdr:rowOff>66675</xdr:rowOff>
        </xdr:from>
        <xdr:to>
          <xdr:col>39</xdr:col>
          <xdr:colOff>171450</xdr:colOff>
          <xdr:row>4</xdr:row>
          <xdr:rowOff>95250</xdr:rowOff>
        </xdr:to>
        <xdr:sp macro="" textlink="">
          <xdr:nvSpPr>
            <xdr:cNvPr id="21509" name="Button 5" hidden="1">
              <a:extLst>
                <a:ext uri="{63B3BB69-23CF-44E3-9099-C40C66FF867C}">
                  <a14:compatExt spid="_x0000_s215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Arial"/>
                  <a:cs typeface="Arial"/>
                </a:rPr>
                <a:t>2) Distribuir Tamanho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247650</xdr:colOff>
      <xdr:row>0</xdr:row>
      <xdr:rowOff>219075</xdr:rowOff>
    </xdr:to>
    <xdr:pic>
      <xdr:nvPicPr>
        <xdr:cNvPr id="20765" name="Imagem 1">
          <a:extLst>
            <a:ext uri="{FF2B5EF4-FFF2-40B4-BE49-F238E27FC236}">
              <a16:creationId xmlns:a16="http://schemas.microsoft.com/office/drawing/2014/main" xmlns="" id="{00000000-0008-0000-0B00-00001D5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572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7265et159\publico\Publico\Avaliacao_Desempenho\Modelo_Contagem_PF\Modelo_Contagem_PF\0-4_Modelo_Para_Manutencao_TPF_Estimad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I"/>
      <sheetName val="AIE"/>
      <sheetName val="Entradas"/>
      <sheetName val="Saídas"/>
      <sheetName val="Consulta"/>
      <sheetName val="0_Menu_Principal"/>
      <sheetName val="11-Estimativa_Tamanho_Sistema"/>
      <sheetName val="11.2-Totais_manutencao"/>
      <sheetName val="11.4-Menu_Cont_Estimada_Des"/>
      <sheetName val="11.5-Menu_Cont_Det_Des"/>
      <sheetName val="11.6-Cont_Det_Manut"/>
      <sheetName val="11.8-Resumo_Total_PF"/>
      <sheetName val="13.1-Estimar_RCD"/>
      <sheetName val="13.2-Resumo_Estimativas_RCD"/>
      <sheetName val="Tab_Metodo_Contagem"/>
      <sheetName val="Tab_Resumo_Pontuacao"/>
      <sheetName val="Totais"/>
      <sheetName val="Arquivos"/>
      <sheetName val="Transação"/>
      <sheetName val="Calcula_Fator_Ajuste"/>
      <sheetName val="Totais_manutencao"/>
      <sheetName val="Arquivos_Alterados"/>
      <sheetName val="Transação_Alteracao"/>
      <sheetName val="12-Estimativa_de_Recursos"/>
      <sheetName val="12.1-Resumo_Quant_Recursos"/>
      <sheetName val="13-Menu_Estimativas_Prazo"/>
      <sheetName val="13.1-Planejamento"/>
      <sheetName val="13.2-Análise"/>
      <sheetName val="13.3-Especificação"/>
      <sheetName val="11.1-Menu_Cálculo_Indicativo"/>
      <sheetName val="11.1.1-Totais"/>
      <sheetName val="11.1.2-Arquivos"/>
      <sheetName val="Plan1"/>
      <sheetName val="13.4-Construção"/>
      <sheetName val="13.5-Homologacao"/>
      <sheetName val="13.6-Implantação"/>
      <sheetName val="13.7-Resumo_Prazo_Custos"/>
      <sheetName val="13.8-Resumo_Capa_Proposta"/>
      <sheetName val="11_1_Menu_Cálculo_Indicativo"/>
      <sheetName val="13.2-Resumo__x0005_stimatifas_RC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70+1X!Danh..."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A1:XFC263"/>
  <sheetViews>
    <sheetView showGridLines="0" topLeftCell="A63" zoomScaleNormal="100" workbookViewId="0">
      <selection activeCell="B75" sqref="B75:C75"/>
    </sheetView>
  </sheetViews>
  <sheetFormatPr defaultColWidth="0" defaultRowHeight="12.75" zeroHeight="1" x14ac:dyDescent="0.2"/>
  <cols>
    <col min="1" max="1" width="12.28515625" customWidth="1"/>
    <col min="2" max="2" width="35.28515625" customWidth="1"/>
    <col min="3" max="3" width="16.28515625" customWidth="1"/>
    <col min="4" max="4" width="25.5703125" customWidth="1"/>
    <col min="5" max="5" width="49.5703125" customWidth="1"/>
    <col min="6" max="6" width="2.85546875" customWidth="1"/>
    <col min="7" max="16383" width="9.140625" hidden="1"/>
    <col min="16384" max="16384" width="14.28515625" hidden="1"/>
  </cols>
  <sheetData>
    <row r="1" spans="1:26" ht="23.25" customHeight="1" x14ac:dyDescent="0.2">
      <c r="A1" s="437" t="s">
        <v>1024</v>
      </c>
      <c r="B1" s="437"/>
      <c r="C1" s="437"/>
      <c r="D1" s="437"/>
      <c r="E1" s="437"/>
      <c r="Z1" s="350" t="s">
        <v>0</v>
      </c>
    </row>
    <row r="2" spans="1:26" ht="39.75" customHeight="1" x14ac:dyDescent="0.2">
      <c r="A2" s="438" t="s">
        <v>1</v>
      </c>
      <c r="B2" s="439"/>
      <c r="C2" s="439"/>
      <c r="D2" s="439"/>
      <c r="E2" s="440"/>
    </row>
    <row r="3" spans="1:26" ht="42" hidden="1" customHeight="1" x14ac:dyDescent="0.2">
      <c r="A3" s="1" t="s">
        <v>2</v>
      </c>
      <c r="B3" s="441" t="s">
        <v>3</v>
      </c>
      <c r="C3" s="441"/>
      <c r="D3" s="409" t="s">
        <v>4</v>
      </c>
      <c r="E3" s="409"/>
    </row>
    <row r="4" spans="1:26" ht="29.25" hidden="1" customHeight="1" x14ac:dyDescent="0.2">
      <c r="A4" s="107"/>
      <c r="B4" s="442"/>
      <c r="C4" s="442"/>
      <c r="D4" s="443"/>
      <c r="E4" s="443"/>
    </row>
    <row r="5" spans="1:26" ht="24" hidden="1" customHeight="1" x14ac:dyDescent="0.2">
      <c r="A5" s="412" t="s">
        <v>5</v>
      </c>
      <c r="B5" s="412"/>
      <c r="C5" s="412"/>
      <c r="D5" s="409" t="s">
        <v>6</v>
      </c>
      <c r="E5" s="409"/>
    </row>
    <row r="6" spans="1:26" ht="20.25" hidden="1" customHeight="1" x14ac:dyDescent="0.2">
      <c r="A6" s="443"/>
      <c r="B6" s="443"/>
      <c r="C6" s="443"/>
      <c r="D6" s="443"/>
      <c r="E6" s="443"/>
    </row>
    <row r="7" spans="1:26" ht="17.25" customHeight="1" x14ac:dyDescent="0.2">
      <c r="A7" s="446" t="s">
        <v>7</v>
      </c>
      <c r="B7" s="446"/>
      <c r="C7" s="446"/>
      <c r="D7" s="446"/>
      <c r="E7" s="446"/>
    </row>
    <row r="8" spans="1:26" ht="25.5" customHeight="1" x14ac:dyDescent="0.2">
      <c r="A8" s="429" t="s">
        <v>1027</v>
      </c>
      <c r="B8" s="430"/>
      <c r="C8" s="430"/>
      <c r="D8" s="430"/>
      <c r="E8" s="431"/>
    </row>
    <row r="9" spans="1:26" ht="38.25" x14ac:dyDescent="0.2">
      <c r="A9" s="447" t="s">
        <v>8</v>
      </c>
      <c r="B9" s="448"/>
      <c r="C9" s="396" t="s">
        <v>9</v>
      </c>
      <c r="D9" s="396" t="s">
        <v>10</v>
      </c>
      <c r="E9" s="396" t="s">
        <v>11</v>
      </c>
    </row>
    <row r="10" spans="1:26" ht="27" customHeight="1" x14ac:dyDescent="0.2">
      <c r="A10" s="433"/>
      <c r="B10" s="434"/>
      <c r="C10" s="190"/>
      <c r="D10" s="190"/>
      <c r="E10" s="105"/>
      <c r="F10" s="352"/>
    </row>
    <row r="11" spans="1:26" x14ac:dyDescent="0.2">
      <c r="A11" s="409" t="s">
        <v>12</v>
      </c>
      <c r="B11" s="409"/>
      <c r="C11" s="409"/>
      <c r="D11" s="409"/>
      <c r="E11" s="409"/>
    </row>
    <row r="12" spans="1:26" ht="15" customHeight="1" x14ac:dyDescent="0.2">
      <c r="A12" s="393"/>
      <c r="B12" s="415" t="s">
        <v>13</v>
      </c>
      <c r="C12" s="415"/>
      <c r="D12" s="415"/>
      <c r="E12" s="415"/>
    </row>
    <row r="13" spans="1:26" ht="15" customHeight="1" x14ac:dyDescent="0.2">
      <c r="A13" s="393"/>
      <c r="B13" s="415" t="s">
        <v>14</v>
      </c>
      <c r="C13" s="415"/>
      <c r="D13" s="415"/>
      <c r="E13" s="415"/>
    </row>
    <row r="14" spans="1:26" ht="15" customHeight="1" x14ac:dyDescent="0.2">
      <c r="A14" s="393"/>
      <c r="B14" s="5" t="s">
        <v>15</v>
      </c>
      <c r="C14" s="444"/>
      <c r="D14" s="444"/>
      <c r="E14" s="445"/>
    </row>
    <row r="15" spans="1:26" ht="14.25" customHeight="1" x14ac:dyDescent="0.2">
      <c r="A15" s="432" t="s">
        <v>16</v>
      </c>
      <c r="B15" s="432"/>
      <c r="C15" s="421" t="s">
        <v>17</v>
      </c>
      <c r="D15" s="421"/>
      <c r="E15" s="421"/>
    </row>
    <row r="16" spans="1:26" ht="15" customHeight="1" x14ac:dyDescent="0.2">
      <c r="A16" s="393"/>
      <c r="B16" s="4" t="s">
        <v>18</v>
      </c>
      <c r="C16" s="393"/>
      <c r="D16" s="420" t="s">
        <v>19</v>
      </c>
      <c r="E16" s="420"/>
    </row>
    <row r="17" spans="1:7" ht="15" customHeight="1" x14ac:dyDescent="0.2">
      <c r="A17" s="393" t="s">
        <v>1025</v>
      </c>
      <c r="B17" s="4" t="s">
        <v>20</v>
      </c>
      <c r="C17" s="393" t="s">
        <v>1025</v>
      </c>
      <c r="D17" s="420" t="s">
        <v>21</v>
      </c>
      <c r="E17" s="420"/>
    </row>
    <row r="18" spans="1:7" ht="15" customHeight="1" x14ac:dyDescent="0.2">
      <c r="A18" s="393"/>
      <c r="B18" s="218" t="s">
        <v>22</v>
      </c>
      <c r="C18" s="393"/>
      <c r="D18" s="420" t="s">
        <v>23</v>
      </c>
      <c r="E18" s="420"/>
    </row>
    <row r="19" spans="1:7" ht="15" customHeight="1" x14ac:dyDescent="0.2">
      <c r="A19" s="219"/>
      <c r="B19" s="220"/>
      <c r="C19" s="393" t="s">
        <v>1025</v>
      </c>
      <c r="D19" s="420" t="s">
        <v>24</v>
      </c>
      <c r="E19" s="420"/>
    </row>
    <row r="20" spans="1:7" ht="15" customHeight="1" x14ac:dyDescent="0.2">
      <c r="A20" s="221"/>
      <c r="B20" s="222"/>
      <c r="C20" s="393"/>
      <c r="D20" s="420" t="s">
        <v>25</v>
      </c>
      <c r="E20" s="420"/>
    </row>
    <row r="21" spans="1:7" ht="14.25" customHeight="1" x14ac:dyDescent="0.2">
      <c r="A21" s="435" t="s">
        <v>26</v>
      </c>
      <c r="B21" s="435"/>
      <c r="C21" s="436"/>
      <c r="D21" s="436"/>
      <c r="E21" s="436"/>
    </row>
    <row r="22" spans="1:7" ht="15" customHeight="1" x14ac:dyDescent="0.2">
      <c r="A22" s="393"/>
      <c r="B22" s="4" t="s">
        <v>27</v>
      </c>
      <c r="C22" s="393"/>
      <c r="D22" s="427" t="s">
        <v>28</v>
      </c>
      <c r="E22" s="428"/>
    </row>
    <row r="23" spans="1:7" ht="13.5" customHeight="1" x14ac:dyDescent="0.2">
      <c r="A23" s="421" t="s">
        <v>29</v>
      </c>
      <c r="B23" s="421"/>
      <c r="C23" s="421"/>
      <c r="D23" s="421"/>
      <c r="E23" s="421"/>
    </row>
    <row r="24" spans="1:7" ht="15" customHeight="1" x14ac:dyDescent="0.2">
      <c r="A24" s="393"/>
      <c r="B24" s="420" t="s">
        <v>30</v>
      </c>
      <c r="C24" s="420"/>
      <c r="D24" s="420"/>
      <c r="E24" s="420"/>
      <c r="G24">
        <f>IF(OR(A24="X",A24="x"),1,IF(OR(A25="X",A25="x"),2,0))</f>
        <v>2</v>
      </c>
    </row>
    <row r="25" spans="1:7" ht="15" customHeight="1" x14ac:dyDescent="0.2">
      <c r="A25" s="393" t="s">
        <v>1025</v>
      </c>
      <c r="B25" s="422" t="s">
        <v>31</v>
      </c>
      <c r="C25" s="422"/>
      <c r="D25" s="422"/>
      <c r="E25" s="422"/>
    </row>
    <row r="26" spans="1:7" ht="15" customHeight="1" x14ac:dyDescent="0.2">
      <c r="A26" s="393"/>
      <c r="B26" s="422" t="s">
        <v>32</v>
      </c>
      <c r="C26" s="422"/>
      <c r="D26" s="422"/>
      <c r="E26" s="422"/>
    </row>
    <row r="27" spans="1:7" ht="15" customHeight="1" x14ac:dyDescent="0.2">
      <c r="A27" s="393"/>
      <c r="B27" s="422" t="s">
        <v>33</v>
      </c>
      <c r="C27" s="422"/>
      <c r="D27" s="422"/>
      <c r="E27" s="422"/>
    </row>
    <row r="28" spans="1:7" ht="15" customHeight="1" x14ac:dyDescent="0.2">
      <c r="A28" s="393"/>
      <c r="B28" s="422" t="s">
        <v>34</v>
      </c>
      <c r="C28" s="422"/>
      <c r="D28" s="422"/>
      <c r="E28" s="422"/>
    </row>
    <row r="29" spans="1:7" ht="15" customHeight="1" x14ac:dyDescent="0.2">
      <c r="A29" s="393"/>
      <c r="B29" s="422" t="s">
        <v>35</v>
      </c>
      <c r="C29" s="422"/>
      <c r="D29" s="422"/>
      <c r="E29" s="422"/>
    </row>
    <row r="30" spans="1:7" ht="15" customHeight="1" x14ac:dyDescent="0.2">
      <c r="A30" s="393"/>
      <c r="B30" s="422" t="s">
        <v>36</v>
      </c>
      <c r="C30" s="422"/>
      <c r="D30" s="422"/>
      <c r="E30" s="422"/>
    </row>
    <row r="31" spans="1:7" ht="15" customHeight="1" x14ac:dyDescent="0.2">
      <c r="A31" s="393"/>
      <c r="B31" s="423" t="s">
        <v>37</v>
      </c>
      <c r="C31" s="424"/>
      <c r="D31" s="424"/>
      <c r="E31" s="425"/>
    </row>
    <row r="32" spans="1:7" ht="15" customHeight="1" x14ac:dyDescent="0.2">
      <c r="A32" s="393"/>
      <c r="B32" s="422" t="s">
        <v>38</v>
      </c>
      <c r="C32" s="422"/>
      <c r="D32" s="422"/>
      <c r="E32" s="422"/>
    </row>
    <row r="33" spans="1:6" ht="15" customHeight="1" x14ac:dyDescent="0.2">
      <c r="A33" s="393"/>
      <c r="B33" s="422" t="s">
        <v>39</v>
      </c>
      <c r="C33" s="422"/>
      <c r="D33" s="422"/>
      <c r="E33" s="422"/>
    </row>
    <row r="34" spans="1:6" x14ac:dyDescent="0.2">
      <c r="A34" s="426" t="s">
        <v>40</v>
      </c>
      <c r="B34" s="426"/>
      <c r="C34" s="426"/>
      <c r="D34" s="426"/>
      <c r="E34" s="426"/>
    </row>
    <row r="35" spans="1:6" x14ac:dyDescent="0.2">
      <c r="A35" s="409" t="s">
        <v>41</v>
      </c>
      <c r="B35" s="409"/>
      <c r="C35" s="409" t="s">
        <v>42</v>
      </c>
      <c r="D35" s="409"/>
      <c r="E35" s="2" t="s">
        <v>43</v>
      </c>
    </row>
    <row r="36" spans="1:6" ht="15" customHeight="1" x14ac:dyDescent="0.2">
      <c r="A36" s="393"/>
      <c r="B36" s="5" t="s">
        <v>44</v>
      </c>
      <c r="C36" s="411" t="s">
        <v>1026</v>
      </c>
      <c r="D36" s="411"/>
      <c r="E36" s="411"/>
    </row>
    <row r="37" spans="1:6" ht="15" customHeight="1" x14ac:dyDescent="0.2">
      <c r="A37" s="393"/>
      <c r="B37" s="5" t="s">
        <v>15</v>
      </c>
      <c r="C37" s="411"/>
      <c r="D37" s="411"/>
      <c r="E37" s="411"/>
    </row>
    <row r="38" spans="1:6" ht="27" hidden="1" customHeight="1" x14ac:dyDescent="0.2">
      <c r="A38" s="412" t="s">
        <v>45</v>
      </c>
      <c r="B38" s="412"/>
      <c r="C38" s="412"/>
      <c r="D38" s="412" t="s">
        <v>46</v>
      </c>
      <c r="E38" s="412"/>
    </row>
    <row r="39" spans="1:6" hidden="1" x14ac:dyDescent="0.2">
      <c r="A39" s="413"/>
      <c r="B39" s="413"/>
      <c r="C39" s="413"/>
      <c r="D39" s="413"/>
      <c r="E39" s="413"/>
    </row>
    <row r="40" spans="1:6" hidden="1" x14ac:dyDescent="0.2">
      <c r="A40" s="409" t="s">
        <v>47</v>
      </c>
      <c r="B40" s="409"/>
      <c r="C40" s="409"/>
      <c r="D40" s="409"/>
      <c r="E40" s="409"/>
    </row>
    <row r="41" spans="1:6" hidden="1" x14ac:dyDescent="0.2">
      <c r="A41" s="410" t="s">
        <v>48</v>
      </c>
      <c r="B41" s="410"/>
      <c r="C41" s="410"/>
      <c r="D41" s="410"/>
      <c r="E41" s="410"/>
    </row>
    <row r="42" spans="1:6" ht="27" customHeight="1" x14ac:dyDescent="0.2">
      <c r="A42" s="416" t="s">
        <v>49</v>
      </c>
      <c r="B42" s="417"/>
      <c r="C42" s="417"/>
      <c r="D42" s="418"/>
      <c r="E42" s="398">
        <f>(IF(AND(A33="X",Parâmetros!J75=25),1.35,IF(A31="X",IF(E43&lt;&gt;"",GetParmFSW(E43,16),1),1)))</f>
        <v>1</v>
      </c>
    </row>
    <row r="43" spans="1:6" ht="27" customHeight="1" x14ac:dyDescent="0.2">
      <c r="A43" s="419" t="s">
        <v>50</v>
      </c>
      <c r="B43" s="419"/>
      <c r="C43" s="419"/>
      <c r="D43" s="419"/>
      <c r="E43" s="397" t="s">
        <v>525</v>
      </c>
      <c r="F43" s="408"/>
    </row>
    <row r="44" spans="1:6" hidden="1" x14ac:dyDescent="0.2">
      <c r="A44" s="409" t="s">
        <v>51</v>
      </c>
      <c r="B44" s="409"/>
      <c r="C44" s="409"/>
      <c r="D44" s="409"/>
      <c r="E44" s="409"/>
      <c r="F44" s="408"/>
    </row>
    <row r="45" spans="1:6" hidden="1" x14ac:dyDescent="0.2">
      <c r="A45" s="414"/>
      <c r="B45" s="414"/>
      <c r="C45" s="414"/>
      <c r="D45" s="414"/>
      <c r="E45" s="414"/>
      <c r="F45" s="408"/>
    </row>
    <row r="46" spans="1:6" hidden="1" x14ac:dyDescent="0.2">
      <c r="A46" s="414"/>
      <c r="B46" s="414"/>
      <c r="C46" s="414"/>
      <c r="D46" s="414"/>
      <c r="E46" s="414"/>
      <c r="F46" s="408"/>
    </row>
    <row r="47" spans="1:6" hidden="1" x14ac:dyDescent="0.2">
      <c r="A47" s="414"/>
      <c r="B47" s="414"/>
      <c r="C47" s="414"/>
      <c r="D47" s="414"/>
      <c r="E47" s="414"/>
      <c r="F47" s="408"/>
    </row>
    <row r="48" spans="1:6" hidden="1" x14ac:dyDescent="0.2">
      <c r="A48" s="409" t="s">
        <v>52</v>
      </c>
      <c r="B48" s="409"/>
      <c r="C48" s="409"/>
      <c r="D48" s="409"/>
      <c r="E48" s="409"/>
      <c r="F48" s="408"/>
    </row>
    <row r="49" spans="1:6" hidden="1" x14ac:dyDescent="0.2">
      <c r="A49" s="105"/>
      <c r="B49" s="415" t="s">
        <v>53</v>
      </c>
      <c r="C49" s="415"/>
      <c r="D49" s="415"/>
      <c r="E49" s="415"/>
      <c r="F49" s="408"/>
    </row>
    <row r="50" spans="1:6" hidden="1" x14ac:dyDescent="0.2">
      <c r="A50" s="105"/>
      <c r="B50" s="415" t="s">
        <v>54</v>
      </c>
      <c r="C50" s="415"/>
      <c r="D50" s="415"/>
      <c r="E50" s="415"/>
    </row>
    <row r="51" spans="1:6" hidden="1" x14ac:dyDescent="0.2">
      <c r="A51" s="105"/>
      <c r="B51" s="415" t="s">
        <v>55</v>
      </c>
      <c r="C51" s="415"/>
      <c r="D51" s="415"/>
      <c r="E51" s="415"/>
    </row>
    <row r="52" spans="1:6" hidden="1" x14ac:dyDescent="0.2">
      <c r="A52" s="105"/>
      <c r="B52" s="415" t="s">
        <v>56</v>
      </c>
      <c r="C52" s="415"/>
      <c r="D52" s="415"/>
      <c r="E52" s="415"/>
    </row>
    <row r="53" spans="1:6" hidden="1" x14ac:dyDescent="0.2">
      <c r="A53" s="105"/>
      <c r="B53" s="415" t="s">
        <v>57</v>
      </c>
      <c r="C53" s="415"/>
      <c r="D53" s="415"/>
      <c r="E53" s="415"/>
    </row>
    <row r="54" spans="1:6" ht="15.75" x14ac:dyDescent="0.25">
      <c r="A54" s="455" t="s">
        <v>58</v>
      </c>
      <c r="B54" s="455"/>
      <c r="C54" s="455"/>
      <c r="D54" s="455"/>
      <c r="E54" s="455"/>
    </row>
    <row r="55" spans="1:6" x14ac:dyDescent="0.2">
      <c r="A55" s="415" t="s">
        <v>59</v>
      </c>
      <c r="B55" s="415"/>
      <c r="C55" s="415"/>
      <c r="D55" s="414"/>
      <c r="E55" s="414"/>
    </row>
    <row r="56" spans="1:6" x14ac:dyDescent="0.2">
      <c r="A56" s="409" t="s">
        <v>60</v>
      </c>
      <c r="B56" s="409"/>
      <c r="C56" s="409"/>
      <c r="D56" s="409"/>
      <c r="E56" s="409"/>
    </row>
    <row r="57" spans="1:6" ht="40.5" customHeight="1" x14ac:dyDescent="0.2">
      <c r="A57" s="6" t="s">
        <v>61</v>
      </c>
      <c r="B57" s="5" t="s">
        <v>62</v>
      </c>
      <c r="C57" s="7" t="s">
        <v>63</v>
      </c>
      <c r="D57" s="7" t="s">
        <v>64</v>
      </c>
      <c r="E57" s="7" t="s">
        <v>65</v>
      </c>
    </row>
    <row r="58" spans="1:6" x14ac:dyDescent="0.2">
      <c r="A58" s="136" t="s">
        <v>66</v>
      </c>
      <c r="B58" s="98"/>
      <c r="C58" s="99"/>
      <c r="D58" s="100"/>
      <c r="E58" s="101"/>
    </row>
    <row r="59" spans="1:6" x14ac:dyDescent="0.2">
      <c r="A59" s="136" t="s">
        <v>67</v>
      </c>
      <c r="B59" s="98"/>
      <c r="C59" s="102"/>
      <c r="D59" s="100"/>
      <c r="E59" s="101"/>
    </row>
    <row r="60" spans="1:6" x14ac:dyDescent="0.2">
      <c r="A60" s="136" t="s">
        <v>68</v>
      </c>
      <c r="B60" s="98"/>
      <c r="C60" s="102"/>
      <c r="D60" s="100"/>
      <c r="E60" s="101"/>
    </row>
    <row r="61" spans="1:6" x14ac:dyDescent="0.2">
      <c r="A61" s="136" t="s">
        <v>69</v>
      </c>
      <c r="B61" s="98"/>
      <c r="C61" s="102"/>
      <c r="D61" s="100"/>
      <c r="E61" s="101"/>
    </row>
    <row r="62" spans="1:6" x14ac:dyDescent="0.2">
      <c r="A62" s="136" t="s">
        <v>70</v>
      </c>
      <c r="B62" s="98"/>
      <c r="C62" s="102"/>
      <c r="D62" s="100"/>
      <c r="E62" s="101"/>
    </row>
    <row r="63" spans="1:6" x14ac:dyDescent="0.2">
      <c r="A63" s="136" t="s">
        <v>71</v>
      </c>
      <c r="B63" s="98"/>
      <c r="C63" s="102"/>
      <c r="D63" s="100"/>
      <c r="E63" s="101"/>
    </row>
    <row r="64" spans="1:6" x14ac:dyDescent="0.2">
      <c r="A64" s="136" t="s">
        <v>72</v>
      </c>
      <c r="B64" s="98"/>
      <c r="C64" s="102"/>
      <c r="D64" s="100"/>
      <c r="E64" s="101"/>
    </row>
    <row r="65" spans="1:5" x14ac:dyDescent="0.2">
      <c r="A65" s="136" t="s">
        <v>73</v>
      </c>
      <c r="B65" s="98"/>
      <c r="C65" s="102"/>
      <c r="D65" s="100"/>
      <c r="E65" s="101"/>
    </row>
    <row r="66" spans="1:5" x14ac:dyDescent="0.2">
      <c r="A66" s="136" t="s">
        <v>74</v>
      </c>
      <c r="B66" s="98"/>
      <c r="C66" s="102"/>
      <c r="D66" s="100"/>
      <c r="E66" s="101"/>
    </row>
    <row r="67" spans="1:5" x14ac:dyDescent="0.2">
      <c r="A67" s="136" t="s">
        <v>75</v>
      </c>
      <c r="B67" s="98"/>
      <c r="C67" s="102"/>
      <c r="D67" s="100"/>
      <c r="E67" s="101"/>
    </row>
    <row r="68" spans="1:5" x14ac:dyDescent="0.2">
      <c r="A68" s="136" t="s">
        <v>76</v>
      </c>
      <c r="B68" s="98"/>
      <c r="C68" s="102"/>
      <c r="D68" s="100"/>
      <c r="E68" s="101"/>
    </row>
    <row r="69" spans="1:5" x14ac:dyDescent="0.2">
      <c r="A69" s="392" t="s">
        <v>77</v>
      </c>
      <c r="B69" s="98"/>
      <c r="C69" s="102"/>
      <c r="D69" s="100"/>
      <c r="E69" s="101"/>
    </row>
    <row r="70" spans="1:5" x14ac:dyDescent="0.2">
      <c r="A70" s="136" t="s">
        <v>78</v>
      </c>
      <c r="B70" s="98"/>
      <c r="C70" s="102"/>
      <c r="D70" s="100"/>
      <c r="E70" s="101"/>
    </row>
    <row r="71" spans="1:5" x14ac:dyDescent="0.2">
      <c r="A71" s="136" t="s">
        <v>79</v>
      </c>
      <c r="B71" s="98"/>
      <c r="C71" s="102"/>
      <c r="D71" s="100"/>
      <c r="E71" s="101"/>
    </row>
    <row r="72" spans="1:5" x14ac:dyDescent="0.2">
      <c r="A72" s="136" t="s">
        <v>80</v>
      </c>
      <c r="B72" s="98"/>
      <c r="C72" s="102"/>
      <c r="D72" s="100"/>
      <c r="E72" s="101"/>
    </row>
    <row r="73" spans="1:5" x14ac:dyDescent="0.2">
      <c r="A73" s="450" t="s">
        <v>81</v>
      </c>
      <c r="B73" s="450"/>
      <c r="C73" s="450"/>
      <c r="D73" s="450"/>
      <c r="E73" s="450"/>
    </row>
    <row r="74" spans="1:5" ht="25.5" x14ac:dyDescent="0.2">
      <c r="A74" s="6" t="s">
        <v>61</v>
      </c>
      <c r="B74" s="453" t="s">
        <v>82</v>
      </c>
      <c r="C74" s="453"/>
      <c r="D74" s="8" t="s">
        <v>63</v>
      </c>
      <c r="E74" s="7" t="s">
        <v>65</v>
      </c>
    </row>
    <row r="75" spans="1:5" x14ac:dyDescent="0.2">
      <c r="A75" s="137" t="s">
        <v>66</v>
      </c>
      <c r="B75" s="452" t="s">
        <v>1028</v>
      </c>
      <c r="C75" s="452"/>
      <c r="D75" s="394"/>
      <c r="E75" s="395"/>
    </row>
    <row r="76" spans="1:5" x14ac:dyDescent="0.2">
      <c r="A76" s="137" t="s">
        <v>67</v>
      </c>
      <c r="B76" s="452"/>
      <c r="C76" s="452"/>
      <c r="D76" s="394"/>
      <c r="E76" s="395"/>
    </row>
    <row r="77" spans="1:5" x14ac:dyDescent="0.2">
      <c r="A77" s="137" t="s">
        <v>68</v>
      </c>
      <c r="B77" s="452"/>
      <c r="C77" s="452"/>
      <c r="D77" s="394"/>
      <c r="E77" s="395"/>
    </row>
    <row r="78" spans="1:5" x14ac:dyDescent="0.2">
      <c r="A78" s="137" t="s">
        <v>69</v>
      </c>
      <c r="B78" s="452"/>
      <c r="C78" s="452"/>
      <c r="D78" s="394"/>
      <c r="E78" s="395"/>
    </row>
    <row r="79" spans="1:5" x14ac:dyDescent="0.2">
      <c r="A79" s="450" t="s">
        <v>83</v>
      </c>
      <c r="B79" s="450"/>
      <c r="C79" s="450"/>
      <c r="D79" s="450"/>
      <c r="E79" s="450"/>
    </row>
    <row r="80" spans="1:5" x14ac:dyDescent="0.2">
      <c r="A80" s="413"/>
      <c r="B80" s="413"/>
      <c r="C80" s="413"/>
      <c r="D80" s="413"/>
      <c r="E80" s="413"/>
    </row>
    <row r="81" spans="1:5" x14ac:dyDescent="0.2">
      <c r="A81" s="413"/>
      <c r="B81" s="413"/>
      <c r="C81" s="413"/>
      <c r="D81" s="413"/>
      <c r="E81" s="413"/>
    </row>
    <row r="82" spans="1:5" x14ac:dyDescent="0.2">
      <c r="A82" s="413"/>
      <c r="B82" s="413"/>
      <c r="C82" s="413"/>
      <c r="D82" s="413"/>
      <c r="E82" s="413"/>
    </row>
    <row r="83" spans="1:5" x14ac:dyDescent="0.2">
      <c r="A83" s="413"/>
      <c r="B83" s="413"/>
      <c r="C83" s="413"/>
      <c r="D83" s="413"/>
      <c r="E83" s="413"/>
    </row>
    <row r="84" spans="1:5" x14ac:dyDescent="0.2">
      <c r="A84" s="92"/>
      <c r="B84" s="92"/>
      <c r="C84" s="92"/>
      <c r="D84" s="92"/>
      <c r="E84" s="92"/>
    </row>
    <row r="85" spans="1:5" x14ac:dyDescent="0.2">
      <c r="A85" s="462" t="s">
        <v>84</v>
      </c>
      <c r="B85" s="463"/>
      <c r="C85" s="463"/>
      <c r="D85" s="463"/>
      <c r="E85" s="464"/>
    </row>
    <row r="86" spans="1:5" x14ac:dyDescent="0.2">
      <c r="A86" s="449" t="s">
        <v>85</v>
      </c>
      <c r="B86" s="450"/>
      <c r="C86" s="450"/>
      <c r="D86" s="450"/>
      <c r="E86" s="451"/>
    </row>
    <row r="87" spans="1:5" x14ac:dyDescent="0.2">
      <c r="A87" s="456"/>
      <c r="B87" s="413"/>
      <c r="C87" s="413"/>
      <c r="D87" s="413"/>
      <c r="E87" s="457"/>
    </row>
    <row r="88" spans="1:5" x14ac:dyDescent="0.2">
      <c r="A88" s="456"/>
      <c r="B88" s="413"/>
      <c r="C88" s="413"/>
      <c r="D88" s="413"/>
      <c r="E88" s="457"/>
    </row>
    <row r="89" spans="1:5" x14ac:dyDescent="0.2">
      <c r="A89" s="456"/>
      <c r="B89" s="413"/>
      <c r="C89" s="413"/>
      <c r="D89" s="413"/>
      <c r="E89" s="457"/>
    </row>
    <row r="90" spans="1:5" x14ac:dyDescent="0.2">
      <c r="A90" s="456"/>
      <c r="B90" s="413"/>
      <c r="C90" s="413"/>
      <c r="D90" s="413"/>
      <c r="E90" s="457"/>
    </row>
    <row r="91" spans="1:5" x14ac:dyDescent="0.2">
      <c r="A91" s="449" t="s">
        <v>86</v>
      </c>
      <c r="B91" s="450"/>
      <c r="C91" s="450"/>
      <c r="D91" s="450"/>
      <c r="E91" s="451"/>
    </row>
    <row r="92" spans="1:5" x14ac:dyDescent="0.2">
      <c r="A92" s="456"/>
      <c r="B92" s="413"/>
      <c r="C92" s="413"/>
      <c r="D92" s="413"/>
      <c r="E92" s="457"/>
    </row>
    <row r="93" spans="1:5" x14ac:dyDescent="0.2">
      <c r="A93" s="456"/>
      <c r="B93" s="413"/>
      <c r="C93" s="413"/>
      <c r="D93" s="413"/>
      <c r="E93" s="457"/>
    </row>
    <row r="94" spans="1:5" x14ac:dyDescent="0.2">
      <c r="A94" s="456"/>
      <c r="B94" s="413"/>
      <c r="C94" s="413"/>
      <c r="D94" s="413"/>
      <c r="E94" s="457"/>
    </row>
    <row r="95" spans="1:5" hidden="1" x14ac:dyDescent="0.2">
      <c r="A95" s="449" t="s">
        <v>87</v>
      </c>
      <c r="B95" s="450"/>
      <c r="C95" s="450"/>
      <c r="D95" s="450"/>
      <c r="E95" s="451"/>
    </row>
    <row r="96" spans="1:5" hidden="1" x14ac:dyDescent="0.2">
      <c r="A96" s="93" t="s">
        <v>88</v>
      </c>
      <c r="B96" s="104"/>
      <c r="C96" s="94" t="s">
        <v>89</v>
      </c>
      <c r="D96" s="460"/>
      <c r="E96" s="461"/>
    </row>
    <row r="97" spans="1:6" ht="13.5" thickBot="1" x14ac:dyDescent="0.25"/>
    <row r="98" spans="1:6" ht="13.5" thickBot="1" x14ac:dyDescent="0.25">
      <c r="A98" s="458" t="s">
        <v>90</v>
      </c>
      <c r="B98" s="459"/>
      <c r="C98" s="155">
        <v>1</v>
      </c>
    </row>
    <row r="99" spans="1:6" x14ac:dyDescent="0.2"/>
    <row r="100" spans="1:6" ht="12.75" customHeight="1" x14ac:dyDescent="0.2">
      <c r="A100" s="454" t="s">
        <v>91</v>
      </c>
      <c r="B100" s="454"/>
      <c r="C100" s="454"/>
      <c r="D100" s="454"/>
      <c r="E100" s="454"/>
      <c r="F100" s="454"/>
    </row>
    <row r="101" spans="1:6" ht="12.75" customHeight="1" x14ac:dyDescent="0.2">
      <c r="A101" s="454"/>
      <c r="B101" s="454"/>
      <c r="C101" s="454"/>
      <c r="D101" s="454"/>
      <c r="E101" s="454"/>
      <c r="F101" s="454"/>
    </row>
    <row r="102" spans="1:6" x14ac:dyDescent="0.2">
      <c r="A102" s="454"/>
      <c r="B102" s="454"/>
      <c r="C102" s="454"/>
      <c r="D102" s="454"/>
      <c r="E102" s="454"/>
      <c r="F102" s="454"/>
    </row>
    <row r="103" spans="1:6" x14ac:dyDescent="0.2"/>
    <row r="104" spans="1:6" x14ac:dyDescent="0.2"/>
    <row r="105" spans="1:6" x14ac:dyDescent="0.2"/>
    <row r="144" x14ac:dyDescent="0.2"/>
    <row r="149" x14ac:dyDescent="0.2"/>
    <row r="229" x14ac:dyDescent="0.2"/>
    <row r="245" x14ac:dyDescent="0.2"/>
    <row r="256" x14ac:dyDescent="0.2"/>
    <row r="257" spans="3:3" x14ac:dyDescent="0.2"/>
    <row r="261" spans="3:3" hidden="1" x14ac:dyDescent="0.2">
      <c r="C261" s="351"/>
    </row>
    <row r="262" spans="3:3" x14ac:dyDescent="0.2"/>
    <row r="263" spans="3:3" x14ac:dyDescent="0.2"/>
  </sheetData>
  <sheetProtection algorithmName="SHA-512" hashValue="QoPWaI1DqUvEgoblO5ab51EeJtdlq1EnTpdTsrkfbMGtv8xh/us66P9SGsYhBkOMAvZqUa7PdNFpu2KfPK9jig==" saltValue="PrbJA060zK9rBE4hq0al5w==" spinCount="100000" sheet="1" objects="1" scenarios="1" formatCells="0" formatColumns="0" formatRows="0" selectLockedCells="1" autoFilter="0"/>
  <mergeCells count="83">
    <mergeCell ref="A100:F102"/>
    <mergeCell ref="A44:E44"/>
    <mergeCell ref="B53:E53"/>
    <mergeCell ref="A55:C55"/>
    <mergeCell ref="D55:E55"/>
    <mergeCell ref="B78:C78"/>
    <mergeCell ref="B76:C76"/>
    <mergeCell ref="A54:E54"/>
    <mergeCell ref="B77:C77"/>
    <mergeCell ref="A87:E90"/>
    <mergeCell ref="A98:B98"/>
    <mergeCell ref="D96:E96"/>
    <mergeCell ref="A80:E83"/>
    <mergeCell ref="A85:E85"/>
    <mergeCell ref="A86:E86"/>
    <mergeCell ref="A92:E94"/>
    <mergeCell ref="A95:E95"/>
    <mergeCell ref="A91:E91"/>
    <mergeCell ref="B33:E33"/>
    <mergeCell ref="C35:D35"/>
    <mergeCell ref="A79:E79"/>
    <mergeCell ref="B50:E50"/>
    <mergeCell ref="B75:C75"/>
    <mergeCell ref="B74:C74"/>
    <mergeCell ref="B51:E51"/>
    <mergeCell ref="A73:E73"/>
    <mergeCell ref="B52:E52"/>
    <mergeCell ref="A56:E56"/>
    <mergeCell ref="A5:C5"/>
    <mergeCell ref="C14:E14"/>
    <mergeCell ref="B13:E13"/>
    <mergeCell ref="D5:E5"/>
    <mergeCell ref="A6:C6"/>
    <mergeCell ref="D6:E6"/>
    <mergeCell ref="A7:E7"/>
    <mergeCell ref="A9:B9"/>
    <mergeCell ref="A1:E1"/>
    <mergeCell ref="A2:E2"/>
    <mergeCell ref="B3:C3"/>
    <mergeCell ref="D3:E3"/>
    <mergeCell ref="B4:C4"/>
    <mergeCell ref="D4:E4"/>
    <mergeCell ref="D16:E16"/>
    <mergeCell ref="D17:E17"/>
    <mergeCell ref="D22:E22"/>
    <mergeCell ref="D19:E19"/>
    <mergeCell ref="A8:E8"/>
    <mergeCell ref="C15:E15"/>
    <mergeCell ref="A11:E11"/>
    <mergeCell ref="B12:E12"/>
    <mergeCell ref="A15:B15"/>
    <mergeCell ref="A10:B10"/>
    <mergeCell ref="D20:E20"/>
    <mergeCell ref="A21:E21"/>
    <mergeCell ref="D18:E18"/>
    <mergeCell ref="B32:E32"/>
    <mergeCell ref="B31:E31"/>
    <mergeCell ref="C36:D37"/>
    <mergeCell ref="A35:B35"/>
    <mergeCell ref="A34:E34"/>
    <mergeCell ref="B24:E24"/>
    <mergeCell ref="A23:E23"/>
    <mergeCell ref="B29:E29"/>
    <mergeCell ref="B27:E27"/>
    <mergeCell ref="B30:E30"/>
    <mergeCell ref="B25:E25"/>
    <mergeCell ref="B26:E26"/>
    <mergeCell ref="B28:E28"/>
    <mergeCell ref="F43:F49"/>
    <mergeCell ref="A48:E48"/>
    <mergeCell ref="A41:E41"/>
    <mergeCell ref="E36:E37"/>
    <mergeCell ref="A38:C38"/>
    <mergeCell ref="D38:E38"/>
    <mergeCell ref="A39:C39"/>
    <mergeCell ref="A46:E46"/>
    <mergeCell ref="B49:E49"/>
    <mergeCell ref="A42:D42"/>
    <mergeCell ref="A45:E45"/>
    <mergeCell ref="A43:D43"/>
    <mergeCell ref="A47:E47"/>
    <mergeCell ref="A40:E40"/>
    <mergeCell ref="D39:E39"/>
  </mergeCells>
  <phoneticPr fontId="22" type="noConversion"/>
  <dataValidations count="3">
    <dataValidation type="list" allowBlank="1" showInputMessage="1" showErrorMessage="1" sqref="E43">
      <formula1>FSW</formula1>
    </dataValidation>
    <dataValidation type="list" showInputMessage="1" showErrorMessage="1" errorTitle="Conteúdo inválido!" error="Campo 6a preenchido incorretamente!" promptTitle="6a. Vários RTCs?" prompt="Se a medição envolver mais de um RTC informe &quot;Sim&quot;. Caso contrário informe &quot;Não&quot;." sqref="C10">
      <formula1>" ,Sim,Não"</formula1>
    </dataValidation>
    <dataValidation allowBlank="1" showInputMessage="1" showErrorMessage="1" promptTitle="7. Número da Solicitação" prompt="Se somente um RTC, informe o número do RTC (no formato XXXXXXXX). Se mais de um RTC, preencha a aba Funções X RTC." sqref="D10"/>
  </dataValidations>
  <hyperlinks>
    <hyperlink ref="Z1" r:id="rId1" display="t@70+1X!Danh..."/>
  </hyperlinks>
  <pageMargins left="0.51180555555555551" right="0.08" top="0.78749999999999998" bottom="0.78749999999999998" header="0.51180555555555551" footer="0.51180555555555551"/>
  <pageSetup paperSize="9" scale="80" firstPageNumber="0" orientation="portrait" horizontalDpi="300" verticalDpi="300" r:id="rId2"/>
  <headerFooter alignWithMargins="0"/>
  <cellWatches>
    <cellWatch r="E43"/>
  </cellWatches>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dimension ref="A1:R32"/>
  <sheetViews>
    <sheetView showGridLines="0" zoomScale="90" zoomScaleNormal="90" workbookViewId="0">
      <selection activeCell="D21" sqref="D21"/>
    </sheetView>
  </sheetViews>
  <sheetFormatPr defaultColWidth="0" defaultRowHeight="12.75" zeroHeight="1" x14ac:dyDescent="0.2"/>
  <cols>
    <col min="1" max="2" width="9.42578125" customWidth="1"/>
    <col min="3" max="4" width="18.42578125" customWidth="1"/>
    <col min="5" max="5" width="7.5703125" customWidth="1"/>
    <col min="6" max="6" width="9.7109375" customWidth="1"/>
    <col min="7" max="7" width="7.5703125" customWidth="1"/>
    <col min="8" max="8" width="5.5703125" customWidth="1"/>
    <col min="9" max="9" width="19.5703125" customWidth="1"/>
    <col min="10" max="10" width="5.5703125" customWidth="1"/>
    <col min="11" max="11" width="19.5703125" customWidth="1"/>
    <col min="12" max="12" width="12.42578125" customWidth="1"/>
    <col min="13" max="13" width="6.140625" customWidth="1"/>
    <col min="14" max="14" width="9" customWidth="1"/>
    <col min="15" max="15" width="25.5703125" customWidth="1"/>
    <col min="16" max="18" width="9" hidden="1" customWidth="1"/>
    <col min="19" max="19" width="9.140625" customWidth="1"/>
  </cols>
  <sheetData>
    <row r="1" spans="1:18" x14ac:dyDescent="0.2">
      <c r="E1" s="171">
        <f>COUNTIF(E9:E26,"=I")</f>
        <v>0</v>
      </c>
    </row>
    <row r="2" spans="1:18" x14ac:dyDescent="0.2">
      <c r="E2" s="171">
        <f>COUNTIF(E9:E26,"=E")</f>
        <v>0</v>
      </c>
    </row>
    <row r="3" spans="1:18" x14ac:dyDescent="0.2">
      <c r="E3" s="171"/>
    </row>
    <row r="4" spans="1:18" ht="15.75" x14ac:dyDescent="0.25">
      <c r="A4" s="9" t="s">
        <v>92</v>
      </c>
      <c r="B4" s="465" t="s">
        <v>117</v>
      </c>
      <c r="C4" s="465"/>
      <c r="D4" s="465"/>
      <c r="E4" s="172" t="str">
        <f>IF(AND(OR(FSDMS!A26&lt;&gt;"",FSDMS!A27&lt;&gt;"",FSDMS!A28&lt;&gt;""),SUM(E1:E3)&gt;0),"Para propósito de contagem Adaptativa, Perfectiva ou Corretiva usar somente Status 'A'.","")</f>
        <v/>
      </c>
      <c r="F4" s="10"/>
      <c r="G4" s="10"/>
      <c r="H4" s="11"/>
      <c r="I4" s="12"/>
      <c r="P4" s="131">
        <f>(IF(FSDMS!E43&lt;&gt;"",GetParmFSW(FSDMS!E43,15),""))</f>
        <v>3</v>
      </c>
    </row>
    <row r="5" spans="1:18" ht="16.5" thickBot="1" x14ac:dyDescent="0.3">
      <c r="A5" s="466"/>
      <c r="B5" s="466"/>
      <c r="C5" s="466"/>
      <c r="D5" s="466"/>
      <c r="E5" s="466"/>
      <c r="F5" s="466"/>
      <c r="G5" s="466"/>
      <c r="H5" s="466"/>
      <c r="I5" s="466"/>
    </row>
    <row r="6" spans="1:18" ht="13.5" thickBot="1" x14ac:dyDescent="0.25">
      <c r="A6" s="467" t="s">
        <v>93</v>
      </c>
      <c r="B6" s="467"/>
      <c r="C6" s="467"/>
      <c r="D6" s="467"/>
      <c r="E6" s="468"/>
      <c r="F6" s="468"/>
      <c r="G6" s="468"/>
      <c r="H6" s="468"/>
      <c r="I6" s="468"/>
      <c r="J6" s="468"/>
      <c r="K6" s="468"/>
      <c r="L6" s="468"/>
      <c r="M6" s="468"/>
      <c r="N6" s="468"/>
      <c r="O6" s="468"/>
    </row>
    <row r="7" spans="1:18" ht="25.5" customHeight="1" x14ac:dyDescent="0.2">
      <c r="A7" s="469" t="s">
        <v>94</v>
      </c>
      <c r="B7" s="469" t="s">
        <v>95</v>
      </c>
      <c r="C7" s="469" t="s">
        <v>96</v>
      </c>
      <c r="D7" s="471" t="s">
        <v>97</v>
      </c>
      <c r="E7" s="473" t="s">
        <v>98</v>
      </c>
      <c r="F7" s="473" t="s">
        <v>99</v>
      </c>
      <c r="G7" s="475" t="s">
        <v>100</v>
      </c>
      <c r="H7" s="481" t="s">
        <v>101</v>
      </c>
      <c r="I7" s="482"/>
      <c r="J7" s="481" t="s">
        <v>102</v>
      </c>
      <c r="K7" s="482"/>
      <c r="L7" s="483" t="s">
        <v>103</v>
      </c>
      <c r="M7" s="477" t="s">
        <v>104</v>
      </c>
      <c r="N7" s="477" t="s">
        <v>105</v>
      </c>
      <c r="O7" s="479" t="s">
        <v>106</v>
      </c>
      <c r="P7" s="328" t="s">
        <v>107</v>
      </c>
      <c r="Q7" s="328" t="s">
        <v>108</v>
      </c>
      <c r="R7" s="328" t="s">
        <v>109</v>
      </c>
    </row>
    <row r="8" spans="1:18" ht="13.5" thickBot="1" x14ac:dyDescent="0.25">
      <c r="A8" s="470"/>
      <c r="B8" s="470"/>
      <c r="C8" s="470"/>
      <c r="D8" s="472"/>
      <c r="E8" s="474"/>
      <c r="F8" s="474"/>
      <c r="G8" s="476"/>
      <c r="H8" s="97" t="s">
        <v>110</v>
      </c>
      <c r="I8" s="96" t="s">
        <v>111</v>
      </c>
      <c r="J8" s="95" t="s">
        <v>110</v>
      </c>
      <c r="K8" s="96" t="s">
        <v>111</v>
      </c>
      <c r="L8" s="484"/>
      <c r="M8" s="478"/>
      <c r="N8" s="478"/>
      <c r="O8" s="480"/>
      <c r="P8" s="132">
        <f>SUM(P9:P65536)</f>
        <v>0</v>
      </c>
      <c r="Q8" s="132">
        <f>SUM(Q9:Q65536)</f>
        <v>0</v>
      </c>
      <c r="R8" s="131"/>
    </row>
    <row r="9" spans="1:18" ht="25.5" customHeight="1" x14ac:dyDescent="0.2">
      <c r="A9" s="336"/>
      <c r="B9" s="336"/>
      <c r="C9" s="336"/>
      <c r="D9" s="336"/>
      <c r="E9" s="331"/>
      <c r="F9" s="331"/>
      <c r="G9" s="331"/>
      <c r="H9" s="347"/>
      <c r="I9" s="337"/>
      <c r="J9" s="347"/>
      <c r="K9" s="337"/>
      <c r="L9" s="344" t="str">
        <f>apf($G9,$H9,$J9,$B$4,0)</f>
        <v>N/A</v>
      </c>
      <c r="M9" s="332">
        <f>apf($G9,$H9,$J9,$B$4,1)</f>
        <v>0</v>
      </c>
      <c r="N9" s="333"/>
      <c r="O9" s="335"/>
      <c r="P9" s="329">
        <f>IF(AND(G9="AIE",OR($P$4=1,$P$4=2,$P$4=4)),0,IF(OR(E9="I",E9="E",E9="A"),M9,0))</f>
        <v>0</v>
      </c>
      <c r="Q9" s="329">
        <f>IF(AND(P9&lt;&gt;0,F9&lt;&gt;"",F9&lt;&gt;"NA"),IF(F9="A",N9,M9),0)</f>
        <v>0</v>
      </c>
      <c r="R9" s="329" t="str">
        <f>G9&amp;L9</f>
        <v>N/A</v>
      </c>
    </row>
    <row r="10" spans="1:18" ht="20.100000000000001" customHeight="1" x14ac:dyDescent="0.2">
      <c r="A10" s="336"/>
      <c r="B10" s="336"/>
      <c r="C10" s="336"/>
      <c r="D10" s="336"/>
      <c r="E10" s="331"/>
      <c r="F10" s="331"/>
      <c r="G10" s="331"/>
      <c r="H10" s="347"/>
      <c r="I10" s="337"/>
      <c r="J10" s="347"/>
      <c r="K10" s="337"/>
      <c r="L10" s="344" t="str">
        <f t="shared" ref="L10:L25" si="0">apf($G10,$H10,$J10,$B$4,0)</f>
        <v>N/A</v>
      </c>
      <c r="M10" s="332">
        <f t="shared" ref="M10:M25" si="1">apf($G10,$H10,$J10,$B$4,1)</f>
        <v>0</v>
      </c>
      <c r="N10" s="333"/>
      <c r="O10" s="335"/>
      <c r="P10" s="329">
        <f t="shared" ref="P10:P24" si="2">IF(AND(G10="AIE",OR($P$4=1,$P$4=2,$P$4=4)),0,IF(OR(E10="I",E10="E",E10="A"),M10,0))</f>
        <v>0</v>
      </c>
      <c r="Q10" s="329">
        <f t="shared" ref="Q10:Q24" si="3">IF(AND(P10&lt;&gt;0,F10&lt;&gt;"",F10&lt;&gt;"NA"),IF(F10="A",N10,M10),0)</f>
        <v>0</v>
      </c>
      <c r="R10" s="329" t="str">
        <f t="shared" ref="R10:R24" si="4">G10&amp;L10</f>
        <v>N/A</v>
      </c>
    </row>
    <row r="11" spans="1:18" ht="24.75" customHeight="1" x14ac:dyDescent="0.2">
      <c r="A11" s="336"/>
      <c r="B11" s="336"/>
      <c r="C11" s="336"/>
      <c r="D11" s="336"/>
      <c r="E11" s="331"/>
      <c r="F11" s="331"/>
      <c r="G11" s="331"/>
      <c r="H11" s="347"/>
      <c r="I11" s="337"/>
      <c r="J11" s="347"/>
      <c r="K11" s="338"/>
      <c r="L11" s="344" t="str">
        <f t="shared" si="0"/>
        <v>N/A</v>
      </c>
      <c r="M11" s="332">
        <f t="shared" si="1"/>
        <v>0</v>
      </c>
      <c r="N11" s="333"/>
      <c r="O11" s="335"/>
      <c r="P11" s="329">
        <f t="shared" si="2"/>
        <v>0</v>
      </c>
      <c r="Q11" s="329">
        <f t="shared" si="3"/>
        <v>0</v>
      </c>
      <c r="R11" s="329" t="str">
        <f t="shared" si="4"/>
        <v>N/A</v>
      </c>
    </row>
    <row r="12" spans="1:18" ht="20.100000000000001" customHeight="1" x14ac:dyDescent="0.2">
      <c r="A12" s="336"/>
      <c r="B12" s="336"/>
      <c r="C12" s="336"/>
      <c r="D12" s="336"/>
      <c r="E12" s="331"/>
      <c r="F12" s="331"/>
      <c r="G12" s="331"/>
      <c r="H12" s="347"/>
      <c r="I12" s="337"/>
      <c r="J12" s="347"/>
      <c r="K12" s="337"/>
      <c r="L12" s="344" t="str">
        <f t="shared" si="0"/>
        <v>N/A</v>
      </c>
      <c r="M12" s="332">
        <f t="shared" si="1"/>
        <v>0</v>
      </c>
      <c r="N12" s="333"/>
      <c r="O12" s="335"/>
      <c r="P12" s="329">
        <f t="shared" si="2"/>
        <v>0</v>
      </c>
      <c r="Q12" s="329">
        <f t="shared" si="3"/>
        <v>0</v>
      </c>
      <c r="R12" s="329" t="str">
        <f t="shared" si="4"/>
        <v>N/A</v>
      </c>
    </row>
    <row r="13" spans="1:18" ht="21" customHeight="1" x14ac:dyDescent="0.2">
      <c r="A13" s="336"/>
      <c r="B13" s="336"/>
      <c r="C13" s="336"/>
      <c r="D13" s="336"/>
      <c r="E13" s="331"/>
      <c r="F13" s="331"/>
      <c r="G13" s="331"/>
      <c r="H13" s="347"/>
      <c r="I13" s="337"/>
      <c r="J13" s="347"/>
      <c r="K13" s="338"/>
      <c r="L13" s="344" t="str">
        <f t="shared" si="0"/>
        <v>N/A</v>
      </c>
      <c r="M13" s="332">
        <f t="shared" si="1"/>
        <v>0</v>
      </c>
      <c r="N13" s="333"/>
      <c r="O13" s="335"/>
      <c r="P13" s="329">
        <f t="shared" si="2"/>
        <v>0</v>
      </c>
      <c r="Q13" s="329">
        <f t="shared" si="3"/>
        <v>0</v>
      </c>
      <c r="R13" s="329" t="str">
        <f t="shared" si="4"/>
        <v>N/A</v>
      </c>
    </row>
    <row r="14" spans="1:18" ht="20.100000000000001" customHeight="1" x14ac:dyDescent="0.2">
      <c r="A14" s="339"/>
      <c r="B14" s="339"/>
      <c r="C14" s="339"/>
      <c r="D14" s="339"/>
      <c r="E14" s="331"/>
      <c r="F14" s="331"/>
      <c r="G14" s="331"/>
      <c r="H14" s="347"/>
      <c r="I14" s="337"/>
      <c r="J14" s="347"/>
      <c r="K14" s="338"/>
      <c r="L14" s="344" t="str">
        <f t="shared" si="0"/>
        <v>N/A</v>
      </c>
      <c r="M14" s="332">
        <f t="shared" si="1"/>
        <v>0</v>
      </c>
      <c r="N14" s="333"/>
      <c r="O14" s="335"/>
      <c r="P14" s="329">
        <f t="shared" si="2"/>
        <v>0</v>
      </c>
      <c r="Q14" s="329">
        <f t="shared" si="3"/>
        <v>0</v>
      </c>
      <c r="R14" s="329" t="str">
        <f t="shared" si="4"/>
        <v>N/A</v>
      </c>
    </row>
    <row r="15" spans="1:18" ht="20.100000000000001" customHeight="1" x14ac:dyDescent="0.2">
      <c r="A15" s="339"/>
      <c r="B15" s="339"/>
      <c r="C15" s="339"/>
      <c r="D15" s="339"/>
      <c r="E15" s="331"/>
      <c r="F15" s="331"/>
      <c r="G15" s="331"/>
      <c r="H15" s="347"/>
      <c r="I15" s="337"/>
      <c r="J15" s="347"/>
      <c r="K15" s="337"/>
      <c r="L15" s="344" t="str">
        <f t="shared" si="0"/>
        <v>N/A</v>
      </c>
      <c r="M15" s="332">
        <f t="shared" si="1"/>
        <v>0</v>
      </c>
      <c r="N15" s="333"/>
      <c r="O15" s="335"/>
      <c r="P15" s="329">
        <f t="shared" si="2"/>
        <v>0</v>
      </c>
      <c r="Q15" s="329">
        <f t="shared" si="3"/>
        <v>0</v>
      </c>
      <c r="R15" s="329" t="str">
        <f t="shared" si="4"/>
        <v>N/A</v>
      </c>
    </row>
    <row r="16" spans="1:18" ht="20.100000000000001" customHeight="1" x14ac:dyDescent="0.2">
      <c r="A16" s="339"/>
      <c r="B16" s="339"/>
      <c r="C16" s="339"/>
      <c r="D16" s="339"/>
      <c r="E16" s="331"/>
      <c r="F16" s="331"/>
      <c r="G16" s="331"/>
      <c r="H16" s="347"/>
      <c r="I16" s="337"/>
      <c r="J16" s="347"/>
      <c r="K16" s="338"/>
      <c r="L16" s="344" t="str">
        <f t="shared" si="0"/>
        <v>N/A</v>
      </c>
      <c r="M16" s="332">
        <f t="shared" si="1"/>
        <v>0</v>
      </c>
      <c r="N16" s="333"/>
      <c r="O16" s="335"/>
      <c r="P16" s="329">
        <f t="shared" si="2"/>
        <v>0</v>
      </c>
      <c r="Q16" s="329">
        <f t="shared" si="3"/>
        <v>0</v>
      </c>
      <c r="R16" s="329" t="str">
        <f t="shared" si="4"/>
        <v>N/A</v>
      </c>
    </row>
    <row r="17" spans="1:18" ht="20.100000000000001" customHeight="1" x14ac:dyDescent="0.2">
      <c r="A17" s="339"/>
      <c r="B17" s="339"/>
      <c r="C17" s="339"/>
      <c r="D17" s="339"/>
      <c r="E17" s="331"/>
      <c r="F17" s="331"/>
      <c r="G17" s="331"/>
      <c r="H17" s="347"/>
      <c r="I17" s="337"/>
      <c r="J17" s="347"/>
      <c r="K17" s="338"/>
      <c r="L17" s="344" t="str">
        <f t="shared" si="0"/>
        <v>N/A</v>
      </c>
      <c r="M17" s="332">
        <f t="shared" si="1"/>
        <v>0</v>
      </c>
      <c r="N17" s="333"/>
      <c r="O17" s="335"/>
      <c r="P17" s="329">
        <f>IF(AND(G17="AIE",OR($P$4=1,$P$4=2,$P$4=4)),0,IF(OR(E17="I",E17="E",E17="A"),M17,0))</f>
        <v>0</v>
      </c>
      <c r="Q17" s="329">
        <f>IF(AND(P17&lt;&gt;0,F17&lt;&gt;"",F17&lt;&gt;"NA"),IF(F17="A",N17,M17),0)</f>
        <v>0</v>
      </c>
      <c r="R17" s="329" t="str">
        <f>G17&amp;L17</f>
        <v>N/A</v>
      </c>
    </row>
    <row r="18" spans="1:18" ht="20.100000000000001" customHeight="1" x14ac:dyDescent="0.2">
      <c r="A18" s="339"/>
      <c r="B18" s="339"/>
      <c r="C18" s="339"/>
      <c r="D18" s="339"/>
      <c r="E18" s="331"/>
      <c r="F18" s="331"/>
      <c r="G18" s="331"/>
      <c r="H18" s="347"/>
      <c r="I18" s="337"/>
      <c r="J18" s="347"/>
      <c r="K18" s="338"/>
      <c r="L18" s="344" t="str">
        <f t="shared" si="0"/>
        <v>N/A</v>
      </c>
      <c r="M18" s="332">
        <f t="shared" si="1"/>
        <v>0</v>
      </c>
      <c r="N18" s="333"/>
      <c r="O18" s="335"/>
      <c r="P18" s="329">
        <f>IF(AND(G18="AIE",OR($P$4=1,$P$4=2,$P$4=4)),0,IF(OR(E18="I",E18="E",E18="A"),M18,0))</f>
        <v>0</v>
      </c>
      <c r="Q18" s="329">
        <f>IF(AND(P18&lt;&gt;0,F18&lt;&gt;"",F18&lt;&gt;"NA"),IF(F18="A",N18,M18),0)</f>
        <v>0</v>
      </c>
      <c r="R18" s="329" t="str">
        <f>G18&amp;L18</f>
        <v>N/A</v>
      </c>
    </row>
    <row r="19" spans="1:18" ht="20.100000000000001" customHeight="1" x14ac:dyDescent="0.2">
      <c r="A19" s="339"/>
      <c r="B19" s="339"/>
      <c r="C19" s="339"/>
      <c r="D19" s="339"/>
      <c r="E19" s="337"/>
      <c r="F19" s="337"/>
      <c r="G19" s="349"/>
      <c r="H19" s="347"/>
      <c r="I19" s="337"/>
      <c r="J19" s="347"/>
      <c r="K19" s="338"/>
      <c r="L19" s="344" t="str">
        <f t="shared" si="0"/>
        <v>N/A</v>
      </c>
      <c r="M19" s="332">
        <f t="shared" si="1"/>
        <v>0</v>
      </c>
      <c r="N19" s="333"/>
      <c r="O19" s="335"/>
      <c r="P19" s="329">
        <f t="shared" si="2"/>
        <v>0</v>
      </c>
      <c r="Q19" s="329">
        <f t="shared" si="3"/>
        <v>0</v>
      </c>
      <c r="R19" s="329" t="str">
        <f t="shared" si="4"/>
        <v>N/A</v>
      </c>
    </row>
    <row r="20" spans="1:18" ht="20.100000000000001" customHeight="1" x14ac:dyDescent="0.2">
      <c r="A20" s="339"/>
      <c r="B20" s="339"/>
      <c r="C20" s="339"/>
      <c r="D20" s="339"/>
      <c r="E20" s="337"/>
      <c r="F20" s="337"/>
      <c r="G20" s="349"/>
      <c r="H20" s="347"/>
      <c r="I20" s="337"/>
      <c r="J20" s="347"/>
      <c r="K20" s="338"/>
      <c r="L20" s="344" t="str">
        <f t="shared" si="0"/>
        <v>N/A</v>
      </c>
      <c r="M20" s="332">
        <f t="shared" si="1"/>
        <v>0</v>
      </c>
      <c r="N20" s="333"/>
      <c r="O20" s="335"/>
      <c r="P20" s="329">
        <f t="shared" si="2"/>
        <v>0</v>
      </c>
      <c r="Q20" s="329">
        <f t="shared" si="3"/>
        <v>0</v>
      </c>
      <c r="R20" s="329" t="str">
        <f t="shared" si="4"/>
        <v>N/A</v>
      </c>
    </row>
    <row r="21" spans="1:18" ht="20.100000000000001" customHeight="1" x14ac:dyDescent="0.2">
      <c r="A21" s="339"/>
      <c r="B21" s="339"/>
      <c r="C21" s="339"/>
      <c r="D21" s="339"/>
      <c r="E21" s="337"/>
      <c r="F21" s="337"/>
      <c r="G21" s="349"/>
      <c r="H21" s="347"/>
      <c r="I21" s="337"/>
      <c r="J21" s="347"/>
      <c r="K21" s="338"/>
      <c r="L21" s="344" t="str">
        <f t="shared" si="0"/>
        <v>N/A</v>
      </c>
      <c r="M21" s="332">
        <f t="shared" si="1"/>
        <v>0</v>
      </c>
      <c r="N21" s="333"/>
      <c r="O21" s="335"/>
      <c r="P21" s="329">
        <f t="shared" si="2"/>
        <v>0</v>
      </c>
      <c r="Q21" s="329">
        <f t="shared" si="3"/>
        <v>0</v>
      </c>
      <c r="R21" s="329" t="str">
        <f>G21&amp;L21</f>
        <v>N/A</v>
      </c>
    </row>
    <row r="22" spans="1:18" ht="20.100000000000001" customHeight="1" x14ac:dyDescent="0.2">
      <c r="A22" s="339"/>
      <c r="B22" s="339"/>
      <c r="C22" s="339"/>
      <c r="D22" s="339"/>
      <c r="E22" s="337"/>
      <c r="F22" s="337"/>
      <c r="G22" s="349"/>
      <c r="H22" s="347"/>
      <c r="I22" s="337"/>
      <c r="J22" s="347"/>
      <c r="K22" s="338"/>
      <c r="L22" s="344" t="str">
        <f t="shared" si="0"/>
        <v>N/A</v>
      </c>
      <c r="M22" s="332">
        <f t="shared" si="1"/>
        <v>0</v>
      </c>
      <c r="N22" s="333"/>
      <c r="O22" s="335"/>
      <c r="P22" s="329">
        <f t="shared" si="2"/>
        <v>0</v>
      </c>
      <c r="Q22" s="329">
        <f t="shared" si="3"/>
        <v>0</v>
      </c>
      <c r="R22" s="329" t="str">
        <f>G22&amp;L22</f>
        <v>N/A</v>
      </c>
    </row>
    <row r="23" spans="1:18" ht="20.100000000000001" customHeight="1" x14ac:dyDescent="0.2">
      <c r="A23" s="339"/>
      <c r="B23" s="339"/>
      <c r="C23" s="339"/>
      <c r="D23" s="339"/>
      <c r="E23" s="337"/>
      <c r="F23" s="337"/>
      <c r="G23" s="349"/>
      <c r="H23" s="347"/>
      <c r="I23" s="337"/>
      <c r="J23" s="347"/>
      <c r="K23" s="337"/>
      <c r="L23" s="344" t="str">
        <f t="shared" si="0"/>
        <v>N/A</v>
      </c>
      <c r="M23" s="332">
        <f t="shared" si="1"/>
        <v>0</v>
      </c>
      <c r="N23" s="333"/>
      <c r="O23" s="335"/>
      <c r="P23" s="329">
        <f t="shared" si="2"/>
        <v>0</v>
      </c>
      <c r="Q23" s="329">
        <f t="shared" si="3"/>
        <v>0</v>
      </c>
      <c r="R23" s="329" t="str">
        <f t="shared" si="4"/>
        <v>N/A</v>
      </c>
    </row>
    <row r="24" spans="1:18" ht="20.100000000000001" customHeight="1" x14ac:dyDescent="0.2">
      <c r="A24" s="339"/>
      <c r="B24" s="339"/>
      <c r="C24" s="339"/>
      <c r="D24" s="339"/>
      <c r="E24" s="338"/>
      <c r="F24" s="337"/>
      <c r="G24" s="349"/>
      <c r="H24" s="347"/>
      <c r="I24" s="337"/>
      <c r="J24" s="347"/>
      <c r="K24" s="338"/>
      <c r="L24" s="344" t="str">
        <f t="shared" si="0"/>
        <v>N/A</v>
      </c>
      <c r="M24" s="332">
        <f t="shared" si="1"/>
        <v>0</v>
      </c>
      <c r="N24" s="333"/>
      <c r="O24" s="335"/>
      <c r="P24" s="329">
        <f t="shared" si="2"/>
        <v>0</v>
      </c>
      <c r="Q24" s="329">
        <f t="shared" si="3"/>
        <v>0</v>
      </c>
      <c r="R24" s="329" t="str">
        <f t="shared" si="4"/>
        <v>N/A</v>
      </c>
    </row>
    <row r="25" spans="1:18" ht="20.100000000000001" customHeight="1" x14ac:dyDescent="0.2">
      <c r="A25" s="339"/>
      <c r="B25" s="339"/>
      <c r="C25" s="339"/>
      <c r="D25" s="339"/>
      <c r="E25" s="338"/>
      <c r="F25" s="337"/>
      <c r="G25" s="349"/>
      <c r="H25" s="347"/>
      <c r="I25" s="337"/>
      <c r="J25" s="347"/>
      <c r="K25" s="338"/>
      <c r="L25" s="344" t="str">
        <f t="shared" si="0"/>
        <v>N/A</v>
      </c>
      <c r="M25" s="332">
        <f t="shared" si="1"/>
        <v>0</v>
      </c>
      <c r="N25" s="333"/>
      <c r="O25" s="335"/>
      <c r="P25" s="329">
        <f>IF(AND(G25="AIE",OR($P$4=1,$P$4=2,$P$4=4)),0,IF(OR(E25="I",E25="E",E25="A"),M25,0))</f>
        <v>0</v>
      </c>
      <c r="Q25" s="329">
        <f>IF(AND(P25&lt;&gt;0,F25&lt;&gt;"",F25&lt;&gt;"NA"),IF(F25="A",N25,M25),0)</f>
        <v>0</v>
      </c>
      <c r="R25" s="329" t="str">
        <f>G25&amp;L25</f>
        <v>N/A</v>
      </c>
    </row>
    <row r="26" spans="1:18" ht="20.100000000000001" customHeight="1" x14ac:dyDescent="0.2">
      <c r="A26" s="377" t="s">
        <v>112</v>
      </c>
      <c r="B26" s="144"/>
      <c r="C26" s="144"/>
      <c r="D26" s="144"/>
      <c r="E26" s="145"/>
      <c r="F26" s="145"/>
      <c r="G26" s="144"/>
      <c r="H26" s="144"/>
      <c r="I26" s="144"/>
      <c r="J26" s="144"/>
      <c r="K26" s="144"/>
      <c r="L26" s="146"/>
      <c r="M26" s="146"/>
      <c r="N26" s="147"/>
      <c r="O26" s="148"/>
      <c r="P26" s="20"/>
      <c r="Q26" s="20"/>
      <c r="R26" s="20" t="str">
        <f>G26&amp;L26</f>
        <v/>
      </c>
    </row>
    <row r="27" spans="1:18" ht="20.100000000000001" customHeight="1" thickBot="1" x14ac:dyDescent="0.25">
      <c r="A27" s="138" t="s">
        <v>113</v>
      </c>
      <c r="B27" s="139"/>
      <c r="C27" s="139"/>
      <c r="D27" s="139"/>
      <c r="E27" s="139"/>
      <c r="F27" s="139"/>
      <c r="G27" s="139"/>
      <c r="H27" s="140"/>
      <c r="I27" s="140"/>
      <c r="J27" s="140"/>
      <c r="K27" s="141"/>
      <c r="L27" s="361"/>
      <c r="M27" s="262">
        <f>SUM(M9:M25)</f>
        <v>0</v>
      </c>
      <c r="N27" s="142"/>
      <c r="O27" s="143"/>
      <c r="P27" s="20"/>
      <c r="Q27" s="20"/>
      <c r="R27" s="20"/>
    </row>
    <row r="28" spans="1:18" x14ac:dyDescent="0.2">
      <c r="O28" s="12"/>
      <c r="P28" s="20"/>
      <c r="Q28" s="20"/>
      <c r="R28" s="20"/>
    </row>
    <row r="29" spans="1:18" ht="18" x14ac:dyDescent="0.25">
      <c r="A29" s="27" t="s">
        <v>91</v>
      </c>
      <c r="B29" s="27"/>
      <c r="C29" s="27"/>
      <c r="D29" s="27"/>
      <c r="O29" s="12"/>
      <c r="P29" s="20"/>
      <c r="Q29" s="20"/>
      <c r="R29" s="20"/>
    </row>
    <row r="30" spans="1:18" x14ac:dyDescent="0.2"/>
    <row r="31" spans="1:18" x14ac:dyDescent="0.2"/>
    <row r="32" spans="1:18" x14ac:dyDescent="0.2"/>
  </sheetData>
  <sheetProtection password="FB4B" sheet="1" objects="1" scenarios="1" formatCells="0" formatColumns="0" formatRows="0" autoFilter="0"/>
  <autoFilter ref="A8:O25"/>
  <mergeCells count="16">
    <mergeCell ref="B4:D4"/>
    <mergeCell ref="A5:I5"/>
    <mergeCell ref="A6:O6"/>
    <mergeCell ref="A7:A8"/>
    <mergeCell ref="B7:B8"/>
    <mergeCell ref="C7:C8"/>
    <mergeCell ref="D7:D8"/>
    <mergeCell ref="E7:E8"/>
    <mergeCell ref="F7:F8"/>
    <mergeCell ref="G7:G8"/>
    <mergeCell ref="N7:N8"/>
    <mergeCell ref="O7:O8"/>
    <mergeCell ref="H7:I7"/>
    <mergeCell ref="J7:K7"/>
    <mergeCell ref="L7:L8"/>
    <mergeCell ref="M7:M8"/>
  </mergeCells>
  <phoneticPr fontId="22" type="noConversion"/>
  <conditionalFormatting sqref="N9:N26">
    <cfRule type="cellIs" dxfId="5" priority="1" stopIfTrue="1" operator="notEqual">
      <formula>0</formula>
    </cfRule>
    <cfRule type="expression" dxfId="4" priority="2" stopIfTrue="1">
      <formula>F9="A"</formula>
    </cfRule>
  </conditionalFormatting>
  <dataValidations count="3">
    <dataValidation type="list" operator="equal" allowBlank="1" showErrorMessage="1" sqref="B4">
      <formula1>Tipo_Contagem</formula1>
      <formula2>0</formula2>
    </dataValidation>
    <dataValidation type="list" operator="equal" allowBlank="1" showErrorMessage="1" sqref="E9:F26">
      <formula1>"I,A,E,NA"</formula1>
      <formula2>0</formula2>
    </dataValidation>
    <dataValidation type="list" operator="equal" allowBlank="1" showErrorMessage="1" sqref="G9:G26">
      <formula1>ALI_AIE_CODE</formula1>
      <formula2>0</formula2>
    </dataValidation>
  </dataValidations>
  <pageMargins left="0.74791666666666667" right="0.74791666666666667" top="0.98402777777777772" bottom="0.98402777777777772" header="0.51180555555555551" footer="0.51180555555555551"/>
  <pageSetup scale="59" firstPageNumber="0" orientation="landscape"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A1:R112"/>
  <sheetViews>
    <sheetView showGridLines="0" topLeftCell="B1" zoomScaleNormal="100" workbookViewId="0">
      <selection activeCell="D12" sqref="D12"/>
    </sheetView>
  </sheetViews>
  <sheetFormatPr defaultColWidth="0" defaultRowHeight="12.75" zeroHeight="1" x14ac:dyDescent="0.2"/>
  <cols>
    <col min="1" max="1" width="8.42578125" customWidth="1"/>
    <col min="2" max="2" width="9.42578125" customWidth="1"/>
    <col min="3" max="3" width="14.42578125" customWidth="1"/>
    <col min="4" max="4" width="29.42578125" customWidth="1"/>
    <col min="5" max="5" width="7.5703125" customWidth="1"/>
    <col min="6" max="6" width="9.7109375" customWidth="1"/>
    <col min="7" max="7" width="7.5703125" customWidth="1"/>
    <col min="8" max="8" width="5.5703125" customWidth="1"/>
    <col min="9" max="9" width="19.5703125" style="12" customWidth="1"/>
    <col min="10" max="10" width="5.5703125" customWidth="1"/>
    <col min="11" max="11" width="19.5703125" customWidth="1"/>
    <col min="12" max="12" width="12.42578125" customWidth="1"/>
    <col min="13" max="13" width="6.140625" customWidth="1"/>
    <col min="14" max="14" width="8.7109375" customWidth="1"/>
    <col min="15" max="15" width="25.5703125" customWidth="1"/>
    <col min="16" max="18" width="9" hidden="1" customWidth="1"/>
    <col min="19" max="19" width="9.140625" customWidth="1"/>
  </cols>
  <sheetData>
    <row r="1" spans="1:18" x14ac:dyDescent="0.2">
      <c r="E1" s="171">
        <f>COUNTIF(E9:E106,"=I")</f>
        <v>0</v>
      </c>
      <c r="I1"/>
    </row>
    <row r="2" spans="1:18" x14ac:dyDescent="0.2">
      <c r="E2" s="171">
        <f>COUNTIF(E9:E106,"=E")</f>
        <v>0</v>
      </c>
      <c r="I2"/>
    </row>
    <row r="3" spans="1:18" x14ac:dyDescent="0.2">
      <c r="E3" s="171"/>
      <c r="I3"/>
    </row>
    <row r="4" spans="1:18" ht="15.75" x14ac:dyDescent="0.25">
      <c r="A4" s="9" t="s">
        <v>92</v>
      </c>
      <c r="B4" s="485" t="str">
        <f>IF('Funções Dados'!B4&lt;&gt;"",'Funções Dados'!B4,"")</f>
        <v>Estimada</v>
      </c>
      <c r="C4" s="485"/>
      <c r="D4" s="485"/>
      <c r="E4" s="172" t="str">
        <f>IF(AND(OR(FSDMS!A26&lt;&gt;"",FSDMS!A27&lt;&gt;"",FSDMS!A28&lt;&gt;""),SUM(E1:E3)&gt;0),"Para propósito de contagem Adaptativa, Perfectiva ou Corretiva usar somente Status 'A'.","")</f>
        <v/>
      </c>
      <c r="F4" s="10"/>
      <c r="G4" s="10"/>
      <c r="H4" s="11"/>
    </row>
    <row r="5" spans="1:18" ht="15.75" x14ac:dyDescent="0.25">
      <c r="A5" s="466"/>
      <c r="B5" s="466"/>
      <c r="C5" s="466"/>
      <c r="D5" s="466"/>
      <c r="E5" s="466"/>
      <c r="F5" s="466"/>
      <c r="G5" s="466"/>
      <c r="H5" s="466"/>
      <c r="I5" s="466"/>
    </row>
    <row r="6" spans="1:18" ht="13.5" thickBot="1" x14ac:dyDescent="0.25">
      <c r="A6" s="467" t="s">
        <v>114</v>
      </c>
      <c r="B6" s="467"/>
      <c r="C6" s="467"/>
      <c r="D6" s="467"/>
      <c r="E6" s="467"/>
      <c r="F6" s="467"/>
      <c r="G6" s="467"/>
      <c r="H6" s="467"/>
      <c r="I6" s="467"/>
      <c r="J6" s="467"/>
      <c r="K6" s="467"/>
      <c r="L6" s="467"/>
      <c r="M6" s="467"/>
      <c r="N6" s="467"/>
      <c r="O6" s="467"/>
    </row>
    <row r="7" spans="1:18" ht="25.5" customHeight="1" x14ac:dyDescent="0.2">
      <c r="A7" s="469" t="s">
        <v>94</v>
      </c>
      <c r="B7" s="469" t="s">
        <v>95</v>
      </c>
      <c r="C7" s="469" t="s">
        <v>96</v>
      </c>
      <c r="D7" s="486" t="s">
        <v>97</v>
      </c>
      <c r="E7" s="488" t="s">
        <v>98</v>
      </c>
      <c r="F7" s="488" t="s">
        <v>99</v>
      </c>
      <c r="G7" s="490" t="s">
        <v>100</v>
      </c>
      <c r="H7" s="496" t="s">
        <v>115</v>
      </c>
      <c r="I7" s="496"/>
      <c r="J7" s="496" t="s">
        <v>102</v>
      </c>
      <c r="K7" s="496"/>
      <c r="L7" s="497" t="s">
        <v>103</v>
      </c>
      <c r="M7" s="492" t="s">
        <v>104</v>
      </c>
      <c r="N7" s="492" t="s">
        <v>105</v>
      </c>
      <c r="O7" s="494" t="s">
        <v>106</v>
      </c>
      <c r="P7" s="13" t="s">
        <v>107</v>
      </c>
      <c r="Q7" s="13" t="s">
        <v>108</v>
      </c>
      <c r="R7" s="13" t="s">
        <v>109</v>
      </c>
    </row>
    <row r="8" spans="1:18" ht="13.5" thickBot="1" x14ac:dyDescent="0.25">
      <c r="A8" s="470"/>
      <c r="B8" s="470"/>
      <c r="C8" s="470"/>
      <c r="D8" s="487"/>
      <c r="E8" s="489"/>
      <c r="F8" s="489"/>
      <c r="G8" s="491"/>
      <c r="H8" s="14" t="s">
        <v>110</v>
      </c>
      <c r="I8" s="15" t="s">
        <v>111</v>
      </c>
      <c r="J8" s="15" t="s">
        <v>110</v>
      </c>
      <c r="K8" s="15" t="s">
        <v>111</v>
      </c>
      <c r="L8" s="498"/>
      <c r="M8" s="493"/>
      <c r="N8" s="493"/>
      <c r="O8" s="495"/>
      <c r="P8" s="16">
        <f>SUM(P9:P65616)</f>
        <v>4</v>
      </c>
      <c r="Q8" s="16">
        <f>SUM(Q9:Q65616)</f>
        <v>0</v>
      </c>
    </row>
    <row r="9" spans="1:18" s="20" customFormat="1" ht="30" customHeight="1" x14ac:dyDescent="0.2">
      <c r="A9" s="340"/>
      <c r="B9" s="341"/>
      <c r="C9" s="336"/>
      <c r="D9" s="337" t="s">
        <v>1029</v>
      </c>
      <c r="E9" s="331" t="s">
        <v>313</v>
      </c>
      <c r="F9" s="331" t="s">
        <v>303</v>
      </c>
      <c r="G9" s="331" t="s">
        <v>240</v>
      </c>
      <c r="H9" s="347"/>
      <c r="I9" s="337"/>
      <c r="J9" s="347"/>
      <c r="K9" s="337"/>
      <c r="L9" s="344" t="str">
        <f>apf($G9,$H9,$J9,$B$4,0)</f>
        <v>Média</v>
      </c>
      <c r="M9" s="332">
        <f t="shared" ref="M9:M105" si="0">apf($G9,$H9,$J9,$B$4,1)</f>
        <v>4</v>
      </c>
      <c r="N9" s="333"/>
      <c r="O9" s="334" t="s">
        <v>1030</v>
      </c>
      <c r="P9" s="20">
        <f>IF(G9="AIE",0,IF(OR(E9="I",E9="E",E9="A"),M9,0))</f>
        <v>4</v>
      </c>
      <c r="Q9" s="20">
        <f>IF(F9&lt;&gt;"A",IF(AND(G9&lt;&gt;"AIE",F9&lt;&gt;"",F9&lt;&gt;"NA"),M9,0),IF(AND(G9&lt;&gt;"AIE",F9&lt;&gt;"",F9&lt;&gt;"NA"),N9,0))</f>
        <v>0</v>
      </c>
      <c r="R9" s="20" t="str">
        <f t="shared" ref="R9:R102" si="1">G9&amp;L9</f>
        <v>EEMédia</v>
      </c>
    </row>
    <row r="10" spans="1:18" s="20" customFormat="1" ht="31.5" customHeight="1" x14ac:dyDescent="0.2">
      <c r="A10" s="340"/>
      <c r="B10" s="341"/>
      <c r="C10" s="336"/>
      <c r="D10" s="339"/>
      <c r="E10" s="331"/>
      <c r="F10" s="331"/>
      <c r="G10" s="331"/>
      <c r="H10" s="347"/>
      <c r="I10" s="337"/>
      <c r="J10" s="347"/>
      <c r="K10" s="338"/>
      <c r="L10" s="344" t="str">
        <f t="shared" ref="L10:L105" si="2">apf($G10,$H10,$J10,$B$4,0)</f>
        <v>N/A</v>
      </c>
      <c r="M10" s="332">
        <f t="shared" si="0"/>
        <v>0</v>
      </c>
      <c r="N10" s="333"/>
      <c r="O10" s="334"/>
      <c r="P10" s="20">
        <f t="shared" ref="P10:P106" si="3">IF(G10="AIE",0,IF(OR(E10="I",E10="E",E10="A"),M10,0))</f>
        <v>0</v>
      </c>
      <c r="Q10" s="20">
        <f t="shared" ref="Q10:Q102" si="4">IF(F10&lt;&gt;"A",IF(AND(G10&lt;&gt;"AIE",F10&lt;&gt;"",F10&lt;&gt;"NA"),M10,0),IF(AND(G10&lt;&gt;"AIE",F10&lt;&gt;"",F10&lt;&gt;"NA"),N10,0))</f>
        <v>0</v>
      </c>
      <c r="R10" s="20" t="str">
        <f t="shared" si="1"/>
        <v>N/A</v>
      </c>
    </row>
    <row r="11" spans="1:18" s="20" customFormat="1" ht="31.5" customHeight="1" x14ac:dyDescent="0.2">
      <c r="A11" s="340"/>
      <c r="B11" s="341"/>
      <c r="C11" s="336"/>
      <c r="D11" s="339"/>
      <c r="E11" s="331"/>
      <c r="F11" s="331"/>
      <c r="G11" s="331"/>
      <c r="H11" s="347"/>
      <c r="I11" s="337"/>
      <c r="J11" s="347"/>
      <c r="K11" s="338"/>
      <c r="L11" s="344" t="str">
        <f t="shared" si="2"/>
        <v>N/A</v>
      </c>
      <c r="M11" s="332">
        <f t="shared" si="0"/>
        <v>0</v>
      </c>
      <c r="N11" s="333"/>
      <c r="O11" s="334"/>
      <c r="P11" s="20">
        <f t="shared" si="3"/>
        <v>0</v>
      </c>
      <c r="Q11" s="20">
        <f t="shared" si="4"/>
        <v>0</v>
      </c>
      <c r="R11" s="20" t="str">
        <f t="shared" si="1"/>
        <v>N/A</v>
      </c>
    </row>
    <row r="12" spans="1:18" s="20" customFormat="1" ht="33" customHeight="1" x14ac:dyDescent="0.2">
      <c r="A12" s="340"/>
      <c r="B12" s="341"/>
      <c r="C12" s="339"/>
      <c r="D12" s="339"/>
      <c r="E12" s="331"/>
      <c r="F12" s="331"/>
      <c r="G12" s="331"/>
      <c r="H12" s="347"/>
      <c r="I12" s="337"/>
      <c r="J12" s="347"/>
      <c r="K12" s="337"/>
      <c r="L12" s="344" t="str">
        <f t="shared" si="2"/>
        <v>N/A</v>
      </c>
      <c r="M12" s="332">
        <f t="shared" si="0"/>
        <v>0</v>
      </c>
      <c r="N12" s="333"/>
      <c r="O12" s="334"/>
      <c r="P12" s="20">
        <f t="shared" si="3"/>
        <v>0</v>
      </c>
      <c r="Q12" s="20">
        <f t="shared" si="4"/>
        <v>0</v>
      </c>
      <c r="R12" s="20" t="str">
        <f t="shared" si="1"/>
        <v>N/A</v>
      </c>
    </row>
    <row r="13" spans="1:18" s="20" customFormat="1" ht="33" customHeight="1" x14ac:dyDescent="0.2">
      <c r="A13" s="340"/>
      <c r="B13" s="341"/>
      <c r="C13" s="339"/>
      <c r="D13" s="339"/>
      <c r="E13" s="331"/>
      <c r="F13" s="331"/>
      <c r="G13" s="331"/>
      <c r="H13" s="347"/>
      <c r="I13" s="337"/>
      <c r="J13" s="347"/>
      <c r="K13" s="337"/>
      <c r="L13" s="344" t="str">
        <f t="shared" si="2"/>
        <v>N/A</v>
      </c>
      <c r="M13" s="332">
        <f t="shared" si="0"/>
        <v>0</v>
      </c>
      <c r="N13" s="333"/>
      <c r="O13" s="334"/>
      <c r="P13" s="20">
        <f t="shared" ref="P13:P62" si="5">IF(G13="AIE",0,IF(OR(E13="I",E13="E",E13="A"),M13,0))</f>
        <v>0</v>
      </c>
      <c r="Q13" s="20">
        <f t="shared" ref="Q13:Q62" si="6">IF(F13&lt;&gt;"A",IF(AND(G13&lt;&gt;"AIE",F13&lt;&gt;"",F13&lt;&gt;"NA"),M13,0),IF(AND(G13&lt;&gt;"AIE",F13&lt;&gt;"",F13&lt;&gt;"NA"),N13,0))</f>
        <v>0</v>
      </c>
      <c r="R13" s="20" t="str">
        <f t="shared" ref="R13:R62" si="7">G13&amp;L13</f>
        <v>N/A</v>
      </c>
    </row>
    <row r="14" spans="1:18" s="20" customFormat="1" ht="36" customHeight="1" x14ac:dyDescent="0.2">
      <c r="A14" s="340"/>
      <c r="B14" s="341"/>
      <c r="C14" s="339"/>
      <c r="D14" s="339"/>
      <c r="E14" s="331"/>
      <c r="F14" s="331"/>
      <c r="G14" s="331"/>
      <c r="H14" s="347"/>
      <c r="I14" s="337"/>
      <c r="J14" s="347"/>
      <c r="K14" s="337"/>
      <c r="L14" s="344" t="str">
        <f t="shared" si="2"/>
        <v>N/A</v>
      </c>
      <c r="M14" s="332">
        <f t="shared" si="0"/>
        <v>0</v>
      </c>
      <c r="N14" s="333"/>
      <c r="O14" s="334"/>
      <c r="P14" s="20">
        <f t="shared" si="5"/>
        <v>0</v>
      </c>
      <c r="Q14" s="20">
        <f t="shared" si="6"/>
        <v>0</v>
      </c>
      <c r="R14" s="20" t="str">
        <f t="shared" si="7"/>
        <v>N/A</v>
      </c>
    </row>
    <row r="15" spans="1:18" s="20" customFormat="1" ht="32.25" customHeight="1" x14ac:dyDescent="0.2">
      <c r="A15" s="340"/>
      <c r="B15" s="341"/>
      <c r="C15" s="339"/>
      <c r="D15" s="339"/>
      <c r="E15" s="331"/>
      <c r="F15" s="331"/>
      <c r="G15" s="331"/>
      <c r="H15" s="347"/>
      <c r="I15" s="337"/>
      <c r="J15" s="347"/>
      <c r="K15" s="337"/>
      <c r="L15" s="344" t="str">
        <f t="shared" si="2"/>
        <v>N/A</v>
      </c>
      <c r="M15" s="332">
        <f t="shared" si="0"/>
        <v>0</v>
      </c>
      <c r="N15" s="333"/>
      <c r="O15" s="334"/>
      <c r="P15" s="20">
        <f t="shared" si="5"/>
        <v>0</v>
      </c>
      <c r="Q15" s="20">
        <f t="shared" si="6"/>
        <v>0</v>
      </c>
      <c r="R15" s="20" t="str">
        <f t="shared" si="7"/>
        <v>N/A</v>
      </c>
    </row>
    <row r="16" spans="1:18" s="20" customFormat="1" ht="32.25" customHeight="1" x14ac:dyDescent="0.2">
      <c r="A16" s="340"/>
      <c r="B16" s="341"/>
      <c r="C16" s="339"/>
      <c r="D16" s="339"/>
      <c r="E16" s="331"/>
      <c r="F16" s="331"/>
      <c r="G16" s="331"/>
      <c r="H16" s="347"/>
      <c r="I16" s="337"/>
      <c r="J16" s="347"/>
      <c r="K16" s="337"/>
      <c r="L16" s="344" t="str">
        <f t="shared" si="2"/>
        <v>N/A</v>
      </c>
      <c r="M16" s="332">
        <f t="shared" si="0"/>
        <v>0</v>
      </c>
      <c r="N16" s="333"/>
      <c r="O16" s="334"/>
      <c r="P16" s="20">
        <f t="shared" si="5"/>
        <v>0</v>
      </c>
      <c r="Q16" s="20">
        <f t="shared" si="6"/>
        <v>0</v>
      </c>
      <c r="R16" s="20" t="str">
        <f t="shared" si="7"/>
        <v>N/A</v>
      </c>
    </row>
    <row r="17" spans="1:18" s="20" customFormat="1" ht="32.25" customHeight="1" x14ac:dyDescent="0.2">
      <c r="A17" s="340"/>
      <c r="B17" s="341"/>
      <c r="C17" s="339"/>
      <c r="D17" s="339"/>
      <c r="E17" s="331"/>
      <c r="F17" s="331"/>
      <c r="G17" s="331"/>
      <c r="H17" s="347"/>
      <c r="I17" s="337"/>
      <c r="J17" s="347"/>
      <c r="K17" s="337"/>
      <c r="L17" s="344" t="str">
        <f t="shared" si="2"/>
        <v>N/A</v>
      </c>
      <c r="M17" s="332">
        <f t="shared" si="0"/>
        <v>0</v>
      </c>
      <c r="N17" s="333"/>
      <c r="O17" s="334"/>
      <c r="P17" s="20">
        <f t="shared" si="5"/>
        <v>0</v>
      </c>
      <c r="Q17" s="20">
        <f t="shared" si="6"/>
        <v>0</v>
      </c>
      <c r="R17" s="20" t="str">
        <f t="shared" si="7"/>
        <v>N/A</v>
      </c>
    </row>
    <row r="18" spans="1:18" s="20" customFormat="1" ht="36" customHeight="1" x14ac:dyDescent="0.2">
      <c r="A18" s="340"/>
      <c r="B18" s="341"/>
      <c r="C18" s="339"/>
      <c r="D18" s="339"/>
      <c r="E18" s="331"/>
      <c r="F18" s="331"/>
      <c r="G18" s="331"/>
      <c r="H18" s="347"/>
      <c r="I18" s="337"/>
      <c r="J18" s="347"/>
      <c r="K18" s="337"/>
      <c r="L18" s="344" t="str">
        <f t="shared" si="2"/>
        <v>N/A</v>
      </c>
      <c r="M18" s="332">
        <f t="shared" si="0"/>
        <v>0</v>
      </c>
      <c r="N18" s="333"/>
      <c r="O18" s="334"/>
      <c r="P18" s="20">
        <f t="shared" si="5"/>
        <v>0</v>
      </c>
      <c r="Q18" s="20">
        <f t="shared" si="6"/>
        <v>0</v>
      </c>
      <c r="R18" s="20" t="str">
        <f t="shared" si="7"/>
        <v>N/A</v>
      </c>
    </row>
    <row r="19" spans="1:18" s="20" customFormat="1" ht="35.25" customHeight="1" x14ac:dyDescent="0.2">
      <c r="A19" s="340"/>
      <c r="B19" s="341"/>
      <c r="C19" s="339"/>
      <c r="D19" s="339"/>
      <c r="E19" s="331"/>
      <c r="F19" s="331"/>
      <c r="G19" s="331"/>
      <c r="H19" s="347"/>
      <c r="I19" s="337"/>
      <c r="J19" s="347"/>
      <c r="K19" s="337"/>
      <c r="L19" s="344" t="str">
        <f t="shared" si="2"/>
        <v>N/A</v>
      </c>
      <c r="M19" s="332">
        <f t="shared" si="0"/>
        <v>0</v>
      </c>
      <c r="N19" s="333"/>
      <c r="O19" s="335"/>
      <c r="P19" s="20">
        <f t="shared" si="5"/>
        <v>0</v>
      </c>
      <c r="Q19" s="20">
        <f t="shared" si="6"/>
        <v>0</v>
      </c>
      <c r="R19" s="20" t="str">
        <f t="shared" si="7"/>
        <v>N/A</v>
      </c>
    </row>
    <row r="20" spans="1:18" s="20" customFormat="1" ht="33" customHeight="1" x14ac:dyDescent="0.2">
      <c r="A20" s="340"/>
      <c r="B20" s="341"/>
      <c r="C20" s="339"/>
      <c r="D20" s="339"/>
      <c r="E20" s="331"/>
      <c r="F20" s="331"/>
      <c r="G20" s="331"/>
      <c r="H20" s="347"/>
      <c r="I20" s="337"/>
      <c r="J20" s="347"/>
      <c r="K20" s="337"/>
      <c r="L20" s="344" t="str">
        <f t="shared" si="2"/>
        <v>N/A</v>
      </c>
      <c r="M20" s="332">
        <f t="shared" si="0"/>
        <v>0</v>
      </c>
      <c r="N20" s="333"/>
      <c r="O20" s="335"/>
      <c r="P20" s="20">
        <f t="shared" si="5"/>
        <v>0</v>
      </c>
      <c r="Q20" s="20">
        <f t="shared" si="6"/>
        <v>0</v>
      </c>
      <c r="R20" s="20" t="str">
        <f t="shared" si="7"/>
        <v>N/A</v>
      </c>
    </row>
    <row r="21" spans="1:18" s="20" customFormat="1" ht="37.5" customHeight="1" x14ac:dyDescent="0.2">
      <c r="A21" s="340"/>
      <c r="B21" s="341"/>
      <c r="C21" s="339"/>
      <c r="D21" s="339"/>
      <c r="E21" s="331"/>
      <c r="F21" s="331"/>
      <c r="G21" s="331"/>
      <c r="H21" s="347"/>
      <c r="I21" s="337"/>
      <c r="J21" s="347"/>
      <c r="K21" s="337"/>
      <c r="L21" s="344" t="str">
        <f t="shared" si="2"/>
        <v>N/A</v>
      </c>
      <c r="M21" s="332">
        <f t="shared" si="0"/>
        <v>0</v>
      </c>
      <c r="N21" s="333"/>
      <c r="O21" s="335"/>
      <c r="P21" s="20">
        <f t="shared" si="5"/>
        <v>0</v>
      </c>
      <c r="Q21" s="20">
        <f t="shared" si="6"/>
        <v>0</v>
      </c>
      <c r="R21" s="20" t="str">
        <f t="shared" si="7"/>
        <v>N/A</v>
      </c>
    </row>
    <row r="22" spans="1:18" s="20" customFormat="1" ht="38.25" customHeight="1" x14ac:dyDescent="0.2">
      <c r="A22" s="340"/>
      <c r="B22" s="341"/>
      <c r="C22" s="339"/>
      <c r="D22" s="339"/>
      <c r="E22" s="331"/>
      <c r="F22" s="331"/>
      <c r="G22" s="331"/>
      <c r="H22" s="347"/>
      <c r="I22" s="337"/>
      <c r="J22" s="347"/>
      <c r="K22" s="337"/>
      <c r="L22" s="344" t="str">
        <f t="shared" si="2"/>
        <v>N/A</v>
      </c>
      <c r="M22" s="332">
        <f t="shared" si="0"/>
        <v>0</v>
      </c>
      <c r="N22" s="333"/>
      <c r="O22" s="335"/>
      <c r="P22" s="20">
        <f t="shared" si="5"/>
        <v>0</v>
      </c>
      <c r="Q22" s="20">
        <f t="shared" si="6"/>
        <v>0</v>
      </c>
      <c r="R22" s="20" t="str">
        <f t="shared" si="7"/>
        <v>N/A</v>
      </c>
    </row>
    <row r="23" spans="1:18" s="20" customFormat="1" ht="30" customHeight="1" x14ac:dyDescent="0.2">
      <c r="A23" s="340"/>
      <c r="B23" s="341"/>
      <c r="C23" s="339"/>
      <c r="D23" s="339"/>
      <c r="E23" s="331"/>
      <c r="F23" s="331"/>
      <c r="G23" s="331"/>
      <c r="H23" s="347"/>
      <c r="I23" s="337"/>
      <c r="J23" s="347"/>
      <c r="K23" s="337"/>
      <c r="L23" s="344" t="str">
        <f t="shared" si="2"/>
        <v>N/A</v>
      </c>
      <c r="M23" s="332">
        <f t="shared" si="0"/>
        <v>0</v>
      </c>
      <c r="N23" s="333"/>
      <c r="O23" s="335"/>
      <c r="P23" s="20">
        <f t="shared" si="5"/>
        <v>0</v>
      </c>
      <c r="Q23" s="20">
        <f t="shared" si="6"/>
        <v>0</v>
      </c>
      <c r="R23" s="20" t="str">
        <f t="shared" si="7"/>
        <v>N/A</v>
      </c>
    </row>
    <row r="24" spans="1:18" s="20" customFormat="1" ht="33.75" customHeight="1" x14ac:dyDescent="0.2">
      <c r="A24" s="340"/>
      <c r="B24" s="341"/>
      <c r="C24" s="339"/>
      <c r="D24" s="339"/>
      <c r="E24" s="331"/>
      <c r="F24" s="331"/>
      <c r="G24" s="331"/>
      <c r="H24" s="347"/>
      <c r="I24" s="337"/>
      <c r="J24" s="347"/>
      <c r="K24" s="337"/>
      <c r="L24" s="344" t="str">
        <f t="shared" si="2"/>
        <v>N/A</v>
      </c>
      <c r="M24" s="332">
        <f t="shared" si="0"/>
        <v>0</v>
      </c>
      <c r="N24" s="333"/>
      <c r="O24" s="335"/>
      <c r="P24" s="20">
        <f t="shared" si="5"/>
        <v>0</v>
      </c>
      <c r="Q24" s="20">
        <f t="shared" si="6"/>
        <v>0</v>
      </c>
      <c r="R24" s="20" t="str">
        <f t="shared" si="7"/>
        <v>N/A</v>
      </c>
    </row>
    <row r="25" spans="1:18" s="20" customFormat="1" ht="34.5" customHeight="1" x14ac:dyDescent="0.2">
      <c r="A25" s="340"/>
      <c r="B25" s="341"/>
      <c r="C25" s="339"/>
      <c r="D25" s="339"/>
      <c r="E25" s="331"/>
      <c r="F25" s="331"/>
      <c r="G25" s="331"/>
      <c r="H25" s="347"/>
      <c r="I25" s="337"/>
      <c r="J25" s="347"/>
      <c r="K25" s="337"/>
      <c r="L25" s="344" t="str">
        <f t="shared" si="2"/>
        <v>N/A</v>
      </c>
      <c r="M25" s="332">
        <f t="shared" si="0"/>
        <v>0</v>
      </c>
      <c r="N25" s="333"/>
      <c r="O25" s="335"/>
      <c r="P25" s="20">
        <f t="shared" si="5"/>
        <v>0</v>
      </c>
      <c r="Q25" s="20">
        <f t="shared" si="6"/>
        <v>0</v>
      </c>
      <c r="R25" s="20" t="str">
        <f t="shared" si="7"/>
        <v>N/A</v>
      </c>
    </row>
    <row r="26" spans="1:18" s="20" customFormat="1" ht="39" customHeight="1" x14ac:dyDescent="0.2">
      <c r="A26" s="340"/>
      <c r="B26" s="341"/>
      <c r="C26" s="339"/>
      <c r="D26" s="339"/>
      <c r="E26" s="331"/>
      <c r="F26" s="331"/>
      <c r="G26" s="331"/>
      <c r="H26" s="347"/>
      <c r="I26" s="337"/>
      <c r="J26" s="347"/>
      <c r="K26" s="337"/>
      <c r="L26" s="344" t="str">
        <f t="shared" si="2"/>
        <v>N/A</v>
      </c>
      <c r="M26" s="332">
        <f t="shared" si="0"/>
        <v>0</v>
      </c>
      <c r="N26" s="333"/>
      <c r="O26" s="335"/>
      <c r="P26" s="20">
        <f t="shared" si="5"/>
        <v>0</v>
      </c>
      <c r="Q26" s="20">
        <f t="shared" si="6"/>
        <v>0</v>
      </c>
      <c r="R26" s="20" t="str">
        <f t="shared" si="7"/>
        <v>N/A</v>
      </c>
    </row>
    <row r="27" spans="1:18" s="20" customFormat="1" ht="37.5" customHeight="1" x14ac:dyDescent="0.2">
      <c r="A27" s="340"/>
      <c r="B27" s="341"/>
      <c r="C27" s="339"/>
      <c r="D27" s="339"/>
      <c r="E27" s="331"/>
      <c r="F27" s="331"/>
      <c r="G27" s="331"/>
      <c r="H27" s="347"/>
      <c r="I27" s="337"/>
      <c r="J27" s="347"/>
      <c r="K27" s="337"/>
      <c r="L27" s="344" t="str">
        <f t="shared" si="2"/>
        <v>N/A</v>
      </c>
      <c r="M27" s="332">
        <f t="shared" si="0"/>
        <v>0</v>
      </c>
      <c r="N27" s="333"/>
      <c r="O27" s="335"/>
      <c r="P27" s="20">
        <f t="shared" si="5"/>
        <v>0</v>
      </c>
      <c r="Q27" s="20">
        <f t="shared" si="6"/>
        <v>0</v>
      </c>
      <c r="R27" s="20" t="str">
        <f t="shared" si="7"/>
        <v>N/A</v>
      </c>
    </row>
    <row r="28" spans="1:18" s="20" customFormat="1" ht="37.5" customHeight="1" x14ac:dyDescent="0.2">
      <c r="A28" s="340"/>
      <c r="B28" s="341"/>
      <c r="C28" s="339"/>
      <c r="D28" s="339"/>
      <c r="E28" s="331"/>
      <c r="F28" s="331"/>
      <c r="G28" s="331"/>
      <c r="H28" s="347"/>
      <c r="I28" s="337"/>
      <c r="J28" s="347"/>
      <c r="K28" s="337"/>
      <c r="L28" s="344" t="str">
        <f t="shared" si="2"/>
        <v>N/A</v>
      </c>
      <c r="M28" s="332">
        <f t="shared" si="0"/>
        <v>0</v>
      </c>
      <c r="N28" s="333"/>
      <c r="O28" s="335"/>
      <c r="P28" s="20">
        <f t="shared" si="5"/>
        <v>0</v>
      </c>
      <c r="Q28" s="20">
        <f t="shared" si="6"/>
        <v>0</v>
      </c>
      <c r="R28" s="20" t="str">
        <f t="shared" si="7"/>
        <v>N/A</v>
      </c>
    </row>
    <row r="29" spans="1:18" s="20" customFormat="1" ht="36" customHeight="1" x14ac:dyDescent="0.2">
      <c r="A29" s="340"/>
      <c r="B29" s="341"/>
      <c r="C29" s="339"/>
      <c r="D29" s="339"/>
      <c r="E29" s="331"/>
      <c r="F29" s="331"/>
      <c r="G29" s="331"/>
      <c r="H29" s="347"/>
      <c r="I29" s="337"/>
      <c r="J29" s="347"/>
      <c r="K29" s="337"/>
      <c r="L29" s="344" t="str">
        <f t="shared" si="2"/>
        <v>N/A</v>
      </c>
      <c r="M29" s="332">
        <f t="shared" si="0"/>
        <v>0</v>
      </c>
      <c r="N29" s="333"/>
      <c r="O29" s="335"/>
      <c r="P29" s="20">
        <f t="shared" si="5"/>
        <v>0</v>
      </c>
      <c r="Q29" s="20">
        <f t="shared" si="6"/>
        <v>0</v>
      </c>
      <c r="R29" s="20" t="str">
        <f t="shared" si="7"/>
        <v>N/A</v>
      </c>
    </row>
    <row r="30" spans="1:18" s="20" customFormat="1" ht="48.75" customHeight="1" x14ac:dyDescent="0.2">
      <c r="A30" s="340"/>
      <c r="B30" s="341"/>
      <c r="C30" s="339"/>
      <c r="D30" s="339"/>
      <c r="E30" s="331"/>
      <c r="F30" s="331"/>
      <c r="G30" s="331"/>
      <c r="H30" s="347"/>
      <c r="I30" s="337"/>
      <c r="J30" s="347"/>
      <c r="K30" s="337"/>
      <c r="L30" s="344" t="str">
        <f t="shared" si="2"/>
        <v>N/A</v>
      </c>
      <c r="M30" s="332">
        <f t="shared" si="0"/>
        <v>0</v>
      </c>
      <c r="N30" s="333"/>
      <c r="O30" s="335"/>
      <c r="P30" s="20">
        <f t="shared" si="5"/>
        <v>0</v>
      </c>
      <c r="Q30" s="20">
        <f t="shared" si="6"/>
        <v>0</v>
      </c>
      <c r="R30" s="20" t="str">
        <f t="shared" si="7"/>
        <v>N/A</v>
      </c>
    </row>
    <row r="31" spans="1:18" s="20" customFormat="1" ht="43.5" customHeight="1" x14ac:dyDescent="0.2">
      <c r="A31" s="340"/>
      <c r="B31" s="341"/>
      <c r="C31" s="339"/>
      <c r="D31" s="339"/>
      <c r="E31" s="331"/>
      <c r="F31" s="331"/>
      <c r="G31" s="331"/>
      <c r="H31" s="347"/>
      <c r="I31" s="337"/>
      <c r="J31" s="347"/>
      <c r="K31" s="337"/>
      <c r="L31" s="344" t="str">
        <f t="shared" si="2"/>
        <v>N/A</v>
      </c>
      <c r="M31" s="332">
        <f t="shared" si="0"/>
        <v>0</v>
      </c>
      <c r="N31" s="333"/>
      <c r="O31" s="335"/>
      <c r="P31" s="20">
        <f t="shared" si="5"/>
        <v>0</v>
      </c>
      <c r="Q31" s="20">
        <f t="shared" si="6"/>
        <v>0</v>
      </c>
      <c r="R31" s="20" t="str">
        <f t="shared" si="7"/>
        <v>N/A</v>
      </c>
    </row>
    <row r="32" spans="1:18" s="20" customFormat="1" ht="48.75" customHeight="1" x14ac:dyDescent="0.2">
      <c r="A32" s="340"/>
      <c r="B32" s="341"/>
      <c r="C32" s="339"/>
      <c r="D32" s="339"/>
      <c r="E32" s="331"/>
      <c r="F32" s="331"/>
      <c r="G32" s="331"/>
      <c r="H32" s="347"/>
      <c r="I32" s="337"/>
      <c r="J32" s="347"/>
      <c r="K32" s="337"/>
      <c r="L32" s="344" t="str">
        <f t="shared" si="2"/>
        <v>N/A</v>
      </c>
      <c r="M32" s="332">
        <f t="shared" si="0"/>
        <v>0</v>
      </c>
      <c r="N32" s="333"/>
      <c r="O32" s="335"/>
      <c r="P32" s="20">
        <f t="shared" si="5"/>
        <v>0</v>
      </c>
      <c r="Q32" s="20">
        <f t="shared" si="6"/>
        <v>0</v>
      </c>
      <c r="R32" s="20" t="str">
        <f t="shared" si="7"/>
        <v>N/A</v>
      </c>
    </row>
    <row r="33" spans="1:18" s="20" customFormat="1" ht="36.75" customHeight="1" x14ac:dyDescent="0.2">
      <c r="A33" s="340"/>
      <c r="B33" s="341"/>
      <c r="C33" s="339"/>
      <c r="D33" s="339"/>
      <c r="E33" s="331"/>
      <c r="F33" s="331"/>
      <c r="G33" s="331"/>
      <c r="H33" s="347"/>
      <c r="I33" s="337"/>
      <c r="J33" s="347"/>
      <c r="K33" s="337"/>
      <c r="L33" s="344" t="str">
        <f t="shared" si="2"/>
        <v>N/A</v>
      </c>
      <c r="M33" s="332">
        <f t="shared" si="0"/>
        <v>0</v>
      </c>
      <c r="N33" s="333"/>
      <c r="O33" s="335"/>
      <c r="P33" s="20">
        <f t="shared" si="5"/>
        <v>0</v>
      </c>
      <c r="Q33" s="20">
        <f t="shared" si="6"/>
        <v>0</v>
      </c>
      <c r="R33" s="20" t="str">
        <f t="shared" si="7"/>
        <v>N/A</v>
      </c>
    </row>
    <row r="34" spans="1:18" s="20" customFormat="1" ht="44.25" customHeight="1" x14ac:dyDescent="0.2">
      <c r="A34" s="340"/>
      <c r="B34" s="341"/>
      <c r="C34" s="339"/>
      <c r="D34" s="339"/>
      <c r="E34" s="331"/>
      <c r="F34" s="331"/>
      <c r="G34" s="331"/>
      <c r="H34" s="347"/>
      <c r="I34" s="337"/>
      <c r="J34" s="347"/>
      <c r="K34" s="337"/>
      <c r="L34" s="344" t="str">
        <f t="shared" si="2"/>
        <v>N/A</v>
      </c>
      <c r="M34" s="332">
        <f t="shared" si="0"/>
        <v>0</v>
      </c>
      <c r="N34" s="333"/>
      <c r="O34" s="335"/>
      <c r="P34" s="20">
        <f t="shared" si="5"/>
        <v>0</v>
      </c>
      <c r="Q34" s="20">
        <f t="shared" si="6"/>
        <v>0</v>
      </c>
      <c r="R34" s="20" t="str">
        <f t="shared" si="7"/>
        <v>N/A</v>
      </c>
    </row>
    <row r="35" spans="1:18" s="20" customFormat="1" ht="40.5" customHeight="1" x14ac:dyDescent="0.2">
      <c r="A35" s="340"/>
      <c r="B35" s="341"/>
      <c r="C35" s="339"/>
      <c r="D35" s="339"/>
      <c r="E35" s="331"/>
      <c r="F35" s="331"/>
      <c r="G35" s="331"/>
      <c r="H35" s="347"/>
      <c r="I35" s="337"/>
      <c r="J35" s="347"/>
      <c r="K35" s="337"/>
      <c r="L35" s="344" t="str">
        <f t="shared" si="2"/>
        <v>N/A</v>
      </c>
      <c r="M35" s="332">
        <f t="shared" si="0"/>
        <v>0</v>
      </c>
      <c r="N35" s="333"/>
      <c r="O35" s="335"/>
      <c r="P35" s="20">
        <f t="shared" si="5"/>
        <v>0</v>
      </c>
      <c r="Q35" s="20">
        <f t="shared" si="6"/>
        <v>0</v>
      </c>
      <c r="R35" s="20" t="str">
        <f t="shared" si="7"/>
        <v>N/A</v>
      </c>
    </row>
    <row r="36" spans="1:18" s="20" customFormat="1" ht="24" customHeight="1" x14ac:dyDescent="0.2">
      <c r="A36" s="340"/>
      <c r="B36" s="341"/>
      <c r="C36" s="339"/>
      <c r="D36" s="339"/>
      <c r="E36" s="331"/>
      <c r="F36" s="331"/>
      <c r="G36" s="331"/>
      <c r="H36" s="347"/>
      <c r="I36" s="337"/>
      <c r="J36" s="347"/>
      <c r="K36" s="337"/>
      <c r="L36" s="344" t="str">
        <f t="shared" si="2"/>
        <v>N/A</v>
      </c>
      <c r="M36" s="332">
        <f t="shared" si="0"/>
        <v>0</v>
      </c>
      <c r="N36" s="333"/>
      <c r="O36" s="335"/>
      <c r="P36" s="20">
        <f t="shared" si="5"/>
        <v>0</v>
      </c>
      <c r="Q36" s="20">
        <f t="shared" si="6"/>
        <v>0</v>
      </c>
      <c r="R36" s="20" t="str">
        <f t="shared" si="7"/>
        <v>N/A</v>
      </c>
    </row>
    <row r="37" spans="1:18" s="20" customFormat="1" ht="19.5" customHeight="1" x14ac:dyDescent="0.2">
      <c r="A37" s="340"/>
      <c r="B37" s="341"/>
      <c r="C37" s="339"/>
      <c r="D37" s="339"/>
      <c r="E37" s="331"/>
      <c r="F37" s="331"/>
      <c r="G37" s="331"/>
      <c r="H37" s="347"/>
      <c r="I37" s="337"/>
      <c r="J37" s="347"/>
      <c r="K37" s="337"/>
      <c r="L37" s="344" t="str">
        <f t="shared" si="2"/>
        <v>N/A</v>
      </c>
      <c r="M37" s="332">
        <f t="shared" si="0"/>
        <v>0</v>
      </c>
      <c r="N37" s="333"/>
      <c r="O37" s="335"/>
      <c r="P37" s="20">
        <f t="shared" si="5"/>
        <v>0</v>
      </c>
      <c r="Q37" s="20">
        <f t="shared" si="6"/>
        <v>0</v>
      </c>
      <c r="R37" s="20" t="str">
        <f t="shared" si="7"/>
        <v>N/A</v>
      </c>
    </row>
    <row r="38" spans="1:18" s="20" customFormat="1" ht="18.75" customHeight="1" x14ac:dyDescent="0.2">
      <c r="A38" s="340"/>
      <c r="B38" s="341"/>
      <c r="C38" s="339"/>
      <c r="D38" s="339"/>
      <c r="E38" s="331"/>
      <c r="F38" s="331"/>
      <c r="G38" s="331"/>
      <c r="H38" s="347"/>
      <c r="I38" s="337"/>
      <c r="J38" s="347"/>
      <c r="K38" s="337"/>
      <c r="L38" s="344" t="str">
        <f t="shared" si="2"/>
        <v>N/A</v>
      </c>
      <c r="M38" s="332">
        <f t="shared" si="0"/>
        <v>0</v>
      </c>
      <c r="N38" s="333"/>
      <c r="O38" s="335"/>
      <c r="P38" s="20">
        <f t="shared" si="5"/>
        <v>0</v>
      </c>
      <c r="Q38" s="20">
        <f t="shared" si="6"/>
        <v>0</v>
      </c>
      <c r="R38" s="20" t="str">
        <f t="shared" si="7"/>
        <v>N/A</v>
      </c>
    </row>
    <row r="39" spans="1:18" s="20" customFormat="1" ht="17.25" customHeight="1" x14ac:dyDescent="0.2">
      <c r="A39" s="340"/>
      <c r="B39" s="341"/>
      <c r="C39" s="339"/>
      <c r="D39" s="339"/>
      <c r="E39" s="331"/>
      <c r="F39" s="331"/>
      <c r="G39" s="331"/>
      <c r="H39" s="347"/>
      <c r="I39" s="337"/>
      <c r="J39" s="347"/>
      <c r="K39" s="337"/>
      <c r="L39" s="344" t="str">
        <f t="shared" si="2"/>
        <v>N/A</v>
      </c>
      <c r="M39" s="332">
        <f t="shared" si="0"/>
        <v>0</v>
      </c>
      <c r="N39" s="333"/>
      <c r="O39" s="335"/>
      <c r="P39" s="20">
        <f t="shared" si="5"/>
        <v>0</v>
      </c>
      <c r="Q39" s="20">
        <f t="shared" si="6"/>
        <v>0</v>
      </c>
      <c r="R39" s="20" t="str">
        <f t="shared" si="7"/>
        <v>N/A</v>
      </c>
    </row>
    <row r="40" spans="1:18" s="20" customFormat="1" ht="15.75" customHeight="1" x14ac:dyDescent="0.2">
      <c r="A40" s="340"/>
      <c r="B40" s="341"/>
      <c r="C40" s="339"/>
      <c r="D40" s="339"/>
      <c r="E40" s="331"/>
      <c r="F40" s="331"/>
      <c r="G40" s="331"/>
      <c r="H40" s="347"/>
      <c r="I40" s="337"/>
      <c r="J40" s="347"/>
      <c r="K40" s="337"/>
      <c r="L40" s="344" t="str">
        <f t="shared" si="2"/>
        <v>N/A</v>
      </c>
      <c r="M40" s="332">
        <f t="shared" si="0"/>
        <v>0</v>
      </c>
      <c r="N40" s="333"/>
      <c r="O40" s="335"/>
      <c r="P40" s="20">
        <f t="shared" si="5"/>
        <v>0</v>
      </c>
      <c r="Q40" s="20">
        <f t="shared" si="6"/>
        <v>0</v>
      </c>
      <c r="R40" s="20" t="str">
        <f t="shared" si="7"/>
        <v>N/A</v>
      </c>
    </row>
    <row r="41" spans="1:18" s="20" customFormat="1" ht="24.75" customHeight="1" x14ac:dyDescent="0.2">
      <c r="A41" s="340"/>
      <c r="B41" s="341"/>
      <c r="C41" s="339"/>
      <c r="D41" s="339"/>
      <c r="E41" s="331"/>
      <c r="F41" s="331"/>
      <c r="G41" s="331"/>
      <c r="H41" s="347"/>
      <c r="I41" s="337"/>
      <c r="J41" s="347"/>
      <c r="K41" s="337"/>
      <c r="L41" s="344" t="str">
        <f t="shared" si="2"/>
        <v>N/A</v>
      </c>
      <c r="M41" s="332">
        <f t="shared" si="0"/>
        <v>0</v>
      </c>
      <c r="N41" s="333"/>
      <c r="O41" s="335"/>
      <c r="P41" s="20">
        <f t="shared" si="5"/>
        <v>0</v>
      </c>
      <c r="Q41" s="20">
        <f t="shared" si="6"/>
        <v>0</v>
      </c>
      <c r="R41" s="20" t="str">
        <f t="shared" si="7"/>
        <v>N/A</v>
      </c>
    </row>
    <row r="42" spans="1:18" s="20" customFormat="1" ht="22.5" customHeight="1" x14ac:dyDescent="0.2">
      <c r="A42" s="340"/>
      <c r="B42" s="341"/>
      <c r="C42" s="339"/>
      <c r="D42" s="339"/>
      <c r="E42" s="331"/>
      <c r="F42" s="331"/>
      <c r="G42" s="331"/>
      <c r="H42" s="347"/>
      <c r="I42" s="337"/>
      <c r="J42" s="347"/>
      <c r="K42" s="337"/>
      <c r="L42" s="344" t="str">
        <f t="shared" si="2"/>
        <v>N/A</v>
      </c>
      <c r="M42" s="332">
        <f t="shared" si="0"/>
        <v>0</v>
      </c>
      <c r="N42" s="333"/>
      <c r="O42" s="335"/>
      <c r="P42" s="20">
        <f t="shared" si="5"/>
        <v>0</v>
      </c>
      <c r="Q42" s="20">
        <f t="shared" si="6"/>
        <v>0</v>
      </c>
      <c r="R42" s="20" t="str">
        <f t="shared" si="7"/>
        <v>N/A</v>
      </c>
    </row>
    <row r="43" spans="1:18" s="20" customFormat="1" ht="25.5" customHeight="1" x14ac:dyDescent="0.2">
      <c r="A43" s="340"/>
      <c r="B43" s="341"/>
      <c r="C43" s="339"/>
      <c r="D43" s="339"/>
      <c r="E43" s="331"/>
      <c r="F43" s="331"/>
      <c r="G43" s="331"/>
      <c r="H43" s="347"/>
      <c r="I43" s="337"/>
      <c r="J43" s="347"/>
      <c r="K43" s="337"/>
      <c r="L43" s="344" t="str">
        <f t="shared" si="2"/>
        <v>N/A</v>
      </c>
      <c r="M43" s="332">
        <f t="shared" si="0"/>
        <v>0</v>
      </c>
      <c r="N43" s="333"/>
      <c r="O43" s="335"/>
      <c r="P43" s="20">
        <f t="shared" si="5"/>
        <v>0</v>
      </c>
      <c r="Q43" s="20">
        <f t="shared" si="6"/>
        <v>0</v>
      </c>
      <c r="R43" s="20" t="str">
        <f t="shared" si="7"/>
        <v>N/A</v>
      </c>
    </row>
    <row r="44" spans="1:18" s="20" customFormat="1" ht="28.5" customHeight="1" x14ac:dyDescent="0.2">
      <c r="A44" s="340"/>
      <c r="B44" s="341"/>
      <c r="C44" s="339"/>
      <c r="D44" s="339"/>
      <c r="E44" s="331"/>
      <c r="F44" s="331"/>
      <c r="G44" s="331"/>
      <c r="H44" s="347"/>
      <c r="I44" s="337"/>
      <c r="J44" s="347"/>
      <c r="K44" s="337"/>
      <c r="L44" s="344" t="str">
        <f t="shared" si="2"/>
        <v>N/A</v>
      </c>
      <c r="M44" s="332">
        <f t="shared" si="0"/>
        <v>0</v>
      </c>
      <c r="N44" s="333"/>
      <c r="O44" s="335"/>
      <c r="P44" s="20">
        <f t="shared" si="5"/>
        <v>0</v>
      </c>
      <c r="Q44" s="20">
        <f t="shared" si="6"/>
        <v>0</v>
      </c>
      <c r="R44" s="20" t="str">
        <f t="shared" si="7"/>
        <v>N/A</v>
      </c>
    </row>
    <row r="45" spans="1:18" s="20" customFormat="1" ht="27" customHeight="1" x14ac:dyDescent="0.2">
      <c r="A45" s="340"/>
      <c r="B45" s="341"/>
      <c r="C45" s="339"/>
      <c r="D45" s="339"/>
      <c r="E45" s="331"/>
      <c r="F45" s="331"/>
      <c r="G45" s="331"/>
      <c r="H45" s="347"/>
      <c r="I45" s="337"/>
      <c r="J45" s="347"/>
      <c r="K45" s="337"/>
      <c r="L45" s="344" t="str">
        <f t="shared" si="2"/>
        <v>N/A</v>
      </c>
      <c r="M45" s="332">
        <f t="shared" si="0"/>
        <v>0</v>
      </c>
      <c r="N45" s="333"/>
      <c r="O45" s="335"/>
      <c r="P45" s="20">
        <f t="shared" si="5"/>
        <v>0</v>
      </c>
      <c r="Q45" s="20">
        <f t="shared" si="6"/>
        <v>0</v>
      </c>
      <c r="R45" s="20" t="str">
        <f t="shared" si="7"/>
        <v>N/A</v>
      </c>
    </row>
    <row r="46" spans="1:18" s="20" customFormat="1" ht="27" customHeight="1" x14ac:dyDescent="0.2">
      <c r="A46" s="340"/>
      <c r="B46" s="341"/>
      <c r="C46" s="339"/>
      <c r="D46" s="339"/>
      <c r="E46" s="331"/>
      <c r="F46" s="331"/>
      <c r="G46" s="331"/>
      <c r="H46" s="347"/>
      <c r="I46" s="337"/>
      <c r="J46" s="347"/>
      <c r="K46" s="337"/>
      <c r="L46" s="344" t="str">
        <f t="shared" si="2"/>
        <v>N/A</v>
      </c>
      <c r="M46" s="332">
        <f t="shared" si="0"/>
        <v>0</v>
      </c>
      <c r="N46" s="333"/>
      <c r="O46" s="335"/>
      <c r="P46" s="20">
        <f t="shared" si="5"/>
        <v>0</v>
      </c>
      <c r="Q46" s="20">
        <f t="shared" si="6"/>
        <v>0</v>
      </c>
      <c r="R46" s="20" t="str">
        <f t="shared" si="7"/>
        <v>N/A</v>
      </c>
    </row>
    <row r="47" spans="1:18" s="20" customFormat="1" ht="27" customHeight="1" x14ac:dyDescent="0.2">
      <c r="A47" s="340"/>
      <c r="B47" s="341"/>
      <c r="C47" s="339"/>
      <c r="D47" s="339"/>
      <c r="E47" s="331"/>
      <c r="F47" s="331"/>
      <c r="G47" s="331"/>
      <c r="H47" s="347"/>
      <c r="I47" s="337"/>
      <c r="J47" s="347"/>
      <c r="K47" s="337"/>
      <c r="L47" s="344" t="str">
        <f t="shared" si="2"/>
        <v>N/A</v>
      </c>
      <c r="M47" s="332">
        <f t="shared" si="0"/>
        <v>0</v>
      </c>
      <c r="N47" s="333"/>
      <c r="O47" s="335"/>
      <c r="P47" s="20">
        <f t="shared" si="5"/>
        <v>0</v>
      </c>
      <c r="Q47" s="20">
        <f t="shared" si="6"/>
        <v>0</v>
      </c>
      <c r="R47" s="20" t="str">
        <f t="shared" si="7"/>
        <v>N/A</v>
      </c>
    </row>
    <row r="48" spans="1:18" s="20" customFormat="1" ht="27" customHeight="1" x14ac:dyDescent="0.2">
      <c r="A48" s="340"/>
      <c r="B48" s="341"/>
      <c r="C48" s="339"/>
      <c r="D48" s="339"/>
      <c r="E48" s="331"/>
      <c r="F48" s="331"/>
      <c r="G48" s="331"/>
      <c r="H48" s="347"/>
      <c r="I48" s="337"/>
      <c r="J48" s="347"/>
      <c r="K48" s="337"/>
      <c r="L48" s="344" t="str">
        <f t="shared" si="2"/>
        <v>N/A</v>
      </c>
      <c r="M48" s="332">
        <f t="shared" si="0"/>
        <v>0</v>
      </c>
      <c r="N48" s="333"/>
      <c r="O48" s="335"/>
      <c r="P48" s="20">
        <f t="shared" si="5"/>
        <v>0</v>
      </c>
      <c r="Q48" s="20">
        <f t="shared" si="6"/>
        <v>0</v>
      </c>
      <c r="R48" s="20" t="str">
        <f t="shared" si="7"/>
        <v>N/A</v>
      </c>
    </row>
    <row r="49" spans="1:18" s="20" customFormat="1" ht="27" customHeight="1" x14ac:dyDescent="0.2">
      <c r="A49" s="340"/>
      <c r="B49" s="341"/>
      <c r="C49" s="339"/>
      <c r="D49" s="339"/>
      <c r="E49" s="331"/>
      <c r="F49" s="331"/>
      <c r="G49" s="331"/>
      <c r="H49" s="347"/>
      <c r="I49" s="337"/>
      <c r="J49" s="347"/>
      <c r="K49" s="337"/>
      <c r="L49" s="344" t="str">
        <f t="shared" si="2"/>
        <v>N/A</v>
      </c>
      <c r="M49" s="332">
        <f t="shared" si="0"/>
        <v>0</v>
      </c>
      <c r="N49" s="333"/>
      <c r="O49" s="335"/>
      <c r="P49" s="20">
        <f t="shared" si="5"/>
        <v>0</v>
      </c>
      <c r="Q49" s="20">
        <f t="shared" si="6"/>
        <v>0</v>
      </c>
      <c r="R49" s="20" t="str">
        <f t="shared" si="7"/>
        <v>N/A</v>
      </c>
    </row>
    <row r="50" spans="1:18" s="20" customFormat="1" ht="27" customHeight="1" x14ac:dyDescent="0.2">
      <c r="A50" s="340"/>
      <c r="B50" s="341"/>
      <c r="C50" s="339"/>
      <c r="D50" s="339"/>
      <c r="E50" s="331"/>
      <c r="F50" s="331"/>
      <c r="G50" s="331"/>
      <c r="H50" s="347"/>
      <c r="I50" s="337"/>
      <c r="J50" s="347"/>
      <c r="K50" s="337"/>
      <c r="L50" s="344" t="str">
        <f t="shared" si="2"/>
        <v>N/A</v>
      </c>
      <c r="M50" s="332">
        <f t="shared" si="0"/>
        <v>0</v>
      </c>
      <c r="N50" s="333"/>
      <c r="O50" s="335"/>
      <c r="P50" s="20">
        <f t="shared" si="5"/>
        <v>0</v>
      </c>
      <c r="Q50" s="20">
        <f t="shared" si="6"/>
        <v>0</v>
      </c>
      <c r="R50" s="20" t="str">
        <f t="shared" si="7"/>
        <v>N/A</v>
      </c>
    </row>
    <row r="51" spans="1:18" s="20" customFormat="1" ht="27" customHeight="1" x14ac:dyDescent="0.2">
      <c r="A51" s="340"/>
      <c r="B51" s="341"/>
      <c r="C51" s="339"/>
      <c r="D51" s="339"/>
      <c r="E51" s="331"/>
      <c r="F51" s="331"/>
      <c r="G51" s="331"/>
      <c r="H51" s="347"/>
      <c r="I51" s="337"/>
      <c r="J51" s="347"/>
      <c r="K51" s="337"/>
      <c r="L51" s="344" t="str">
        <f t="shared" si="2"/>
        <v>N/A</v>
      </c>
      <c r="M51" s="332">
        <f t="shared" si="0"/>
        <v>0</v>
      </c>
      <c r="N51" s="333"/>
      <c r="O51" s="335"/>
      <c r="P51" s="20">
        <f t="shared" si="5"/>
        <v>0</v>
      </c>
      <c r="Q51" s="20">
        <f t="shared" si="6"/>
        <v>0</v>
      </c>
      <c r="R51" s="20" t="str">
        <f t="shared" si="7"/>
        <v>N/A</v>
      </c>
    </row>
    <row r="52" spans="1:18" s="20" customFormat="1" ht="27" customHeight="1" x14ac:dyDescent="0.2">
      <c r="A52" s="340"/>
      <c r="B52" s="341"/>
      <c r="C52" s="339"/>
      <c r="D52" s="339"/>
      <c r="E52" s="331"/>
      <c r="F52" s="331"/>
      <c r="G52" s="331"/>
      <c r="H52" s="347"/>
      <c r="I52" s="337"/>
      <c r="J52" s="347"/>
      <c r="K52" s="337"/>
      <c r="L52" s="344" t="str">
        <f t="shared" si="2"/>
        <v>N/A</v>
      </c>
      <c r="M52" s="332">
        <f t="shared" si="0"/>
        <v>0</v>
      </c>
      <c r="N52" s="333"/>
      <c r="O52" s="335"/>
      <c r="P52" s="20">
        <f t="shared" si="5"/>
        <v>0</v>
      </c>
      <c r="Q52" s="20">
        <f t="shared" si="6"/>
        <v>0</v>
      </c>
      <c r="R52" s="20" t="str">
        <f t="shared" si="7"/>
        <v>N/A</v>
      </c>
    </row>
    <row r="53" spans="1:18" s="20" customFormat="1" ht="28.5" customHeight="1" x14ac:dyDescent="0.2">
      <c r="A53" s="340"/>
      <c r="B53" s="341"/>
      <c r="C53" s="339"/>
      <c r="D53" s="339"/>
      <c r="E53" s="331"/>
      <c r="F53" s="331"/>
      <c r="G53" s="331"/>
      <c r="H53" s="347"/>
      <c r="I53" s="337"/>
      <c r="J53" s="347"/>
      <c r="K53" s="337"/>
      <c r="L53" s="344" t="str">
        <f t="shared" si="2"/>
        <v>N/A</v>
      </c>
      <c r="M53" s="332">
        <f t="shared" si="0"/>
        <v>0</v>
      </c>
      <c r="N53" s="333"/>
      <c r="O53" s="335"/>
      <c r="P53" s="20">
        <f t="shared" si="5"/>
        <v>0</v>
      </c>
      <c r="Q53" s="20">
        <f t="shared" si="6"/>
        <v>0</v>
      </c>
      <c r="R53" s="20" t="str">
        <f t="shared" si="7"/>
        <v>N/A</v>
      </c>
    </row>
    <row r="54" spans="1:18" s="20" customFormat="1" ht="34.5" customHeight="1" x14ac:dyDescent="0.2">
      <c r="A54" s="340"/>
      <c r="B54" s="341"/>
      <c r="C54" s="339"/>
      <c r="D54" s="339"/>
      <c r="E54" s="331"/>
      <c r="F54" s="331"/>
      <c r="G54" s="331"/>
      <c r="H54" s="347"/>
      <c r="I54" s="337"/>
      <c r="J54" s="347"/>
      <c r="K54" s="337"/>
      <c r="L54" s="344" t="str">
        <f t="shared" si="2"/>
        <v>N/A</v>
      </c>
      <c r="M54" s="332">
        <f t="shared" si="0"/>
        <v>0</v>
      </c>
      <c r="N54" s="333"/>
      <c r="O54" s="335"/>
      <c r="P54" s="20">
        <f t="shared" si="5"/>
        <v>0</v>
      </c>
      <c r="Q54" s="20">
        <f t="shared" si="6"/>
        <v>0</v>
      </c>
      <c r="R54" s="20" t="str">
        <f t="shared" si="7"/>
        <v>N/A</v>
      </c>
    </row>
    <row r="55" spans="1:18" s="20" customFormat="1" ht="27" customHeight="1" x14ac:dyDescent="0.2">
      <c r="A55" s="340"/>
      <c r="B55" s="341"/>
      <c r="C55" s="339"/>
      <c r="D55" s="339"/>
      <c r="E55" s="331"/>
      <c r="F55" s="331"/>
      <c r="G55" s="331"/>
      <c r="H55" s="347"/>
      <c r="I55" s="337"/>
      <c r="J55" s="347"/>
      <c r="K55" s="337"/>
      <c r="L55" s="344" t="str">
        <f t="shared" si="2"/>
        <v>N/A</v>
      </c>
      <c r="M55" s="332">
        <f t="shared" si="0"/>
        <v>0</v>
      </c>
      <c r="N55" s="333"/>
      <c r="O55" s="335"/>
      <c r="P55" s="20">
        <f t="shared" si="5"/>
        <v>0</v>
      </c>
      <c r="Q55" s="20">
        <f t="shared" si="6"/>
        <v>0</v>
      </c>
      <c r="R55" s="20" t="str">
        <f t="shared" si="7"/>
        <v>N/A</v>
      </c>
    </row>
    <row r="56" spans="1:18" s="20" customFormat="1" ht="27" customHeight="1" x14ac:dyDescent="0.2">
      <c r="A56" s="340"/>
      <c r="B56" s="341"/>
      <c r="C56" s="339"/>
      <c r="D56" s="339"/>
      <c r="E56" s="331"/>
      <c r="F56" s="331"/>
      <c r="G56" s="331"/>
      <c r="H56" s="347"/>
      <c r="I56" s="337"/>
      <c r="J56" s="347"/>
      <c r="K56" s="337"/>
      <c r="L56" s="344" t="str">
        <f t="shared" si="2"/>
        <v>N/A</v>
      </c>
      <c r="M56" s="332">
        <f t="shared" si="0"/>
        <v>0</v>
      </c>
      <c r="N56" s="333"/>
      <c r="O56" s="335"/>
      <c r="P56" s="20">
        <f t="shared" si="5"/>
        <v>0</v>
      </c>
      <c r="Q56" s="20">
        <f t="shared" si="6"/>
        <v>0</v>
      </c>
      <c r="R56" s="20" t="str">
        <f t="shared" si="7"/>
        <v>N/A</v>
      </c>
    </row>
    <row r="57" spans="1:18" s="20" customFormat="1" ht="15" customHeight="1" x14ac:dyDescent="0.2">
      <c r="A57" s="340"/>
      <c r="B57" s="341"/>
      <c r="C57" s="339"/>
      <c r="D57" s="339"/>
      <c r="E57" s="331"/>
      <c r="F57" s="331"/>
      <c r="G57" s="331"/>
      <c r="H57" s="347"/>
      <c r="I57" s="337"/>
      <c r="J57" s="347"/>
      <c r="K57" s="337"/>
      <c r="L57" s="344" t="str">
        <f t="shared" si="2"/>
        <v>N/A</v>
      </c>
      <c r="M57" s="332">
        <f t="shared" si="0"/>
        <v>0</v>
      </c>
      <c r="N57" s="333"/>
      <c r="O57" s="335"/>
      <c r="P57" s="20">
        <f t="shared" si="5"/>
        <v>0</v>
      </c>
      <c r="Q57" s="20">
        <f t="shared" si="6"/>
        <v>0</v>
      </c>
      <c r="R57" s="20" t="str">
        <f t="shared" si="7"/>
        <v>N/A</v>
      </c>
    </row>
    <row r="58" spans="1:18" s="20" customFormat="1" ht="27" customHeight="1" x14ac:dyDescent="0.2">
      <c r="A58" s="340"/>
      <c r="B58" s="341"/>
      <c r="C58" s="339"/>
      <c r="D58" s="339"/>
      <c r="E58" s="331"/>
      <c r="F58" s="331"/>
      <c r="G58" s="331"/>
      <c r="H58" s="347"/>
      <c r="I58" s="337"/>
      <c r="J58" s="347"/>
      <c r="K58" s="337"/>
      <c r="L58" s="344" t="str">
        <f t="shared" si="2"/>
        <v>N/A</v>
      </c>
      <c r="M58" s="332">
        <f t="shared" si="0"/>
        <v>0</v>
      </c>
      <c r="N58" s="333"/>
      <c r="O58" s="335"/>
      <c r="P58" s="20">
        <f t="shared" si="5"/>
        <v>0</v>
      </c>
      <c r="Q58" s="20">
        <f t="shared" si="6"/>
        <v>0</v>
      </c>
      <c r="R58" s="20" t="str">
        <f t="shared" si="7"/>
        <v>N/A</v>
      </c>
    </row>
    <row r="59" spans="1:18" s="20" customFormat="1" ht="27" customHeight="1" x14ac:dyDescent="0.2">
      <c r="A59" s="340"/>
      <c r="B59" s="341"/>
      <c r="C59" s="339"/>
      <c r="D59" s="339"/>
      <c r="E59" s="331"/>
      <c r="F59" s="331"/>
      <c r="G59" s="331"/>
      <c r="H59" s="347"/>
      <c r="I59" s="337"/>
      <c r="J59" s="347"/>
      <c r="K59" s="337"/>
      <c r="L59" s="344" t="str">
        <f t="shared" si="2"/>
        <v>N/A</v>
      </c>
      <c r="M59" s="332">
        <f t="shared" si="0"/>
        <v>0</v>
      </c>
      <c r="N59" s="333"/>
      <c r="O59" s="335"/>
      <c r="P59" s="20">
        <f t="shared" si="5"/>
        <v>0</v>
      </c>
      <c r="Q59" s="20">
        <f t="shared" si="6"/>
        <v>0</v>
      </c>
      <c r="R59" s="20" t="str">
        <f t="shared" si="7"/>
        <v>N/A</v>
      </c>
    </row>
    <row r="60" spans="1:18" s="20" customFormat="1" ht="37.5" customHeight="1" x14ac:dyDescent="0.2">
      <c r="A60" s="340"/>
      <c r="B60" s="341"/>
      <c r="C60" s="339"/>
      <c r="D60" s="339"/>
      <c r="E60" s="331"/>
      <c r="F60" s="331"/>
      <c r="G60" s="331"/>
      <c r="H60" s="347"/>
      <c r="I60" s="337"/>
      <c r="J60" s="347"/>
      <c r="K60" s="337"/>
      <c r="L60" s="344" t="str">
        <f t="shared" si="2"/>
        <v>N/A</v>
      </c>
      <c r="M60" s="332">
        <f t="shared" si="0"/>
        <v>0</v>
      </c>
      <c r="N60" s="333"/>
      <c r="O60" s="335"/>
      <c r="P60" s="20">
        <f t="shared" si="5"/>
        <v>0</v>
      </c>
      <c r="Q60" s="20">
        <f t="shared" si="6"/>
        <v>0</v>
      </c>
      <c r="R60" s="20" t="str">
        <f t="shared" si="7"/>
        <v>N/A</v>
      </c>
    </row>
    <row r="61" spans="1:18" s="20" customFormat="1" ht="36" customHeight="1" x14ac:dyDescent="0.2">
      <c r="A61" s="340"/>
      <c r="B61" s="341"/>
      <c r="C61" s="339"/>
      <c r="D61" s="339"/>
      <c r="E61" s="331"/>
      <c r="F61" s="331"/>
      <c r="G61" s="331"/>
      <c r="H61" s="347"/>
      <c r="I61" s="337"/>
      <c r="J61" s="347"/>
      <c r="K61" s="337"/>
      <c r="L61" s="344" t="str">
        <f t="shared" si="2"/>
        <v>N/A</v>
      </c>
      <c r="M61" s="332">
        <f t="shared" si="0"/>
        <v>0</v>
      </c>
      <c r="N61" s="333"/>
      <c r="O61" s="335"/>
      <c r="P61" s="20">
        <f t="shared" si="5"/>
        <v>0</v>
      </c>
      <c r="Q61" s="20">
        <f t="shared" si="6"/>
        <v>0</v>
      </c>
      <c r="R61" s="20" t="str">
        <f t="shared" si="7"/>
        <v>N/A</v>
      </c>
    </row>
    <row r="62" spans="1:18" s="20" customFormat="1" ht="32.25" customHeight="1" x14ac:dyDescent="0.2">
      <c r="A62" s="340"/>
      <c r="B62" s="341"/>
      <c r="C62" s="339"/>
      <c r="D62" s="339"/>
      <c r="E62" s="331"/>
      <c r="F62" s="331"/>
      <c r="G62" s="331"/>
      <c r="H62" s="347"/>
      <c r="I62" s="337"/>
      <c r="J62" s="347"/>
      <c r="K62" s="337"/>
      <c r="L62" s="344" t="str">
        <f t="shared" si="2"/>
        <v>N/A</v>
      </c>
      <c r="M62" s="332">
        <f t="shared" si="0"/>
        <v>0</v>
      </c>
      <c r="N62" s="333"/>
      <c r="O62" s="335"/>
      <c r="P62" s="20">
        <f t="shared" si="5"/>
        <v>0</v>
      </c>
      <c r="Q62" s="20">
        <f t="shared" si="6"/>
        <v>0</v>
      </c>
      <c r="R62" s="20" t="str">
        <f t="shared" si="7"/>
        <v>N/A</v>
      </c>
    </row>
    <row r="63" spans="1:18" s="20" customFormat="1" ht="26.25" customHeight="1" x14ac:dyDescent="0.2">
      <c r="A63" s="340"/>
      <c r="B63" s="341"/>
      <c r="C63" s="339"/>
      <c r="D63" s="339"/>
      <c r="E63" s="331"/>
      <c r="F63" s="331"/>
      <c r="G63" s="331"/>
      <c r="H63" s="347"/>
      <c r="I63" s="337"/>
      <c r="J63" s="347"/>
      <c r="K63" s="337"/>
      <c r="L63" s="344" t="str">
        <f t="shared" si="2"/>
        <v>N/A</v>
      </c>
      <c r="M63" s="332">
        <f t="shared" si="0"/>
        <v>0</v>
      </c>
      <c r="N63" s="333"/>
      <c r="O63" s="334"/>
      <c r="P63" s="20">
        <f t="shared" ref="P63:P92" si="8">IF(G63="AIE",0,IF(OR(E63="I",E63="E",E63="A"),M63,0))</f>
        <v>0</v>
      </c>
      <c r="Q63" s="20">
        <f t="shared" ref="Q63:Q92" si="9">IF(F63&lt;&gt;"A",IF(AND(G63&lt;&gt;"AIE",F63&lt;&gt;"",F63&lt;&gt;"NA"),M63,0),IF(AND(G63&lt;&gt;"AIE",F63&lt;&gt;"",F63&lt;&gt;"NA"),N63,0))</f>
        <v>0</v>
      </c>
      <c r="R63" s="20" t="str">
        <f t="shared" ref="R63:R92" si="10">G63&amp;L63</f>
        <v>N/A</v>
      </c>
    </row>
    <row r="64" spans="1:18" s="20" customFormat="1" ht="31.5" customHeight="1" x14ac:dyDescent="0.2">
      <c r="A64" s="340"/>
      <c r="B64" s="341"/>
      <c r="C64" s="339"/>
      <c r="D64" s="339"/>
      <c r="E64" s="331"/>
      <c r="F64" s="331"/>
      <c r="G64" s="331"/>
      <c r="H64" s="347"/>
      <c r="I64" s="337"/>
      <c r="J64" s="347"/>
      <c r="K64" s="337"/>
      <c r="L64" s="344" t="str">
        <f t="shared" si="2"/>
        <v>N/A</v>
      </c>
      <c r="M64" s="332">
        <f t="shared" si="0"/>
        <v>0</v>
      </c>
      <c r="N64" s="333"/>
      <c r="O64" s="334"/>
      <c r="P64" s="20">
        <f t="shared" si="8"/>
        <v>0</v>
      </c>
      <c r="Q64" s="20">
        <f t="shared" si="9"/>
        <v>0</v>
      </c>
      <c r="R64" s="20" t="str">
        <f t="shared" si="10"/>
        <v>N/A</v>
      </c>
    </row>
    <row r="65" spans="1:18" s="20" customFormat="1" ht="33.75" customHeight="1" x14ac:dyDescent="0.2">
      <c r="A65" s="340"/>
      <c r="B65" s="341"/>
      <c r="C65" s="339"/>
      <c r="D65" s="339"/>
      <c r="E65" s="331"/>
      <c r="F65" s="331"/>
      <c r="G65" s="331"/>
      <c r="H65" s="347"/>
      <c r="I65" s="337"/>
      <c r="J65" s="347"/>
      <c r="K65" s="337"/>
      <c r="L65" s="344" t="str">
        <f t="shared" si="2"/>
        <v>N/A</v>
      </c>
      <c r="M65" s="332">
        <f t="shared" si="0"/>
        <v>0</v>
      </c>
      <c r="N65" s="333"/>
      <c r="O65" s="335"/>
      <c r="P65" s="20">
        <f t="shared" si="8"/>
        <v>0</v>
      </c>
      <c r="Q65" s="20">
        <f t="shared" si="9"/>
        <v>0</v>
      </c>
      <c r="R65" s="20" t="str">
        <f t="shared" si="10"/>
        <v>N/A</v>
      </c>
    </row>
    <row r="66" spans="1:18" s="20" customFormat="1" ht="27" customHeight="1" x14ac:dyDescent="0.2">
      <c r="A66" s="340"/>
      <c r="B66" s="341"/>
      <c r="C66" s="339"/>
      <c r="D66" s="339"/>
      <c r="E66" s="331"/>
      <c r="F66" s="331"/>
      <c r="G66" s="331"/>
      <c r="H66" s="347"/>
      <c r="I66" s="337"/>
      <c r="J66" s="347"/>
      <c r="K66" s="337"/>
      <c r="L66" s="344" t="str">
        <f t="shared" si="2"/>
        <v>N/A</v>
      </c>
      <c r="M66" s="332">
        <f t="shared" si="0"/>
        <v>0</v>
      </c>
      <c r="N66" s="333"/>
      <c r="O66" s="335"/>
      <c r="P66" s="20">
        <f t="shared" si="8"/>
        <v>0</v>
      </c>
      <c r="Q66" s="20">
        <f t="shared" si="9"/>
        <v>0</v>
      </c>
      <c r="R66" s="20" t="str">
        <f t="shared" si="10"/>
        <v>N/A</v>
      </c>
    </row>
    <row r="67" spans="1:18" s="20" customFormat="1" ht="27.75" customHeight="1" x14ac:dyDescent="0.2">
      <c r="A67" s="340"/>
      <c r="B67" s="341"/>
      <c r="C67" s="339"/>
      <c r="D67" s="339"/>
      <c r="E67" s="331"/>
      <c r="F67" s="331"/>
      <c r="G67" s="331"/>
      <c r="H67" s="347"/>
      <c r="I67" s="337"/>
      <c r="J67" s="347"/>
      <c r="K67" s="337"/>
      <c r="L67" s="344" t="str">
        <f t="shared" si="2"/>
        <v>N/A</v>
      </c>
      <c r="M67" s="332">
        <f t="shared" si="0"/>
        <v>0</v>
      </c>
      <c r="N67" s="333"/>
      <c r="O67" s="335"/>
      <c r="P67" s="20">
        <f t="shared" ref="P67:P86" si="11">IF(G67="AIE",0,IF(OR(E67="I",E67="E",E67="A"),M67,0))</f>
        <v>0</v>
      </c>
      <c r="Q67" s="20">
        <f t="shared" ref="Q67:Q86" si="12">IF(F67&lt;&gt;"A",IF(AND(G67&lt;&gt;"AIE",F67&lt;&gt;"",F67&lt;&gt;"NA"),M67,0),IF(AND(G67&lt;&gt;"AIE",F67&lt;&gt;"",F67&lt;&gt;"NA"),N67,0))</f>
        <v>0</v>
      </c>
      <c r="R67" s="20" t="str">
        <f t="shared" ref="R67:R86" si="13">G67&amp;L67</f>
        <v>N/A</v>
      </c>
    </row>
    <row r="68" spans="1:18" s="20" customFormat="1" ht="25.5" customHeight="1" x14ac:dyDescent="0.2">
      <c r="A68" s="340"/>
      <c r="B68" s="341"/>
      <c r="C68" s="339"/>
      <c r="D68" s="339"/>
      <c r="E68" s="331"/>
      <c r="F68" s="331"/>
      <c r="G68" s="331"/>
      <c r="H68" s="347"/>
      <c r="I68" s="337"/>
      <c r="J68" s="347"/>
      <c r="K68" s="337"/>
      <c r="L68" s="344" t="str">
        <f t="shared" si="2"/>
        <v>N/A</v>
      </c>
      <c r="M68" s="332">
        <f t="shared" si="0"/>
        <v>0</v>
      </c>
      <c r="N68" s="333"/>
      <c r="O68" s="335"/>
      <c r="P68" s="20">
        <f t="shared" si="11"/>
        <v>0</v>
      </c>
      <c r="Q68" s="20">
        <f t="shared" si="12"/>
        <v>0</v>
      </c>
      <c r="R68" s="20" t="str">
        <f t="shared" si="13"/>
        <v>N/A</v>
      </c>
    </row>
    <row r="69" spans="1:18" s="20" customFormat="1" ht="36" customHeight="1" x14ac:dyDescent="0.2">
      <c r="A69" s="340"/>
      <c r="B69" s="341"/>
      <c r="C69" s="339"/>
      <c r="D69" s="339"/>
      <c r="E69" s="331"/>
      <c r="F69" s="331"/>
      <c r="G69" s="331"/>
      <c r="H69" s="347"/>
      <c r="I69" s="337"/>
      <c r="J69" s="347"/>
      <c r="K69" s="337"/>
      <c r="L69" s="344" t="str">
        <f t="shared" si="2"/>
        <v>N/A</v>
      </c>
      <c r="M69" s="332">
        <f t="shared" si="0"/>
        <v>0</v>
      </c>
      <c r="N69" s="333"/>
      <c r="O69" s="335"/>
      <c r="P69" s="20">
        <f t="shared" si="11"/>
        <v>0</v>
      </c>
      <c r="Q69" s="20">
        <f t="shared" si="12"/>
        <v>0</v>
      </c>
      <c r="R69" s="20" t="str">
        <f t="shared" si="13"/>
        <v>N/A</v>
      </c>
    </row>
    <row r="70" spans="1:18" s="20" customFormat="1" ht="30" customHeight="1" x14ac:dyDescent="0.2">
      <c r="A70" s="340"/>
      <c r="B70" s="341"/>
      <c r="C70" s="339"/>
      <c r="D70" s="339"/>
      <c r="E70" s="331"/>
      <c r="F70" s="331"/>
      <c r="G70" s="331"/>
      <c r="H70" s="347"/>
      <c r="I70" s="337"/>
      <c r="J70" s="347"/>
      <c r="K70" s="337"/>
      <c r="L70" s="344" t="str">
        <f t="shared" si="2"/>
        <v>N/A</v>
      </c>
      <c r="M70" s="332">
        <f t="shared" si="0"/>
        <v>0</v>
      </c>
      <c r="N70" s="333"/>
      <c r="O70" s="335"/>
      <c r="P70" s="20">
        <f t="shared" si="11"/>
        <v>0</v>
      </c>
      <c r="Q70" s="20">
        <f t="shared" si="12"/>
        <v>0</v>
      </c>
      <c r="R70" s="20" t="str">
        <f t="shared" si="13"/>
        <v>N/A</v>
      </c>
    </row>
    <row r="71" spans="1:18" s="20" customFormat="1" ht="34.5" customHeight="1" x14ac:dyDescent="0.2">
      <c r="A71" s="340"/>
      <c r="B71" s="341"/>
      <c r="C71" s="339"/>
      <c r="D71" s="339"/>
      <c r="E71" s="331"/>
      <c r="F71" s="331"/>
      <c r="G71" s="331"/>
      <c r="H71" s="347"/>
      <c r="I71" s="337"/>
      <c r="J71" s="347"/>
      <c r="K71" s="337"/>
      <c r="L71" s="344" t="str">
        <f t="shared" si="2"/>
        <v>N/A</v>
      </c>
      <c r="M71" s="332">
        <f t="shared" si="0"/>
        <v>0</v>
      </c>
      <c r="N71" s="333"/>
      <c r="O71" s="335"/>
      <c r="P71" s="20">
        <f t="shared" si="11"/>
        <v>0</v>
      </c>
      <c r="Q71" s="20">
        <f t="shared" si="12"/>
        <v>0</v>
      </c>
      <c r="R71" s="20" t="str">
        <f t="shared" si="13"/>
        <v>N/A</v>
      </c>
    </row>
    <row r="72" spans="1:18" s="20" customFormat="1" x14ac:dyDescent="0.2">
      <c r="A72" s="340"/>
      <c r="B72" s="341"/>
      <c r="C72" s="339"/>
      <c r="D72" s="339"/>
      <c r="E72" s="331"/>
      <c r="F72" s="331"/>
      <c r="G72" s="331"/>
      <c r="H72" s="347"/>
      <c r="I72" s="337"/>
      <c r="J72" s="347"/>
      <c r="K72" s="337"/>
      <c r="L72" s="344" t="str">
        <f t="shared" si="2"/>
        <v>N/A</v>
      </c>
      <c r="M72" s="332">
        <f t="shared" si="0"/>
        <v>0</v>
      </c>
      <c r="N72" s="333"/>
      <c r="O72" s="335"/>
      <c r="P72" s="20">
        <f t="shared" si="11"/>
        <v>0</v>
      </c>
      <c r="Q72" s="20">
        <f t="shared" si="12"/>
        <v>0</v>
      </c>
      <c r="R72" s="20" t="str">
        <f t="shared" si="13"/>
        <v>N/A</v>
      </c>
    </row>
    <row r="73" spans="1:18" s="20" customFormat="1" ht="39" customHeight="1" x14ac:dyDescent="0.2">
      <c r="A73" s="340"/>
      <c r="B73" s="341"/>
      <c r="C73" s="339"/>
      <c r="D73" s="339"/>
      <c r="E73" s="331"/>
      <c r="F73" s="331"/>
      <c r="G73" s="331"/>
      <c r="H73" s="347"/>
      <c r="I73" s="337"/>
      <c r="J73" s="347"/>
      <c r="K73" s="337"/>
      <c r="L73" s="344" t="str">
        <f t="shared" si="2"/>
        <v>N/A</v>
      </c>
      <c r="M73" s="332">
        <f t="shared" si="0"/>
        <v>0</v>
      </c>
      <c r="N73" s="333"/>
      <c r="O73" s="335"/>
      <c r="P73" s="20">
        <f t="shared" si="11"/>
        <v>0</v>
      </c>
      <c r="Q73" s="20">
        <f t="shared" si="12"/>
        <v>0</v>
      </c>
      <c r="R73" s="20" t="str">
        <f t="shared" si="13"/>
        <v>N/A</v>
      </c>
    </row>
    <row r="74" spans="1:18" s="20" customFormat="1" ht="35.25" customHeight="1" x14ac:dyDescent="0.2">
      <c r="A74" s="340"/>
      <c r="B74" s="341"/>
      <c r="C74" s="339"/>
      <c r="D74" s="339"/>
      <c r="E74" s="331"/>
      <c r="F74" s="331"/>
      <c r="G74" s="331"/>
      <c r="H74" s="347"/>
      <c r="I74" s="337"/>
      <c r="J74" s="347"/>
      <c r="K74" s="337"/>
      <c r="L74" s="344" t="str">
        <f t="shared" si="2"/>
        <v>N/A</v>
      </c>
      <c r="M74" s="332">
        <f t="shared" si="0"/>
        <v>0</v>
      </c>
      <c r="N74" s="333"/>
      <c r="O74" s="335"/>
      <c r="P74" s="20">
        <f t="shared" si="11"/>
        <v>0</v>
      </c>
      <c r="Q74" s="20">
        <f t="shared" si="12"/>
        <v>0</v>
      </c>
      <c r="R74" s="20" t="str">
        <f t="shared" si="13"/>
        <v>N/A</v>
      </c>
    </row>
    <row r="75" spans="1:18" s="20" customFormat="1" ht="32.25" customHeight="1" x14ac:dyDescent="0.2">
      <c r="A75" s="340"/>
      <c r="B75" s="341"/>
      <c r="C75" s="339"/>
      <c r="D75" s="339"/>
      <c r="E75" s="331"/>
      <c r="F75" s="331"/>
      <c r="G75" s="331"/>
      <c r="H75" s="347"/>
      <c r="I75" s="337"/>
      <c r="J75" s="347"/>
      <c r="K75" s="337"/>
      <c r="L75" s="344" t="str">
        <f t="shared" si="2"/>
        <v>N/A</v>
      </c>
      <c r="M75" s="332">
        <f t="shared" si="0"/>
        <v>0</v>
      </c>
      <c r="N75" s="333"/>
      <c r="O75" s="335"/>
      <c r="P75" s="20">
        <f t="shared" si="11"/>
        <v>0</v>
      </c>
      <c r="Q75" s="20">
        <f t="shared" si="12"/>
        <v>0</v>
      </c>
      <c r="R75" s="20" t="str">
        <f t="shared" si="13"/>
        <v>N/A</v>
      </c>
    </row>
    <row r="76" spans="1:18" s="20" customFormat="1" ht="32.25" customHeight="1" x14ac:dyDescent="0.2">
      <c r="A76" s="340"/>
      <c r="B76" s="341"/>
      <c r="C76" s="339"/>
      <c r="D76" s="339"/>
      <c r="E76" s="331"/>
      <c r="F76" s="331"/>
      <c r="G76" s="331"/>
      <c r="H76" s="347"/>
      <c r="I76" s="337"/>
      <c r="J76" s="347"/>
      <c r="K76" s="337"/>
      <c r="L76" s="344" t="str">
        <f t="shared" si="2"/>
        <v>N/A</v>
      </c>
      <c r="M76" s="332">
        <f t="shared" si="0"/>
        <v>0</v>
      </c>
      <c r="N76" s="333"/>
      <c r="O76" s="335"/>
      <c r="P76" s="20">
        <f t="shared" si="11"/>
        <v>0</v>
      </c>
      <c r="Q76" s="20">
        <f t="shared" si="12"/>
        <v>0</v>
      </c>
      <c r="R76" s="20" t="str">
        <f t="shared" si="13"/>
        <v>N/A</v>
      </c>
    </row>
    <row r="77" spans="1:18" s="20" customFormat="1" ht="42" customHeight="1" x14ac:dyDescent="0.2">
      <c r="A77" s="340"/>
      <c r="B77" s="341"/>
      <c r="C77" s="339"/>
      <c r="D77" s="339"/>
      <c r="E77" s="331"/>
      <c r="F77" s="331"/>
      <c r="G77" s="331"/>
      <c r="H77" s="347"/>
      <c r="I77" s="337"/>
      <c r="J77" s="347"/>
      <c r="K77" s="337"/>
      <c r="L77" s="344" t="str">
        <f t="shared" si="2"/>
        <v>N/A</v>
      </c>
      <c r="M77" s="332">
        <f t="shared" si="0"/>
        <v>0</v>
      </c>
      <c r="N77" s="333"/>
      <c r="O77" s="335"/>
      <c r="P77" s="20">
        <f t="shared" si="11"/>
        <v>0</v>
      </c>
      <c r="Q77" s="20">
        <f t="shared" si="12"/>
        <v>0</v>
      </c>
      <c r="R77" s="20" t="str">
        <f t="shared" si="13"/>
        <v>N/A</v>
      </c>
    </row>
    <row r="78" spans="1:18" s="20" customFormat="1" ht="42.75" customHeight="1" x14ac:dyDescent="0.2">
      <c r="A78" s="340"/>
      <c r="B78" s="341"/>
      <c r="C78" s="339"/>
      <c r="D78" s="339"/>
      <c r="E78" s="331"/>
      <c r="F78" s="331"/>
      <c r="G78" s="331"/>
      <c r="H78" s="347"/>
      <c r="I78" s="337"/>
      <c r="J78" s="347"/>
      <c r="K78" s="337"/>
      <c r="L78" s="344" t="str">
        <f t="shared" si="2"/>
        <v>N/A</v>
      </c>
      <c r="M78" s="332">
        <f t="shared" si="0"/>
        <v>0</v>
      </c>
      <c r="N78" s="333"/>
      <c r="O78" s="335"/>
      <c r="P78" s="20">
        <f t="shared" si="11"/>
        <v>0</v>
      </c>
      <c r="Q78" s="20">
        <f t="shared" si="12"/>
        <v>0</v>
      </c>
      <c r="R78" s="20" t="str">
        <f t="shared" si="13"/>
        <v>N/A</v>
      </c>
    </row>
    <row r="79" spans="1:18" s="20" customFormat="1" ht="39" customHeight="1" x14ac:dyDescent="0.2">
      <c r="A79" s="340"/>
      <c r="B79" s="341"/>
      <c r="C79" s="339"/>
      <c r="D79" s="339"/>
      <c r="E79" s="331"/>
      <c r="F79" s="331"/>
      <c r="G79" s="331"/>
      <c r="H79" s="347"/>
      <c r="I79" s="337"/>
      <c r="J79" s="347"/>
      <c r="K79" s="337"/>
      <c r="L79" s="344" t="str">
        <f t="shared" si="2"/>
        <v>N/A</v>
      </c>
      <c r="M79" s="332">
        <f t="shared" si="0"/>
        <v>0</v>
      </c>
      <c r="N79" s="333"/>
      <c r="O79" s="335"/>
      <c r="P79" s="20">
        <f t="shared" si="11"/>
        <v>0</v>
      </c>
      <c r="Q79" s="20">
        <f t="shared" si="12"/>
        <v>0</v>
      </c>
      <c r="R79" s="20" t="str">
        <f t="shared" si="13"/>
        <v>N/A</v>
      </c>
    </row>
    <row r="80" spans="1:18" s="20" customFormat="1" ht="24.75" customHeight="1" x14ac:dyDescent="0.2">
      <c r="A80" s="340"/>
      <c r="B80" s="341"/>
      <c r="C80" s="339"/>
      <c r="D80" s="339"/>
      <c r="E80" s="331"/>
      <c r="F80" s="331"/>
      <c r="G80" s="331"/>
      <c r="H80" s="347"/>
      <c r="I80" s="337"/>
      <c r="J80" s="347"/>
      <c r="K80" s="337"/>
      <c r="L80" s="344" t="str">
        <f t="shared" si="2"/>
        <v>N/A</v>
      </c>
      <c r="M80" s="332">
        <f t="shared" si="0"/>
        <v>0</v>
      </c>
      <c r="N80" s="333"/>
      <c r="O80" s="335"/>
      <c r="P80" s="20">
        <f t="shared" si="11"/>
        <v>0</v>
      </c>
      <c r="Q80" s="20">
        <f t="shared" si="12"/>
        <v>0</v>
      </c>
      <c r="R80" s="20" t="str">
        <f t="shared" si="13"/>
        <v>N/A</v>
      </c>
    </row>
    <row r="81" spans="1:18" s="20" customFormat="1" ht="28.5" customHeight="1" x14ac:dyDescent="0.2">
      <c r="A81" s="340"/>
      <c r="B81" s="341"/>
      <c r="C81" s="339"/>
      <c r="D81" s="339"/>
      <c r="E81" s="331"/>
      <c r="F81" s="331"/>
      <c r="G81" s="331"/>
      <c r="H81" s="347"/>
      <c r="I81" s="337"/>
      <c r="J81" s="347"/>
      <c r="K81" s="337"/>
      <c r="L81" s="344" t="str">
        <f t="shared" si="2"/>
        <v>N/A</v>
      </c>
      <c r="M81" s="332">
        <f t="shared" si="0"/>
        <v>0</v>
      </c>
      <c r="N81" s="333"/>
      <c r="O81" s="335"/>
      <c r="P81" s="20">
        <f t="shared" si="11"/>
        <v>0</v>
      </c>
      <c r="Q81" s="20">
        <f t="shared" si="12"/>
        <v>0</v>
      </c>
      <c r="R81" s="20" t="str">
        <f t="shared" si="13"/>
        <v>N/A</v>
      </c>
    </row>
    <row r="82" spans="1:18" s="20" customFormat="1" ht="16.5" customHeight="1" x14ac:dyDescent="0.2">
      <c r="A82" s="340"/>
      <c r="B82" s="341"/>
      <c r="C82" s="339"/>
      <c r="D82" s="339"/>
      <c r="E82" s="331"/>
      <c r="F82" s="331"/>
      <c r="G82" s="331"/>
      <c r="H82" s="347"/>
      <c r="I82" s="337"/>
      <c r="J82" s="347"/>
      <c r="K82" s="337"/>
      <c r="L82" s="344" t="str">
        <f t="shared" si="2"/>
        <v>N/A</v>
      </c>
      <c r="M82" s="332">
        <f t="shared" si="0"/>
        <v>0</v>
      </c>
      <c r="N82" s="333"/>
      <c r="O82" s="335"/>
      <c r="P82" s="20">
        <f t="shared" si="11"/>
        <v>0</v>
      </c>
      <c r="Q82" s="20">
        <f t="shared" si="12"/>
        <v>0</v>
      </c>
      <c r="R82" s="20" t="str">
        <f t="shared" si="13"/>
        <v>N/A</v>
      </c>
    </row>
    <row r="83" spans="1:18" s="20" customFormat="1" ht="24.75" customHeight="1" x14ac:dyDescent="0.2">
      <c r="A83" s="340"/>
      <c r="B83" s="341"/>
      <c r="C83" s="339"/>
      <c r="D83" s="339"/>
      <c r="E83" s="331"/>
      <c r="F83" s="331"/>
      <c r="G83" s="331"/>
      <c r="H83" s="347"/>
      <c r="I83" s="337"/>
      <c r="J83" s="347"/>
      <c r="K83" s="337"/>
      <c r="L83" s="344" t="str">
        <f t="shared" si="2"/>
        <v>N/A</v>
      </c>
      <c r="M83" s="332">
        <f t="shared" si="0"/>
        <v>0</v>
      </c>
      <c r="N83" s="333"/>
      <c r="O83" s="335"/>
      <c r="P83" s="20">
        <f t="shared" si="11"/>
        <v>0</v>
      </c>
      <c r="Q83" s="20">
        <f t="shared" si="12"/>
        <v>0</v>
      </c>
      <c r="R83" s="20" t="str">
        <f t="shared" si="13"/>
        <v>N/A</v>
      </c>
    </row>
    <row r="84" spans="1:18" s="20" customFormat="1" ht="13.5" customHeight="1" x14ac:dyDescent="0.2">
      <c r="A84" s="340"/>
      <c r="B84" s="341"/>
      <c r="C84" s="339"/>
      <c r="D84" s="339"/>
      <c r="E84" s="331"/>
      <c r="F84" s="331"/>
      <c r="G84" s="331"/>
      <c r="H84" s="347"/>
      <c r="I84" s="337"/>
      <c r="J84" s="347"/>
      <c r="K84" s="337"/>
      <c r="L84" s="344" t="str">
        <f t="shared" si="2"/>
        <v>N/A</v>
      </c>
      <c r="M84" s="332">
        <f t="shared" si="0"/>
        <v>0</v>
      </c>
      <c r="N84" s="333"/>
      <c r="O84" s="335"/>
      <c r="P84" s="20">
        <f t="shared" si="11"/>
        <v>0</v>
      </c>
      <c r="Q84" s="20">
        <f t="shared" si="12"/>
        <v>0</v>
      </c>
      <c r="R84" s="20" t="str">
        <f t="shared" si="13"/>
        <v>N/A</v>
      </c>
    </row>
    <row r="85" spans="1:18" s="20" customFormat="1" ht="27" customHeight="1" x14ac:dyDescent="0.2">
      <c r="A85" s="340"/>
      <c r="B85" s="341"/>
      <c r="C85" s="339"/>
      <c r="D85" s="339"/>
      <c r="E85" s="331"/>
      <c r="F85" s="331"/>
      <c r="G85" s="331"/>
      <c r="H85" s="347"/>
      <c r="I85" s="337"/>
      <c r="J85" s="347"/>
      <c r="K85" s="337"/>
      <c r="L85" s="344" t="str">
        <f t="shared" si="2"/>
        <v>N/A</v>
      </c>
      <c r="M85" s="332">
        <f t="shared" si="0"/>
        <v>0</v>
      </c>
      <c r="N85" s="333"/>
      <c r="O85" s="335"/>
      <c r="P85" s="20">
        <f t="shared" si="11"/>
        <v>0</v>
      </c>
      <c r="Q85" s="20">
        <f t="shared" si="12"/>
        <v>0</v>
      </c>
      <c r="R85" s="20" t="str">
        <f t="shared" si="13"/>
        <v>N/A</v>
      </c>
    </row>
    <row r="86" spans="1:18" s="20" customFormat="1" ht="27" customHeight="1" x14ac:dyDescent="0.2">
      <c r="A86" s="340"/>
      <c r="B86" s="341"/>
      <c r="C86" s="339"/>
      <c r="D86" s="339"/>
      <c r="E86" s="331"/>
      <c r="F86" s="331"/>
      <c r="G86" s="331"/>
      <c r="H86" s="347"/>
      <c r="I86" s="337"/>
      <c r="J86" s="347"/>
      <c r="K86" s="337"/>
      <c r="L86" s="344" t="str">
        <f t="shared" si="2"/>
        <v>N/A</v>
      </c>
      <c r="M86" s="332">
        <f t="shared" si="0"/>
        <v>0</v>
      </c>
      <c r="N86" s="333"/>
      <c r="O86" s="335"/>
      <c r="P86" s="20">
        <f t="shared" si="11"/>
        <v>0</v>
      </c>
      <c r="Q86" s="20">
        <f t="shared" si="12"/>
        <v>0</v>
      </c>
      <c r="R86" s="20" t="str">
        <f t="shared" si="13"/>
        <v>N/A</v>
      </c>
    </row>
    <row r="87" spans="1:18" s="20" customFormat="1" ht="28.5" customHeight="1" x14ac:dyDescent="0.2">
      <c r="A87" s="340"/>
      <c r="B87" s="341"/>
      <c r="C87" s="339"/>
      <c r="D87" s="339"/>
      <c r="E87" s="331"/>
      <c r="F87" s="331"/>
      <c r="G87" s="331"/>
      <c r="H87" s="347"/>
      <c r="I87" s="337"/>
      <c r="J87" s="347"/>
      <c r="K87" s="337"/>
      <c r="L87" s="344" t="str">
        <f t="shared" si="2"/>
        <v>N/A</v>
      </c>
      <c r="M87" s="332">
        <f t="shared" si="0"/>
        <v>0</v>
      </c>
      <c r="N87" s="333"/>
      <c r="O87" s="335"/>
      <c r="P87" s="20">
        <f t="shared" si="8"/>
        <v>0</v>
      </c>
      <c r="Q87" s="20">
        <f t="shared" si="9"/>
        <v>0</v>
      </c>
      <c r="R87" s="20" t="str">
        <f t="shared" si="10"/>
        <v>N/A</v>
      </c>
    </row>
    <row r="88" spans="1:18" s="20" customFormat="1" ht="28.5" customHeight="1" x14ac:dyDescent="0.2">
      <c r="A88" s="340"/>
      <c r="B88" s="341"/>
      <c r="C88" s="339"/>
      <c r="D88" s="339"/>
      <c r="E88" s="331"/>
      <c r="F88" s="331"/>
      <c r="G88" s="331"/>
      <c r="H88" s="347"/>
      <c r="I88" s="337"/>
      <c r="J88" s="347"/>
      <c r="K88" s="337"/>
      <c r="L88" s="344" t="str">
        <f t="shared" si="2"/>
        <v>N/A</v>
      </c>
      <c r="M88" s="332">
        <f t="shared" si="0"/>
        <v>0</v>
      </c>
      <c r="N88" s="333"/>
      <c r="O88" s="335"/>
      <c r="P88" s="20">
        <f t="shared" si="8"/>
        <v>0</v>
      </c>
      <c r="Q88" s="20">
        <f t="shared" si="9"/>
        <v>0</v>
      </c>
      <c r="R88" s="20" t="str">
        <f t="shared" si="10"/>
        <v>N/A</v>
      </c>
    </row>
    <row r="89" spans="1:18" s="20" customFormat="1" ht="29.25" customHeight="1" x14ac:dyDescent="0.2">
      <c r="A89" s="340"/>
      <c r="B89" s="341"/>
      <c r="C89" s="339"/>
      <c r="D89" s="339"/>
      <c r="E89" s="331"/>
      <c r="F89" s="331"/>
      <c r="G89" s="331"/>
      <c r="H89" s="347"/>
      <c r="I89" s="337"/>
      <c r="J89" s="347"/>
      <c r="K89" s="337"/>
      <c r="L89" s="344" t="str">
        <f t="shared" si="2"/>
        <v>N/A</v>
      </c>
      <c r="M89" s="332">
        <f t="shared" si="0"/>
        <v>0</v>
      </c>
      <c r="N89" s="333"/>
      <c r="O89" s="335"/>
      <c r="P89" s="20">
        <f t="shared" si="8"/>
        <v>0</v>
      </c>
      <c r="Q89" s="20">
        <f t="shared" si="9"/>
        <v>0</v>
      </c>
      <c r="R89" s="20" t="str">
        <f t="shared" si="10"/>
        <v>N/A</v>
      </c>
    </row>
    <row r="90" spans="1:18" s="20" customFormat="1" ht="30" customHeight="1" x14ac:dyDescent="0.2">
      <c r="A90" s="340"/>
      <c r="B90" s="341"/>
      <c r="C90" s="339"/>
      <c r="D90" s="339"/>
      <c r="E90" s="331"/>
      <c r="F90" s="331"/>
      <c r="G90" s="331"/>
      <c r="H90" s="347"/>
      <c r="I90" s="337"/>
      <c r="J90" s="347"/>
      <c r="K90" s="337"/>
      <c r="L90" s="344" t="str">
        <f t="shared" si="2"/>
        <v>N/A</v>
      </c>
      <c r="M90" s="332">
        <f t="shared" si="0"/>
        <v>0</v>
      </c>
      <c r="N90" s="333"/>
      <c r="O90" s="335"/>
      <c r="P90" s="20">
        <f t="shared" si="8"/>
        <v>0</v>
      </c>
      <c r="Q90" s="20">
        <f t="shared" si="9"/>
        <v>0</v>
      </c>
      <c r="R90" s="20" t="str">
        <f t="shared" si="10"/>
        <v>N/A</v>
      </c>
    </row>
    <row r="91" spans="1:18" s="20" customFormat="1" ht="35.25" customHeight="1" x14ac:dyDescent="0.2">
      <c r="A91" s="340"/>
      <c r="B91" s="341"/>
      <c r="C91" s="339"/>
      <c r="D91" s="339"/>
      <c r="E91" s="331"/>
      <c r="F91" s="331"/>
      <c r="G91" s="331"/>
      <c r="H91" s="347"/>
      <c r="I91" s="337"/>
      <c r="J91" s="347"/>
      <c r="K91" s="337"/>
      <c r="L91" s="344" t="str">
        <f t="shared" si="2"/>
        <v>N/A</v>
      </c>
      <c r="M91" s="332">
        <f t="shared" si="0"/>
        <v>0</v>
      </c>
      <c r="N91" s="333"/>
      <c r="O91" s="335"/>
      <c r="P91" s="20">
        <f t="shared" si="8"/>
        <v>0</v>
      </c>
      <c r="Q91" s="20">
        <f t="shared" si="9"/>
        <v>0</v>
      </c>
      <c r="R91" s="20" t="str">
        <f t="shared" si="10"/>
        <v>N/A</v>
      </c>
    </row>
    <row r="92" spans="1:18" s="20" customFormat="1" ht="29.25" customHeight="1" x14ac:dyDescent="0.2">
      <c r="A92" s="340"/>
      <c r="B92" s="341"/>
      <c r="C92" s="339"/>
      <c r="D92" s="339"/>
      <c r="E92" s="331"/>
      <c r="F92" s="331"/>
      <c r="G92" s="331"/>
      <c r="H92" s="347"/>
      <c r="I92" s="337"/>
      <c r="J92" s="347"/>
      <c r="K92" s="337"/>
      <c r="L92" s="344" t="str">
        <f t="shared" si="2"/>
        <v>N/A</v>
      </c>
      <c r="M92" s="332">
        <f t="shared" si="0"/>
        <v>0</v>
      </c>
      <c r="N92" s="333"/>
      <c r="O92" s="335"/>
      <c r="P92" s="20">
        <f t="shared" si="8"/>
        <v>0</v>
      </c>
      <c r="Q92" s="20">
        <f t="shared" si="9"/>
        <v>0</v>
      </c>
      <c r="R92" s="20" t="str">
        <f t="shared" si="10"/>
        <v>N/A</v>
      </c>
    </row>
    <row r="93" spans="1:18" s="20" customFormat="1" ht="30" customHeight="1" x14ac:dyDescent="0.2">
      <c r="A93" s="340"/>
      <c r="B93" s="341"/>
      <c r="C93" s="339"/>
      <c r="D93" s="339"/>
      <c r="E93" s="331"/>
      <c r="F93" s="331"/>
      <c r="G93" s="331"/>
      <c r="H93" s="347"/>
      <c r="I93" s="337"/>
      <c r="J93" s="347"/>
      <c r="K93" s="338"/>
      <c r="L93" s="344" t="str">
        <f t="shared" si="2"/>
        <v>N/A</v>
      </c>
      <c r="M93" s="332">
        <f t="shared" si="0"/>
        <v>0</v>
      </c>
      <c r="N93" s="333"/>
      <c r="O93" s="335"/>
      <c r="P93" s="20">
        <f t="shared" si="3"/>
        <v>0</v>
      </c>
      <c r="Q93" s="20">
        <f t="shared" si="4"/>
        <v>0</v>
      </c>
      <c r="R93" s="20" t="str">
        <f t="shared" si="1"/>
        <v>N/A</v>
      </c>
    </row>
    <row r="94" spans="1:18" s="20" customFormat="1" ht="43.5" customHeight="1" x14ac:dyDescent="0.2">
      <c r="A94" s="342"/>
      <c r="B94" s="343"/>
      <c r="C94" s="339"/>
      <c r="D94" s="339"/>
      <c r="E94" s="331"/>
      <c r="F94" s="331"/>
      <c r="G94" s="331"/>
      <c r="H94" s="347"/>
      <c r="I94" s="337"/>
      <c r="J94" s="347"/>
      <c r="K94" s="338"/>
      <c r="L94" s="344" t="str">
        <f t="shared" si="2"/>
        <v>N/A</v>
      </c>
      <c r="M94" s="332">
        <f t="shared" si="0"/>
        <v>0</v>
      </c>
      <c r="N94" s="333"/>
      <c r="O94" s="335"/>
      <c r="P94" s="20">
        <f t="shared" si="3"/>
        <v>0</v>
      </c>
      <c r="Q94" s="20">
        <f t="shared" si="4"/>
        <v>0</v>
      </c>
      <c r="R94" s="20" t="str">
        <f t="shared" si="1"/>
        <v>N/A</v>
      </c>
    </row>
    <row r="95" spans="1:18" s="20" customFormat="1" ht="24" customHeight="1" x14ac:dyDescent="0.2">
      <c r="A95" s="342"/>
      <c r="B95" s="343"/>
      <c r="C95" s="339"/>
      <c r="D95" s="339"/>
      <c r="E95" s="331"/>
      <c r="F95" s="331"/>
      <c r="G95" s="331"/>
      <c r="H95" s="347"/>
      <c r="I95" s="337"/>
      <c r="J95" s="347"/>
      <c r="K95" s="338"/>
      <c r="L95" s="344" t="str">
        <f t="shared" si="2"/>
        <v>N/A</v>
      </c>
      <c r="M95" s="332">
        <f t="shared" si="0"/>
        <v>0</v>
      </c>
      <c r="N95" s="333"/>
      <c r="O95" s="335"/>
      <c r="P95" s="20">
        <f t="shared" si="3"/>
        <v>0</v>
      </c>
      <c r="Q95" s="20">
        <f t="shared" si="4"/>
        <v>0</v>
      </c>
      <c r="R95" s="20" t="str">
        <f t="shared" si="1"/>
        <v>N/A</v>
      </c>
    </row>
    <row r="96" spans="1:18" s="20" customFormat="1" ht="24" customHeight="1" x14ac:dyDescent="0.2">
      <c r="A96" s="342"/>
      <c r="B96" s="343"/>
      <c r="C96" s="339"/>
      <c r="D96" s="339"/>
      <c r="E96" s="331"/>
      <c r="F96" s="331"/>
      <c r="G96" s="331"/>
      <c r="H96" s="347"/>
      <c r="I96" s="337"/>
      <c r="J96" s="347"/>
      <c r="K96" s="338"/>
      <c r="L96" s="344" t="str">
        <f t="shared" si="2"/>
        <v>N/A</v>
      </c>
      <c r="M96" s="332">
        <f t="shared" si="0"/>
        <v>0</v>
      </c>
      <c r="N96" s="333"/>
      <c r="O96" s="335"/>
      <c r="P96" s="20">
        <f t="shared" si="3"/>
        <v>0</v>
      </c>
      <c r="Q96" s="20">
        <f t="shared" si="4"/>
        <v>0</v>
      </c>
      <c r="R96" s="20" t="str">
        <f t="shared" si="1"/>
        <v>N/A</v>
      </c>
    </row>
    <row r="97" spans="1:18" s="20" customFormat="1" ht="34.5" customHeight="1" x14ac:dyDescent="0.2">
      <c r="A97" s="342"/>
      <c r="B97" s="343"/>
      <c r="C97" s="339"/>
      <c r="D97" s="339"/>
      <c r="E97" s="331"/>
      <c r="F97" s="331"/>
      <c r="G97" s="331"/>
      <c r="H97" s="347"/>
      <c r="I97" s="337"/>
      <c r="J97" s="347"/>
      <c r="K97" s="337"/>
      <c r="L97" s="344" t="str">
        <f t="shared" si="2"/>
        <v>N/A</v>
      </c>
      <c r="M97" s="332">
        <f t="shared" si="0"/>
        <v>0</v>
      </c>
      <c r="N97" s="333"/>
      <c r="O97" s="335"/>
      <c r="P97" s="20">
        <f t="shared" si="3"/>
        <v>0</v>
      </c>
      <c r="Q97" s="20">
        <f t="shared" si="4"/>
        <v>0</v>
      </c>
      <c r="R97" s="20" t="str">
        <f t="shared" si="1"/>
        <v>N/A</v>
      </c>
    </row>
    <row r="98" spans="1:18" s="20" customFormat="1" ht="24.75" customHeight="1" x14ac:dyDescent="0.2">
      <c r="A98" s="342"/>
      <c r="B98" s="343"/>
      <c r="C98" s="339"/>
      <c r="D98" s="339"/>
      <c r="E98" s="331"/>
      <c r="F98" s="331"/>
      <c r="G98" s="331"/>
      <c r="H98" s="347"/>
      <c r="I98" s="337"/>
      <c r="J98" s="347"/>
      <c r="K98" s="338"/>
      <c r="L98" s="344" t="str">
        <f t="shared" si="2"/>
        <v>N/A</v>
      </c>
      <c r="M98" s="332">
        <f t="shared" si="0"/>
        <v>0</v>
      </c>
      <c r="N98" s="333"/>
      <c r="O98" s="335"/>
      <c r="P98" s="20">
        <f t="shared" si="3"/>
        <v>0</v>
      </c>
      <c r="Q98" s="20">
        <f t="shared" si="4"/>
        <v>0</v>
      </c>
      <c r="R98" s="20" t="str">
        <f t="shared" si="1"/>
        <v>N/A</v>
      </c>
    </row>
    <row r="99" spans="1:18" s="20" customFormat="1" ht="23.25" customHeight="1" x14ac:dyDescent="0.2">
      <c r="A99" s="342"/>
      <c r="B99" s="343"/>
      <c r="C99" s="339"/>
      <c r="D99" s="339"/>
      <c r="E99" s="331"/>
      <c r="F99" s="331"/>
      <c r="G99" s="331"/>
      <c r="H99" s="347"/>
      <c r="I99" s="337"/>
      <c r="J99" s="347"/>
      <c r="K99" s="338"/>
      <c r="L99" s="344" t="str">
        <f t="shared" si="2"/>
        <v>N/A</v>
      </c>
      <c r="M99" s="332">
        <f t="shared" si="0"/>
        <v>0</v>
      </c>
      <c r="N99" s="333"/>
      <c r="O99" s="335"/>
      <c r="P99" s="20">
        <f t="shared" si="3"/>
        <v>0</v>
      </c>
      <c r="Q99" s="20">
        <f t="shared" si="4"/>
        <v>0</v>
      </c>
      <c r="R99" s="20" t="str">
        <f t="shared" si="1"/>
        <v>N/A</v>
      </c>
    </row>
    <row r="100" spans="1:18" s="20" customFormat="1" ht="25.5" customHeight="1" x14ac:dyDescent="0.2">
      <c r="A100" s="342"/>
      <c r="B100" s="343"/>
      <c r="C100" s="339"/>
      <c r="D100" s="339"/>
      <c r="E100" s="331"/>
      <c r="F100" s="331"/>
      <c r="G100" s="331"/>
      <c r="H100" s="347"/>
      <c r="I100" s="337"/>
      <c r="J100" s="347"/>
      <c r="K100" s="337"/>
      <c r="L100" s="344" t="str">
        <f t="shared" si="2"/>
        <v>N/A</v>
      </c>
      <c r="M100" s="332">
        <f t="shared" si="0"/>
        <v>0</v>
      </c>
      <c r="N100" s="333"/>
      <c r="O100" s="335"/>
      <c r="P100" s="20">
        <f t="shared" si="3"/>
        <v>0</v>
      </c>
      <c r="Q100" s="20">
        <f t="shared" si="4"/>
        <v>0</v>
      </c>
      <c r="R100" s="20" t="str">
        <f t="shared" si="1"/>
        <v>N/A</v>
      </c>
    </row>
    <row r="101" spans="1:18" s="20" customFormat="1" ht="25.5" customHeight="1" x14ac:dyDescent="0.2">
      <c r="A101" s="342"/>
      <c r="B101" s="343"/>
      <c r="C101" s="339"/>
      <c r="D101" s="339"/>
      <c r="E101" s="331"/>
      <c r="F101" s="331"/>
      <c r="G101" s="331"/>
      <c r="H101" s="347"/>
      <c r="I101" s="337"/>
      <c r="J101" s="347"/>
      <c r="K101" s="337"/>
      <c r="L101" s="344" t="str">
        <f t="shared" si="2"/>
        <v>N/A</v>
      </c>
      <c r="M101" s="332">
        <f t="shared" si="0"/>
        <v>0</v>
      </c>
      <c r="N101" s="333"/>
      <c r="O101" s="335"/>
      <c r="P101" s="20">
        <f t="shared" si="3"/>
        <v>0</v>
      </c>
      <c r="Q101" s="20">
        <f t="shared" si="4"/>
        <v>0</v>
      </c>
      <c r="R101" s="20" t="str">
        <f t="shared" si="1"/>
        <v>N/A</v>
      </c>
    </row>
    <row r="102" spans="1:18" s="20" customFormat="1" ht="18.75" customHeight="1" x14ac:dyDescent="0.2">
      <c r="A102" s="342"/>
      <c r="B102" s="343"/>
      <c r="C102" s="339"/>
      <c r="D102" s="339"/>
      <c r="E102" s="331"/>
      <c r="F102" s="331"/>
      <c r="G102" s="331"/>
      <c r="H102" s="347"/>
      <c r="I102" s="337"/>
      <c r="J102" s="347"/>
      <c r="K102" s="338"/>
      <c r="L102" s="344" t="str">
        <f t="shared" si="2"/>
        <v>N/A</v>
      </c>
      <c r="M102" s="332">
        <f t="shared" si="0"/>
        <v>0</v>
      </c>
      <c r="N102" s="333"/>
      <c r="O102" s="335"/>
      <c r="P102" s="20">
        <f t="shared" si="3"/>
        <v>0</v>
      </c>
      <c r="Q102" s="20">
        <f t="shared" si="4"/>
        <v>0</v>
      </c>
      <c r="R102" s="20" t="str">
        <f t="shared" si="1"/>
        <v>N/A</v>
      </c>
    </row>
    <row r="103" spans="1:18" s="20" customFormat="1" ht="20.100000000000001" customHeight="1" x14ac:dyDescent="0.2">
      <c r="A103" s="342"/>
      <c r="B103" s="343"/>
      <c r="C103" s="339"/>
      <c r="D103" s="339"/>
      <c r="E103" s="331"/>
      <c r="F103" s="331"/>
      <c r="G103" s="331"/>
      <c r="H103" s="347"/>
      <c r="I103" s="337"/>
      <c r="J103" s="347"/>
      <c r="K103" s="338"/>
      <c r="L103" s="344" t="str">
        <f t="shared" si="2"/>
        <v>N/A</v>
      </c>
      <c r="M103" s="332">
        <f t="shared" si="0"/>
        <v>0</v>
      </c>
      <c r="N103" s="333"/>
      <c r="O103" s="335"/>
      <c r="P103" s="20">
        <f t="shared" si="3"/>
        <v>0</v>
      </c>
      <c r="Q103" s="20">
        <f>IF(F103&lt;&gt;"A",IF(AND(G103&lt;&gt;"AIE",F103&lt;&gt;"",F103&lt;&gt;"NA"),M103,0),IF(AND(G103&lt;&gt;"AIE",F103&lt;&gt;"",F103&lt;&gt;"NA"),N103,0))</f>
        <v>0</v>
      </c>
      <c r="R103" s="20" t="str">
        <f>G103&amp;L103</f>
        <v>N/A</v>
      </c>
    </row>
    <row r="104" spans="1:18" s="20" customFormat="1" ht="20.100000000000001" customHeight="1" x14ac:dyDescent="0.2">
      <c r="A104" s="342"/>
      <c r="B104" s="343"/>
      <c r="C104" s="339"/>
      <c r="D104" s="339"/>
      <c r="E104" s="331"/>
      <c r="F104" s="331"/>
      <c r="G104" s="331"/>
      <c r="H104" s="347"/>
      <c r="I104" s="337"/>
      <c r="J104" s="347"/>
      <c r="K104" s="338"/>
      <c r="L104" s="344" t="str">
        <f t="shared" si="2"/>
        <v>N/A</v>
      </c>
      <c r="M104" s="332">
        <f t="shared" si="0"/>
        <v>0</v>
      </c>
      <c r="N104" s="333"/>
      <c r="O104" s="335"/>
      <c r="P104" s="20">
        <f t="shared" si="3"/>
        <v>0</v>
      </c>
      <c r="Q104" s="20">
        <f>IF(F104&lt;&gt;"A",IF(AND(G104&lt;&gt;"AIE",F104&lt;&gt;"",F104&lt;&gt;"NA"),M104,0),IF(AND(G104&lt;&gt;"AIE",F104&lt;&gt;"",F104&lt;&gt;"NA"),N104,0))</f>
        <v>0</v>
      </c>
      <c r="R104" s="20" t="str">
        <f>G104&amp;L104</f>
        <v>N/A</v>
      </c>
    </row>
    <row r="105" spans="1:18" s="20" customFormat="1" ht="20.100000000000001" customHeight="1" x14ac:dyDescent="0.2">
      <c r="A105" s="342"/>
      <c r="B105" s="343"/>
      <c r="C105" s="339"/>
      <c r="D105" s="339"/>
      <c r="E105" s="331"/>
      <c r="F105" s="331"/>
      <c r="G105" s="331"/>
      <c r="H105" s="347"/>
      <c r="I105" s="337"/>
      <c r="J105" s="347"/>
      <c r="K105" s="338"/>
      <c r="L105" s="344" t="str">
        <f t="shared" si="2"/>
        <v>N/A</v>
      </c>
      <c r="M105" s="332">
        <f t="shared" si="0"/>
        <v>0</v>
      </c>
      <c r="N105" s="333"/>
      <c r="O105" s="335"/>
      <c r="P105" s="20">
        <f>IF(G105="AIE",0,IF(OR(E105="I",E105="E",E105="A"),M105,0))</f>
        <v>0</v>
      </c>
      <c r="Q105" s="20">
        <f>IF(F105&lt;&gt;"A",IF(AND(G105&lt;&gt;"AIE",F105&lt;&gt;"",F105&lt;&gt;"NA"),M105,0),IF(AND(G105&lt;&gt;"AIE",F105&lt;&gt;"",F105&lt;&gt;"NA"),N105,0))</f>
        <v>0</v>
      </c>
      <c r="R105" s="20" t="str">
        <f>G105&amp;L105</f>
        <v>N/A</v>
      </c>
    </row>
    <row r="106" spans="1:18" s="20" customFormat="1" ht="18.75" customHeight="1" thickBot="1" x14ac:dyDescent="0.25">
      <c r="A106" s="377" t="s">
        <v>116</v>
      </c>
      <c r="B106" s="264"/>
      <c r="C106" s="264"/>
      <c r="D106" s="264"/>
      <c r="E106" s="404"/>
      <c r="F106" s="265"/>
      <c r="G106" s="264"/>
      <c r="H106" s="264"/>
      <c r="I106" s="264"/>
      <c r="J106" s="264"/>
      <c r="K106" s="264"/>
      <c r="L106" s="146"/>
      <c r="M106" s="146"/>
      <c r="N106" s="266"/>
      <c r="O106" s="267"/>
      <c r="P106" s="20">
        <f t="shared" si="3"/>
        <v>0</v>
      </c>
      <c r="Q106" s="20">
        <f>IF(F106&lt;&gt;"A",IF(AND(G106&lt;&gt;"AIE",F106&lt;&gt;"",F106&lt;&gt;"NA"),M106,0),IF(AND(G106&lt;&gt;"AIE",F106&lt;&gt;"",F106&lt;&gt;"NA"),N106,0))</f>
        <v>0</v>
      </c>
      <c r="R106" s="20" t="str">
        <f>G106&amp;L106</f>
        <v/>
      </c>
    </row>
    <row r="107" spans="1:18" ht="20.100000000000001" customHeight="1" thickBot="1" x14ac:dyDescent="0.25">
      <c r="A107" s="21" t="s">
        <v>113</v>
      </c>
      <c r="B107" s="22"/>
      <c r="C107" s="22"/>
      <c r="D107" s="22"/>
      <c r="E107" s="22"/>
      <c r="F107" s="22"/>
      <c r="G107" s="22"/>
      <c r="H107" s="23"/>
      <c r="I107" s="23"/>
      <c r="J107" s="23"/>
      <c r="K107" s="24"/>
      <c r="L107" s="362"/>
      <c r="M107" s="263">
        <f>SUM(M9:M105)</f>
        <v>4</v>
      </c>
      <c r="N107" s="25"/>
      <c r="O107" s="26"/>
      <c r="P107" s="20"/>
      <c r="Q107" s="20"/>
      <c r="R107" s="20"/>
    </row>
    <row r="108" spans="1:18" x14ac:dyDescent="0.2">
      <c r="I108"/>
      <c r="O108" s="12"/>
      <c r="P108" s="20"/>
      <c r="Q108" s="20"/>
      <c r="R108" s="20"/>
    </row>
    <row r="109" spans="1:18" ht="18" x14ac:dyDescent="0.25">
      <c r="A109" s="27" t="s">
        <v>91</v>
      </c>
      <c r="B109" s="27"/>
      <c r="C109" s="27"/>
      <c r="D109" s="27"/>
      <c r="I109"/>
      <c r="O109" s="12"/>
      <c r="P109" s="20"/>
      <c r="Q109" s="20"/>
      <c r="R109" s="20"/>
    </row>
    <row r="110" spans="1:18" ht="12.75" customHeight="1" x14ac:dyDescent="0.2">
      <c r="I110"/>
      <c r="J110" s="12"/>
      <c r="P110" s="20"/>
      <c r="Q110" s="20"/>
      <c r="R110" s="20"/>
    </row>
    <row r="111" spans="1:18" ht="12.75" customHeight="1" x14ac:dyDescent="0.2"/>
    <row r="112" spans="1:18" x14ac:dyDescent="0.2"/>
  </sheetData>
  <sheetProtection password="FB4B" sheet="1" objects="1" scenarios="1" formatCells="0" formatColumns="0" formatRows="0" autoFilter="0"/>
  <autoFilter ref="A8:O105"/>
  <mergeCells count="16">
    <mergeCell ref="B4:D4"/>
    <mergeCell ref="A5:I5"/>
    <mergeCell ref="A6:O6"/>
    <mergeCell ref="A7:A8"/>
    <mergeCell ref="B7:B8"/>
    <mergeCell ref="C7:C8"/>
    <mergeCell ref="D7:D8"/>
    <mergeCell ref="E7:E8"/>
    <mergeCell ref="F7:F8"/>
    <mergeCell ref="G7:G8"/>
    <mergeCell ref="N7:N8"/>
    <mergeCell ref="O7:O8"/>
    <mergeCell ref="H7:I7"/>
    <mergeCell ref="J7:K7"/>
    <mergeCell ref="L7:L8"/>
    <mergeCell ref="M7:M8"/>
  </mergeCells>
  <phoneticPr fontId="22" type="noConversion"/>
  <conditionalFormatting sqref="N9:N106">
    <cfRule type="cellIs" dxfId="3" priority="1" stopIfTrue="1" operator="notEqual">
      <formula>0</formula>
    </cfRule>
    <cfRule type="expression" dxfId="2" priority="2" stopIfTrue="1">
      <formula>F9="A"</formula>
    </cfRule>
  </conditionalFormatting>
  <dataValidations count="3">
    <dataValidation type="list" operator="equal" allowBlank="1" showErrorMessage="1" sqref="G106">
      <formula1>ALI_AIE_CODE</formula1>
      <formula2>0</formula2>
    </dataValidation>
    <dataValidation type="list" operator="equal" allowBlank="1" showErrorMessage="1" sqref="E9:F106">
      <formula1>"I,A,E,NA"</formula1>
      <formula2>0</formula2>
    </dataValidation>
    <dataValidation type="list" operator="equal" allowBlank="1" showErrorMessage="1" sqref="G9:G105">
      <formula1>EE_SE_CE_CODE</formula1>
    </dataValidation>
  </dataValidations>
  <pageMargins left="0.74791666666666667" right="0.74791666666666667" top="0.98402777777777772" bottom="0.98402777777777772" header="0.51180555555555551" footer="0.51180555555555551"/>
  <pageSetup scale="59" firstPageNumber="0" orientation="landscape"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dimension ref="A1:XFC107"/>
  <sheetViews>
    <sheetView showGridLines="0" topLeftCell="A7" zoomScale="85" zoomScaleNormal="85" workbookViewId="0">
      <selection activeCell="D11" sqref="D11"/>
    </sheetView>
  </sheetViews>
  <sheetFormatPr defaultColWidth="0" defaultRowHeight="12.75" zeroHeight="1" x14ac:dyDescent="0.2"/>
  <cols>
    <col min="1" max="1" width="8.42578125" customWidth="1"/>
    <col min="2" max="2" width="9.42578125" customWidth="1"/>
    <col min="3" max="4" width="18.42578125" customWidth="1"/>
    <col min="5" max="5" width="10" customWidth="1"/>
    <col min="6" max="6" width="10.42578125" customWidth="1"/>
    <col min="7" max="7" width="7.5703125" customWidth="1"/>
    <col min="8" max="8" width="9.7109375" hidden="1" customWidth="1"/>
    <col min="9" max="9" width="42.28515625" bestFit="1" customWidth="1"/>
    <col min="10" max="10" width="36.7109375" bestFit="1" customWidth="1"/>
    <col min="11" max="11" width="22.85546875" bestFit="1" customWidth="1"/>
    <col min="12" max="12" width="10.7109375" customWidth="1"/>
    <col min="13" max="13" width="20.7109375" customWidth="1"/>
    <col min="14" max="14" width="24.140625" bestFit="1" customWidth="1"/>
    <col min="15" max="15" width="10.7109375" customWidth="1"/>
    <col min="16" max="17" width="20.7109375" customWidth="1"/>
    <col min="18" max="18" width="10.7109375" customWidth="1"/>
    <col min="19" max="19" width="20.7109375" customWidth="1"/>
    <col min="20" max="20" width="5.5703125" hidden="1" customWidth="1"/>
    <col min="21" max="21" width="19.5703125" style="12" hidden="1" customWidth="1"/>
    <col min="22" max="22" width="5.5703125" hidden="1" customWidth="1"/>
    <col min="23" max="23" width="19.5703125" hidden="1" customWidth="1"/>
    <col min="24" max="24" width="12.42578125" customWidth="1"/>
    <col min="25" max="25" width="9" customWidth="1"/>
    <col min="26" max="26" width="8.7109375" customWidth="1"/>
    <col min="27" max="27" width="25.5703125" customWidth="1"/>
    <col min="28" max="28" width="9" hidden="1" customWidth="1"/>
    <col min="29" max="29" width="11.7109375" hidden="1" customWidth="1"/>
    <col min="30" max="30" width="9" hidden="1" customWidth="1"/>
    <col min="31" max="16382" width="9.140625" hidden="1" customWidth="1"/>
    <col min="16383" max="16383" width="9.42578125" hidden="1" customWidth="1"/>
    <col min="16384" max="16384" width="22.5703125" hidden="1" customWidth="1"/>
  </cols>
  <sheetData>
    <row r="1" spans="1:30" x14ac:dyDescent="0.2">
      <c r="G1" s="171">
        <f>COUNTIF(G9:G101,"=I")</f>
        <v>0</v>
      </c>
      <c r="U1"/>
    </row>
    <row r="2" spans="1:30" x14ac:dyDescent="0.2">
      <c r="G2" s="171">
        <f>COUNTIF(G9:G101,"=E")</f>
        <v>0</v>
      </c>
      <c r="U2"/>
    </row>
    <row r="3" spans="1:30" x14ac:dyDescent="0.2">
      <c r="G3" s="171"/>
      <c r="U3"/>
    </row>
    <row r="4" spans="1:30" ht="15.75" x14ac:dyDescent="0.25">
      <c r="A4" s="9" t="s">
        <v>92</v>
      </c>
      <c r="B4" s="504" t="s">
        <v>117</v>
      </c>
      <c r="C4" s="504"/>
      <c r="D4" s="504"/>
      <c r="E4" s="213"/>
      <c r="F4" s="213"/>
      <c r="G4" s="172" t="str">
        <f>IF(AND(OR(FSDMS!A26&lt;&gt;"",FSDMS!A27&lt;&gt;"",FSDMS!A28&lt;&gt;""),SUM(G1:G3)&gt;0),"Para propósito de contagem Adaptativa, Perfectiva ou Corretiva usar somente Status 'A'.","")</f>
        <v/>
      </c>
      <c r="H4" s="10"/>
      <c r="I4" s="10"/>
      <c r="J4" s="10"/>
      <c r="K4" s="10"/>
      <c r="L4" s="10"/>
      <c r="M4" s="10"/>
      <c r="N4" s="10"/>
      <c r="O4" s="10"/>
      <c r="P4" s="10"/>
      <c r="Q4" s="10"/>
      <c r="R4" s="10"/>
      <c r="S4" s="10"/>
      <c r="T4" s="11"/>
      <c r="AB4" t="str">
        <f>FSDMS!E43</f>
        <v>FÓTON - Mobile e IOT (Cnt. 9520/2018)</v>
      </c>
    </row>
    <row r="5" spans="1:30" ht="16.5" thickBot="1" x14ac:dyDescent="0.3">
      <c r="A5" s="466"/>
      <c r="B5" s="466"/>
      <c r="C5" s="466"/>
      <c r="D5" s="466"/>
      <c r="E5" s="466"/>
      <c r="F5" s="466"/>
      <c r="G5" s="466"/>
      <c r="H5" s="466"/>
      <c r="I5" s="466"/>
      <c r="J5" s="466"/>
      <c r="K5" s="466"/>
      <c r="L5" s="466"/>
      <c r="M5" s="466"/>
      <c r="N5" s="466"/>
      <c r="O5" s="466"/>
      <c r="P5" s="466"/>
      <c r="Q5" s="466"/>
      <c r="R5" s="466"/>
      <c r="S5" s="466"/>
      <c r="T5" s="466"/>
      <c r="U5" s="466"/>
      <c r="AB5">
        <f>FSDMS!G24</f>
        <v>2</v>
      </c>
    </row>
    <row r="6" spans="1:30" ht="13.5" thickBot="1" x14ac:dyDescent="0.25">
      <c r="A6" s="467" t="s">
        <v>118</v>
      </c>
      <c r="B6" s="467"/>
      <c r="C6" s="467"/>
      <c r="D6" s="467"/>
      <c r="E6" s="467"/>
      <c r="F6" s="467"/>
      <c r="G6" s="467"/>
      <c r="H6" s="467"/>
      <c r="I6" s="467"/>
      <c r="J6" s="467"/>
      <c r="K6" s="467"/>
      <c r="L6" s="467"/>
      <c r="M6" s="467"/>
      <c r="N6" s="467"/>
      <c r="O6" s="467"/>
      <c r="P6" s="467"/>
      <c r="Q6" s="467"/>
      <c r="R6" s="467"/>
      <c r="S6" s="467"/>
      <c r="T6" s="467"/>
      <c r="U6" s="467"/>
      <c r="V6" s="467"/>
      <c r="W6" s="467"/>
      <c r="X6" s="467"/>
      <c r="Y6" s="467"/>
      <c r="Z6" s="467"/>
      <c r="AA6" s="467"/>
    </row>
    <row r="7" spans="1:30" ht="25.5" customHeight="1" x14ac:dyDescent="0.2">
      <c r="A7" s="469" t="s">
        <v>94</v>
      </c>
      <c r="B7" s="469" t="s">
        <v>95</v>
      </c>
      <c r="C7" s="469" t="s">
        <v>96</v>
      </c>
      <c r="D7" s="486" t="s">
        <v>119</v>
      </c>
      <c r="E7" s="488" t="s">
        <v>120</v>
      </c>
      <c r="F7" s="488" t="s">
        <v>121</v>
      </c>
      <c r="G7" s="488" t="s">
        <v>122</v>
      </c>
      <c r="H7" s="505" t="s">
        <v>99</v>
      </c>
      <c r="I7" s="490" t="s">
        <v>123</v>
      </c>
      <c r="J7" s="502" t="s">
        <v>124</v>
      </c>
      <c r="K7" s="499" t="s">
        <v>125</v>
      </c>
      <c r="L7" s="500"/>
      <c r="M7" s="501"/>
      <c r="N7" s="499" t="s">
        <v>126</v>
      </c>
      <c r="O7" s="500"/>
      <c r="P7" s="501"/>
      <c r="Q7" s="499" t="s">
        <v>127</v>
      </c>
      <c r="R7" s="500"/>
      <c r="S7" s="501"/>
      <c r="T7" s="507" t="s">
        <v>115</v>
      </c>
      <c r="U7" s="496"/>
      <c r="V7" s="496" t="s">
        <v>102</v>
      </c>
      <c r="W7" s="496"/>
      <c r="X7" s="497" t="s">
        <v>103</v>
      </c>
      <c r="Y7" s="492" t="s">
        <v>128</v>
      </c>
      <c r="Z7" s="492" t="s">
        <v>129</v>
      </c>
      <c r="AA7" s="494" t="s">
        <v>106</v>
      </c>
      <c r="AB7" s="13" t="s">
        <v>130</v>
      </c>
      <c r="AC7" s="13" t="s">
        <v>131</v>
      </c>
      <c r="AD7" s="13"/>
    </row>
    <row r="8" spans="1:30" ht="12.75" customHeight="1" thickBot="1" x14ac:dyDescent="0.25">
      <c r="A8" s="470"/>
      <c r="B8" s="470"/>
      <c r="C8" s="470"/>
      <c r="D8" s="487"/>
      <c r="E8" s="489"/>
      <c r="F8" s="489"/>
      <c r="G8" s="489"/>
      <c r="H8" s="506"/>
      <c r="I8" s="491"/>
      <c r="J8" s="503"/>
      <c r="K8" s="215" t="s">
        <v>132</v>
      </c>
      <c r="L8" s="214" t="s">
        <v>133</v>
      </c>
      <c r="M8" s="216" t="s">
        <v>111</v>
      </c>
      <c r="N8" s="215" t="s">
        <v>132</v>
      </c>
      <c r="O8" s="214" t="s">
        <v>133</v>
      </c>
      <c r="P8" s="216" t="s">
        <v>111</v>
      </c>
      <c r="Q8" s="215" t="s">
        <v>132</v>
      </c>
      <c r="R8" s="214" t="s">
        <v>133</v>
      </c>
      <c r="S8" s="216" t="s">
        <v>111</v>
      </c>
      <c r="T8" s="217" t="s">
        <v>110</v>
      </c>
      <c r="U8" s="15" t="s">
        <v>111</v>
      </c>
      <c r="V8" s="15" t="s">
        <v>110</v>
      </c>
      <c r="W8" s="15" t="s">
        <v>111</v>
      </c>
      <c r="X8" s="498"/>
      <c r="Y8" s="493"/>
      <c r="Z8" s="493"/>
      <c r="AA8" s="495"/>
      <c r="AB8" s="16"/>
      <c r="AC8" s="16"/>
    </row>
    <row r="9" spans="1:30" s="20" customFormat="1" ht="14.25" hidden="1" customHeight="1" x14ac:dyDescent="0.2">
      <c r="A9" s="340"/>
      <c r="B9" s="341"/>
      <c r="C9" s="330"/>
      <c r="D9" s="339"/>
      <c r="E9" s="331"/>
      <c r="F9" s="331"/>
      <c r="G9" s="331"/>
      <c r="H9" s="17"/>
      <c r="I9" s="405"/>
      <c r="J9" s="406" t="str">
        <f>(tipo_ucs(I9,$B$4,$AB$4,ROW()))</f>
        <v/>
      </c>
      <c r="K9" s="407" t="str">
        <f t="shared" ref="K9:K17" si="0">parm_complex(I9,J9,1,$B$4,$AB$4)</f>
        <v/>
      </c>
      <c r="L9" s="345"/>
      <c r="M9" s="336"/>
      <c r="N9" s="225" t="str">
        <f t="shared" ref="N9:N17" si="1">parm_complex(I9,J9,2,$B$4,$AB$4)</f>
        <v/>
      </c>
      <c r="O9" s="345"/>
      <c r="P9" s="336"/>
      <c r="Q9" s="226" t="str">
        <f t="shared" ref="Q9:Q17" si="2">parm_complex(I9,J9,3,$B$4,$AB$4)</f>
        <v/>
      </c>
      <c r="R9" s="345"/>
      <c r="S9" s="336"/>
      <c r="T9" s="18"/>
      <c r="U9" s="18"/>
      <c r="V9" s="18"/>
      <c r="W9" s="18"/>
      <c r="X9" s="348" t="str">
        <f>SNAP($G9,$I9,$J9,$L9,$O9,$R9,$B$4,$AB$4,0)</f>
        <v>N/A</v>
      </c>
      <c r="Y9" s="227">
        <f>SNAP($G9,$I9,$J9,$L9,$O9,$R9,$B$4,$AB$4,1)</f>
        <v>0</v>
      </c>
      <c r="Z9" s="53"/>
      <c r="AA9" s="334"/>
      <c r="AB9" s="20">
        <f t="shared" ref="AB9:AB17" si="3">SNAPHmlgd($AB$4,I9,Y9)</f>
        <v>0</v>
      </c>
      <c r="AC9" s="231">
        <f>(SNAPCnvtd($AB$4,$AB$5,G9,I9,Y9,ROW()))</f>
        <v>0</v>
      </c>
    </row>
    <row r="10" spans="1:30" s="20" customFormat="1" ht="21.75" customHeight="1" x14ac:dyDescent="0.2">
      <c r="A10" s="340"/>
      <c r="B10" s="341"/>
      <c r="C10" s="330"/>
      <c r="D10" s="339"/>
      <c r="E10" s="331"/>
      <c r="F10" s="331"/>
      <c r="G10" s="331"/>
      <c r="H10" s="17"/>
      <c r="I10" s="405"/>
      <c r="J10" s="406" t="str">
        <f t="shared" ref="J10:J73" si="4">(tipo_ucs(I10,$B$4,$AB$4,ROW()))</f>
        <v/>
      </c>
      <c r="K10" s="407" t="str">
        <f t="shared" si="0"/>
        <v/>
      </c>
      <c r="L10" s="345"/>
      <c r="M10" s="336"/>
      <c r="N10" s="225" t="str">
        <f t="shared" si="1"/>
        <v/>
      </c>
      <c r="O10" s="345"/>
      <c r="P10" s="336"/>
      <c r="Q10" s="226" t="str">
        <f t="shared" si="2"/>
        <v/>
      </c>
      <c r="R10" s="345"/>
      <c r="S10" s="336"/>
      <c r="T10" s="18"/>
      <c r="U10" s="18"/>
      <c r="V10" s="18"/>
      <c r="W10" s="19"/>
      <c r="X10" s="348" t="str">
        <f t="shared" ref="X10:X73" si="5">SNAP($G10,$I10,$J10,$L10,$O10,$R10,$B$4,$AB$4,0)</f>
        <v>N/A</v>
      </c>
      <c r="Y10" s="227">
        <f t="shared" ref="Y10:Y73" si="6">SNAP($G10,$I10,$J10,$L10,$O10,$R10,$B$4,$AB$4,1)</f>
        <v>0</v>
      </c>
      <c r="Z10" s="53"/>
      <c r="AA10" s="335"/>
      <c r="AB10" s="20">
        <f t="shared" si="3"/>
        <v>0</v>
      </c>
      <c r="AC10" s="231">
        <f t="shared" ref="AC10:AC73" si="7">(SNAPCnvtd($AB$4,$AB$5,G10,I10,Y10,ROW()))</f>
        <v>0</v>
      </c>
    </row>
    <row r="11" spans="1:30" s="20" customFormat="1" ht="23.25" customHeight="1" x14ac:dyDescent="0.2">
      <c r="A11" s="340"/>
      <c r="B11" s="341"/>
      <c r="C11" s="330"/>
      <c r="D11" s="339"/>
      <c r="E11" s="331"/>
      <c r="F11" s="331"/>
      <c r="G11" s="331"/>
      <c r="H11" s="17"/>
      <c r="I11" s="405"/>
      <c r="J11" s="406" t="str">
        <f t="shared" si="4"/>
        <v/>
      </c>
      <c r="K11" s="407" t="str">
        <f t="shared" si="0"/>
        <v/>
      </c>
      <c r="L11" s="345"/>
      <c r="M11" s="336"/>
      <c r="N11" s="225" t="str">
        <f t="shared" si="1"/>
        <v/>
      </c>
      <c r="O11" s="345"/>
      <c r="P11" s="336"/>
      <c r="Q11" s="226" t="str">
        <f t="shared" si="2"/>
        <v/>
      </c>
      <c r="R11" s="345"/>
      <c r="S11" s="336"/>
      <c r="T11" s="18"/>
      <c r="U11" s="18"/>
      <c r="V11" s="18"/>
      <c r="W11" s="19"/>
      <c r="X11" s="348" t="str">
        <f t="shared" si="5"/>
        <v>N/A</v>
      </c>
      <c r="Y11" s="227">
        <f t="shared" si="6"/>
        <v>0</v>
      </c>
      <c r="Z11" s="53"/>
      <c r="AA11" s="335"/>
      <c r="AB11" s="20">
        <f t="shared" si="3"/>
        <v>0</v>
      </c>
      <c r="AC11" s="231">
        <f t="shared" si="7"/>
        <v>0</v>
      </c>
    </row>
    <row r="12" spans="1:30" s="20" customFormat="1" ht="25.5" customHeight="1" x14ac:dyDescent="0.2">
      <c r="A12" s="340"/>
      <c r="B12" s="341"/>
      <c r="C12" s="330"/>
      <c r="D12" s="339"/>
      <c r="E12" s="331"/>
      <c r="F12" s="331"/>
      <c r="G12" s="331"/>
      <c r="H12" s="17"/>
      <c r="I12" s="405"/>
      <c r="J12" s="406" t="str">
        <f t="shared" si="4"/>
        <v/>
      </c>
      <c r="K12" s="407" t="str">
        <f t="shared" si="0"/>
        <v/>
      </c>
      <c r="L12" s="345"/>
      <c r="M12" s="336"/>
      <c r="N12" s="225" t="str">
        <f t="shared" si="1"/>
        <v/>
      </c>
      <c r="O12" s="345"/>
      <c r="P12" s="336"/>
      <c r="Q12" s="226" t="str">
        <f t="shared" si="2"/>
        <v/>
      </c>
      <c r="R12" s="345"/>
      <c r="S12" s="336"/>
      <c r="T12" s="18"/>
      <c r="U12" s="18"/>
      <c r="V12" s="18"/>
      <c r="W12" s="18"/>
      <c r="X12" s="348" t="str">
        <f t="shared" si="5"/>
        <v>N/A</v>
      </c>
      <c r="Y12" s="227">
        <f t="shared" si="6"/>
        <v>0</v>
      </c>
      <c r="Z12" s="53"/>
      <c r="AA12" s="335"/>
      <c r="AB12" s="20">
        <f t="shared" si="3"/>
        <v>0</v>
      </c>
      <c r="AC12" s="231">
        <f t="shared" si="7"/>
        <v>0</v>
      </c>
    </row>
    <row r="13" spans="1:30" s="20" customFormat="1" ht="21.75" customHeight="1" x14ac:dyDescent="0.2">
      <c r="A13" s="340"/>
      <c r="B13" s="341"/>
      <c r="C13" s="330"/>
      <c r="D13" s="339"/>
      <c r="E13" s="331"/>
      <c r="F13" s="331"/>
      <c r="G13" s="331"/>
      <c r="H13" s="17"/>
      <c r="I13" s="405"/>
      <c r="J13" s="406" t="str">
        <f t="shared" si="4"/>
        <v/>
      </c>
      <c r="K13" s="407" t="str">
        <f t="shared" si="0"/>
        <v/>
      </c>
      <c r="L13" s="345"/>
      <c r="M13" s="336"/>
      <c r="N13" s="225" t="str">
        <f t="shared" si="1"/>
        <v/>
      </c>
      <c r="O13" s="345"/>
      <c r="P13" s="336"/>
      <c r="Q13" s="226" t="str">
        <f t="shared" si="2"/>
        <v/>
      </c>
      <c r="R13" s="345"/>
      <c r="S13" s="336"/>
      <c r="T13" s="18"/>
      <c r="U13" s="18"/>
      <c r="V13" s="18"/>
      <c r="W13" s="19"/>
      <c r="X13" s="348" t="str">
        <f t="shared" si="5"/>
        <v>N/A</v>
      </c>
      <c r="Y13" s="227">
        <f t="shared" si="6"/>
        <v>0</v>
      </c>
      <c r="Z13" s="53"/>
      <c r="AA13" s="335"/>
      <c r="AB13" s="20">
        <f t="shared" si="3"/>
        <v>0</v>
      </c>
      <c r="AC13" s="231">
        <f t="shared" si="7"/>
        <v>0</v>
      </c>
    </row>
    <row r="14" spans="1:30" s="20" customFormat="1" ht="23.25" customHeight="1" x14ac:dyDescent="0.2">
      <c r="A14" s="340"/>
      <c r="B14" s="341"/>
      <c r="C14" s="330"/>
      <c r="D14" s="339"/>
      <c r="E14" s="331"/>
      <c r="F14" s="331"/>
      <c r="G14" s="331"/>
      <c r="H14" s="17"/>
      <c r="I14" s="405"/>
      <c r="J14" s="406" t="str">
        <f t="shared" si="4"/>
        <v/>
      </c>
      <c r="K14" s="407" t="str">
        <f t="shared" si="0"/>
        <v/>
      </c>
      <c r="L14" s="345"/>
      <c r="M14" s="336"/>
      <c r="N14" s="225" t="str">
        <f t="shared" si="1"/>
        <v/>
      </c>
      <c r="O14" s="345"/>
      <c r="P14" s="336"/>
      <c r="Q14" s="226" t="str">
        <f t="shared" si="2"/>
        <v/>
      </c>
      <c r="R14" s="345"/>
      <c r="S14" s="336"/>
      <c r="T14" s="18"/>
      <c r="U14" s="18"/>
      <c r="V14" s="18"/>
      <c r="W14" s="19"/>
      <c r="X14" s="348" t="str">
        <f t="shared" si="5"/>
        <v>N/A</v>
      </c>
      <c r="Y14" s="227">
        <f t="shared" si="6"/>
        <v>0</v>
      </c>
      <c r="Z14" s="53"/>
      <c r="AA14" s="335"/>
      <c r="AB14" s="20">
        <f t="shared" si="3"/>
        <v>0</v>
      </c>
      <c r="AC14" s="231">
        <f t="shared" si="7"/>
        <v>0</v>
      </c>
    </row>
    <row r="15" spans="1:30" s="20" customFormat="1" ht="23.25" customHeight="1" x14ac:dyDescent="0.2">
      <c r="A15" s="340"/>
      <c r="B15" s="341"/>
      <c r="C15" s="330"/>
      <c r="D15" s="339"/>
      <c r="E15" s="331"/>
      <c r="F15" s="331"/>
      <c r="G15" s="331"/>
      <c r="H15" s="17"/>
      <c r="I15" s="405"/>
      <c r="J15" s="406" t="str">
        <f t="shared" si="4"/>
        <v/>
      </c>
      <c r="K15" s="407" t="str">
        <f t="shared" si="0"/>
        <v/>
      </c>
      <c r="L15" s="345"/>
      <c r="M15" s="336"/>
      <c r="N15" s="225" t="str">
        <f t="shared" si="1"/>
        <v/>
      </c>
      <c r="O15" s="345"/>
      <c r="P15" s="336"/>
      <c r="Q15" s="226" t="str">
        <f t="shared" si="2"/>
        <v/>
      </c>
      <c r="R15" s="345"/>
      <c r="S15" s="336"/>
      <c r="T15" s="18"/>
      <c r="U15" s="18"/>
      <c r="V15" s="18"/>
      <c r="W15" s="19"/>
      <c r="X15" s="348" t="str">
        <f t="shared" si="5"/>
        <v>N/A</v>
      </c>
      <c r="Y15" s="227">
        <f t="shared" si="6"/>
        <v>0</v>
      </c>
      <c r="Z15" s="53"/>
      <c r="AA15" s="335"/>
      <c r="AB15" s="20">
        <f t="shared" si="3"/>
        <v>0</v>
      </c>
      <c r="AC15" s="231">
        <f t="shared" si="7"/>
        <v>0</v>
      </c>
    </row>
    <row r="16" spans="1:30" s="20" customFormat="1" ht="21" customHeight="1" x14ac:dyDescent="0.2">
      <c r="A16" s="340"/>
      <c r="B16" s="341"/>
      <c r="C16" s="330"/>
      <c r="D16" s="339"/>
      <c r="E16" s="331"/>
      <c r="F16" s="331"/>
      <c r="G16" s="331"/>
      <c r="H16" s="17"/>
      <c r="I16" s="405"/>
      <c r="J16" s="406" t="str">
        <f t="shared" si="4"/>
        <v/>
      </c>
      <c r="K16" s="407" t="str">
        <f t="shared" si="0"/>
        <v/>
      </c>
      <c r="L16" s="345"/>
      <c r="M16" s="336"/>
      <c r="N16" s="225" t="str">
        <f t="shared" si="1"/>
        <v/>
      </c>
      <c r="O16" s="345"/>
      <c r="P16" s="336"/>
      <c r="Q16" s="226" t="str">
        <f t="shared" si="2"/>
        <v/>
      </c>
      <c r="R16" s="345"/>
      <c r="S16" s="336"/>
      <c r="T16" s="18"/>
      <c r="U16" s="18"/>
      <c r="V16" s="18"/>
      <c r="W16" s="19"/>
      <c r="X16" s="348" t="str">
        <f t="shared" si="5"/>
        <v>N/A</v>
      </c>
      <c r="Y16" s="227">
        <f t="shared" si="6"/>
        <v>0</v>
      </c>
      <c r="Z16" s="53"/>
      <c r="AA16" s="335"/>
      <c r="AB16" s="20">
        <f t="shared" si="3"/>
        <v>0</v>
      </c>
      <c r="AC16" s="231">
        <f t="shared" si="7"/>
        <v>0</v>
      </c>
    </row>
    <row r="17" spans="1:29" s="20" customFormat="1" ht="19.5" customHeight="1" x14ac:dyDescent="0.2">
      <c r="A17" s="340"/>
      <c r="B17" s="341"/>
      <c r="C17" s="330"/>
      <c r="D17" s="330"/>
      <c r="E17" s="331"/>
      <c r="F17" s="331"/>
      <c r="G17" s="331"/>
      <c r="H17" s="17"/>
      <c r="I17" s="405"/>
      <c r="J17" s="406" t="str">
        <f t="shared" si="4"/>
        <v/>
      </c>
      <c r="K17" s="407" t="str">
        <f t="shared" si="0"/>
        <v/>
      </c>
      <c r="L17" s="345"/>
      <c r="M17" s="336"/>
      <c r="N17" s="225" t="str">
        <f t="shared" si="1"/>
        <v/>
      </c>
      <c r="O17" s="345"/>
      <c r="P17" s="336"/>
      <c r="Q17" s="226" t="str">
        <f t="shared" si="2"/>
        <v/>
      </c>
      <c r="R17" s="345"/>
      <c r="S17" s="336"/>
      <c r="T17" s="18"/>
      <c r="U17" s="18"/>
      <c r="V17" s="18"/>
      <c r="W17" s="18"/>
      <c r="X17" s="348" t="str">
        <f t="shared" si="5"/>
        <v>N/A</v>
      </c>
      <c r="Y17" s="227">
        <f t="shared" si="6"/>
        <v>0</v>
      </c>
      <c r="Z17" s="53"/>
      <c r="AA17" s="335"/>
      <c r="AB17" s="20">
        <f t="shared" si="3"/>
        <v>0</v>
      </c>
      <c r="AC17" s="231">
        <f t="shared" si="7"/>
        <v>0</v>
      </c>
    </row>
    <row r="18" spans="1:29" s="20" customFormat="1" ht="15" customHeight="1" x14ac:dyDescent="0.2">
      <c r="A18" s="340"/>
      <c r="B18" s="341"/>
      <c r="C18" s="330"/>
      <c r="D18" s="330"/>
      <c r="E18" s="331"/>
      <c r="F18" s="331"/>
      <c r="G18" s="331"/>
      <c r="H18" s="17"/>
      <c r="I18" s="405"/>
      <c r="J18" s="406" t="str">
        <f t="shared" si="4"/>
        <v/>
      </c>
      <c r="K18" s="407" t="str">
        <f t="shared" ref="K18:K61" si="8">parm_complex(I18,J18,1,$B$4,$AB$4)</f>
        <v/>
      </c>
      <c r="L18" s="345"/>
      <c r="M18" s="336"/>
      <c r="N18" s="225" t="str">
        <f t="shared" ref="N18:N61" si="9">parm_complex(I18,J18,2,$B$4,$AB$4)</f>
        <v/>
      </c>
      <c r="O18" s="345"/>
      <c r="P18" s="336"/>
      <c r="Q18" s="226" t="str">
        <f t="shared" ref="Q18:Q61" si="10">parm_complex(I18,J18,3,$B$4,$AB$4)</f>
        <v/>
      </c>
      <c r="R18" s="345"/>
      <c r="S18" s="336"/>
      <c r="T18" s="18"/>
      <c r="U18" s="18"/>
      <c r="V18" s="18"/>
      <c r="W18" s="18"/>
      <c r="X18" s="348" t="str">
        <f t="shared" si="5"/>
        <v>N/A</v>
      </c>
      <c r="Y18" s="227">
        <f t="shared" si="6"/>
        <v>0</v>
      </c>
      <c r="Z18" s="53"/>
      <c r="AA18" s="335"/>
      <c r="AB18" s="20">
        <f t="shared" ref="AB18:AB61" si="11">SNAPHmlgd($AB$4,I18,Y18)</f>
        <v>0</v>
      </c>
      <c r="AC18" s="231">
        <f t="shared" si="7"/>
        <v>0</v>
      </c>
    </row>
    <row r="19" spans="1:29" s="20" customFormat="1" ht="20.100000000000001" customHeight="1" x14ac:dyDescent="0.2">
      <c r="A19" s="340"/>
      <c r="B19" s="341"/>
      <c r="C19" s="330"/>
      <c r="D19" s="330"/>
      <c r="E19" s="331"/>
      <c r="F19" s="331"/>
      <c r="G19" s="331"/>
      <c r="H19" s="17"/>
      <c r="I19" s="224"/>
      <c r="J19" s="235" t="str">
        <f t="shared" si="4"/>
        <v/>
      </c>
      <c r="K19" s="225" t="str">
        <f t="shared" si="8"/>
        <v/>
      </c>
      <c r="L19" s="233"/>
      <c r="M19" s="234"/>
      <c r="N19" s="225" t="str">
        <f t="shared" si="9"/>
        <v/>
      </c>
      <c r="O19" s="345"/>
      <c r="P19" s="336"/>
      <c r="Q19" s="226" t="str">
        <f t="shared" si="10"/>
        <v/>
      </c>
      <c r="R19" s="345"/>
      <c r="S19" s="336"/>
      <c r="T19" s="18"/>
      <c r="U19" s="18"/>
      <c r="V19" s="18"/>
      <c r="W19" s="18"/>
      <c r="X19" s="348" t="str">
        <f t="shared" si="5"/>
        <v>N/A</v>
      </c>
      <c r="Y19" s="227">
        <f t="shared" si="6"/>
        <v>0</v>
      </c>
      <c r="Z19" s="53"/>
      <c r="AA19" s="335"/>
      <c r="AB19" s="20">
        <f t="shared" si="11"/>
        <v>0</v>
      </c>
      <c r="AC19" s="231">
        <f t="shared" si="7"/>
        <v>0</v>
      </c>
    </row>
    <row r="20" spans="1:29" s="20" customFormat="1" ht="20.100000000000001" customHeight="1" x14ac:dyDescent="0.2">
      <c r="A20" s="340"/>
      <c r="B20" s="341"/>
      <c r="C20" s="330"/>
      <c r="D20" s="330"/>
      <c r="E20" s="331"/>
      <c r="F20" s="331"/>
      <c r="G20" s="331"/>
      <c r="H20" s="17"/>
      <c r="I20" s="224"/>
      <c r="J20" s="235" t="str">
        <f t="shared" si="4"/>
        <v/>
      </c>
      <c r="K20" s="225" t="str">
        <f t="shared" si="8"/>
        <v/>
      </c>
      <c r="L20" s="233"/>
      <c r="M20" s="234"/>
      <c r="N20" s="225" t="str">
        <f t="shared" si="9"/>
        <v/>
      </c>
      <c r="O20" s="345"/>
      <c r="P20" s="336"/>
      <c r="Q20" s="226" t="str">
        <f t="shared" si="10"/>
        <v/>
      </c>
      <c r="R20" s="345"/>
      <c r="S20" s="336"/>
      <c r="T20" s="18"/>
      <c r="U20" s="18"/>
      <c r="V20" s="18"/>
      <c r="W20" s="18"/>
      <c r="X20" s="348" t="str">
        <f t="shared" si="5"/>
        <v>N/A</v>
      </c>
      <c r="Y20" s="227">
        <f t="shared" si="6"/>
        <v>0</v>
      </c>
      <c r="Z20" s="53"/>
      <c r="AA20" s="335"/>
      <c r="AB20" s="20">
        <f t="shared" si="11"/>
        <v>0</v>
      </c>
      <c r="AC20" s="231">
        <f t="shared" si="7"/>
        <v>0</v>
      </c>
    </row>
    <row r="21" spans="1:29" s="20" customFormat="1" ht="20.100000000000001" customHeight="1" x14ac:dyDescent="0.2">
      <c r="A21" s="340"/>
      <c r="B21" s="341"/>
      <c r="C21" s="330"/>
      <c r="D21" s="330"/>
      <c r="E21" s="331"/>
      <c r="F21" s="331"/>
      <c r="G21" s="331"/>
      <c r="H21" s="17"/>
      <c r="I21" s="224"/>
      <c r="J21" s="235" t="str">
        <f t="shared" si="4"/>
        <v/>
      </c>
      <c r="K21" s="225" t="str">
        <f t="shared" si="8"/>
        <v/>
      </c>
      <c r="L21" s="233"/>
      <c r="M21" s="234"/>
      <c r="N21" s="225" t="str">
        <f t="shared" si="9"/>
        <v/>
      </c>
      <c r="O21" s="345"/>
      <c r="P21" s="336"/>
      <c r="Q21" s="226" t="str">
        <f t="shared" si="10"/>
        <v/>
      </c>
      <c r="R21" s="345"/>
      <c r="S21" s="336"/>
      <c r="T21" s="18"/>
      <c r="U21" s="18"/>
      <c r="V21" s="18"/>
      <c r="W21" s="18"/>
      <c r="X21" s="348" t="str">
        <f t="shared" si="5"/>
        <v>N/A</v>
      </c>
      <c r="Y21" s="227">
        <f t="shared" si="6"/>
        <v>0</v>
      </c>
      <c r="Z21" s="53"/>
      <c r="AA21" s="335"/>
      <c r="AB21" s="20">
        <f t="shared" si="11"/>
        <v>0</v>
      </c>
      <c r="AC21" s="231">
        <f t="shared" si="7"/>
        <v>0</v>
      </c>
    </row>
    <row r="22" spans="1:29" s="20" customFormat="1" ht="20.100000000000001" customHeight="1" x14ac:dyDescent="0.2">
      <c r="A22" s="340"/>
      <c r="B22" s="341"/>
      <c r="C22" s="330"/>
      <c r="D22" s="330"/>
      <c r="E22" s="331"/>
      <c r="F22" s="331"/>
      <c r="G22" s="331"/>
      <c r="H22" s="17"/>
      <c r="I22" s="224"/>
      <c r="J22" s="235" t="str">
        <f t="shared" si="4"/>
        <v/>
      </c>
      <c r="K22" s="225" t="str">
        <f t="shared" si="8"/>
        <v/>
      </c>
      <c r="L22" s="233"/>
      <c r="M22" s="234"/>
      <c r="N22" s="225" t="str">
        <f t="shared" si="9"/>
        <v/>
      </c>
      <c r="O22" s="345"/>
      <c r="P22" s="336"/>
      <c r="Q22" s="226" t="str">
        <f t="shared" si="10"/>
        <v/>
      </c>
      <c r="R22" s="345"/>
      <c r="S22" s="336"/>
      <c r="T22" s="18"/>
      <c r="U22" s="18"/>
      <c r="V22" s="18"/>
      <c r="W22" s="18"/>
      <c r="X22" s="348" t="str">
        <f t="shared" si="5"/>
        <v>N/A</v>
      </c>
      <c r="Y22" s="227">
        <f t="shared" si="6"/>
        <v>0</v>
      </c>
      <c r="Z22" s="53"/>
      <c r="AA22" s="335"/>
      <c r="AB22" s="20">
        <f t="shared" si="11"/>
        <v>0</v>
      </c>
      <c r="AC22" s="231">
        <f t="shared" si="7"/>
        <v>0</v>
      </c>
    </row>
    <row r="23" spans="1:29" s="20" customFormat="1" ht="20.100000000000001" customHeight="1" x14ac:dyDescent="0.2">
      <c r="A23" s="340"/>
      <c r="B23" s="341"/>
      <c r="C23" s="330"/>
      <c r="D23" s="330"/>
      <c r="E23" s="331"/>
      <c r="F23" s="331"/>
      <c r="G23" s="331"/>
      <c r="H23" s="17"/>
      <c r="I23" s="224"/>
      <c r="J23" s="235" t="str">
        <f t="shared" si="4"/>
        <v/>
      </c>
      <c r="K23" s="225" t="str">
        <f t="shared" si="8"/>
        <v/>
      </c>
      <c r="L23" s="233"/>
      <c r="M23" s="234"/>
      <c r="N23" s="225" t="str">
        <f t="shared" si="9"/>
        <v/>
      </c>
      <c r="O23" s="345"/>
      <c r="P23" s="336"/>
      <c r="Q23" s="226" t="str">
        <f t="shared" si="10"/>
        <v/>
      </c>
      <c r="R23" s="345"/>
      <c r="S23" s="336"/>
      <c r="T23" s="18"/>
      <c r="U23" s="18"/>
      <c r="V23" s="18"/>
      <c r="W23" s="18"/>
      <c r="X23" s="348" t="str">
        <f t="shared" si="5"/>
        <v>N/A</v>
      </c>
      <c r="Y23" s="227">
        <f t="shared" si="6"/>
        <v>0</v>
      </c>
      <c r="Z23" s="53"/>
      <c r="AA23" s="335"/>
      <c r="AB23" s="20">
        <f t="shared" si="11"/>
        <v>0</v>
      </c>
      <c r="AC23" s="231">
        <f t="shared" si="7"/>
        <v>0</v>
      </c>
    </row>
    <row r="24" spans="1:29" s="20" customFormat="1" ht="20.100000000000001" customHeight="1" x14ac:dyDescent="0.2">
      <c r="A24" s="340"/>
      <c r="B24" s="341"/>
      <c r="C24" s="330"/>
      <c r="D24" s="330"/>
      <c r="E24" s="331"/>
      <c r="F24" s="331"/>
      <c r="G24" s="331"/>
      <c r="H24" s="17"/>
      <c r="I24" s="224"/>
      <c r="J24" s="235" t="str">
        <f t="shared" si="4"/>
        <v/>
      </c>
      <c r="K24" s="225" t="str">
        <f t="shared" si="8"/>
        <v/>
      </c>
      <c r="L24" s="233"/>
      <c r="M24" s="234"/>
      <c r="N24" s="225" t="str">
        <f t="shared" si="9"/>
        <v/>
      </c>
      <c r="O24" s="345"/>
      <c r="P24" s="336"/>
      <c r="Q24" s="226" t="str">
        <f t="shared" si="10"/>
        <v/>
      </c>
      <c r="R24" s="345"/>
      <c r="S24" s="336"/>
      <c r="T24" s="18"/>
      <c r="U24" s="18"/>
      <c r="V24" s="18"/>
      <c r="W24" s="18"/>
      <c r="X24" s="348" t="str">
        <f t="shared" si="5"/>
        <v>N/A</v>
      </c>
      <c r="Y24" s="227">
        <f t="shared" si="6"/>
        <v>0</v>
      </c>
      <c r="Z24" s="53"/>
      <c r="AA24" s="335"/>
      <c r="AB24" s="20">
        <f t="shared" si="11"/>
        <v>0</v>
      </c>
      <c r="AC24" s="231">
        <f t="shared" si="7"/>
        <v>0</v>
      </c>
    </row>
    <row r="25" spans="1:29" s="20" customFormat="1" ht="20.100000000000001" customHeight="1" x14ac:dyDescent="0.2">
      <c r="A25" s="340"/>
      <c r="B25" s="341"/>
      <c r="C25" s="330"/>
      <c r="D25" s="330"/>
      <c r="E25" s="331"/>
      <c r="F25" s="331"/>
      <c r="G25" s="331"/>
      <c r="H25" s="17"/>
      <c r="I25" s="224"/>
      <c r="J25" s="235" t="str">
        <f t="shared" si="4"/>
        <v/>
      </c>
      <c r="K25" s="225" t="str">
        <f t="shared" si="8"/>
        <v/>
      </c>
      <c r="L25" s="233"/>
      <c r="M25" s="234"/>
      <c r="N25" s="225" t="str">
        <f t="shared" si="9"/>
        <v/>
      </c>
      <c r="O25" s="345"/>
      <c r="P25" s="336"/>
      <c r="Q25" s="226" t="str">
        <f t="shared" si="10"/>
        <v/>
      </c>
      <c r="R25" s="345"/>
      <c r="S25" s="336"/>
      <c r="T25" s="18"/>
      <c r="U25" s="18"/>
      <c r="V25" s="18"/>
      <c r="W25" s="18"/>
      <c r="X25" s="348" t="str">
        <f t="shared" si="5"/>
        <v>N/A</v>
      </c>
      <c r="Y25" s="227">
        <f t="shared" si="6"/>
        <v>0</v>
      </c>
      <c r="Z25" s="53"/>
      <c r="AA25" s="335"/>
      <c r="AB25" s="20">
        <f t="shared" si="11"/>
        <v>0</v>
      </c>
      <c r="AC25" s="231">
        <f t="shared" si="7"/>
        <v>0</v>
      </c>
    </row>
    <row r="26" spans="1:29" s="20" customFormat="1" ht="20.100000000000001" customHeight="1" x14ac:dyDescent="0.2">
      <c r="A26" s="340"/>
      <c r="B26" s="341"/>
      <c r="C26" s="330"/>
      <c r="D26" s="330"/>
      <c r="E26" s="331"/>
      <c r="F26" s="331"/>
      <c r="G26" s="331"/>
      <c r="H26" s="17"/>
      <c r="I26" s="224"/>
      <c r="J26" s="235" t="str">
        <f t="shared" si="4"/>
        <v/>
      </c>
      <c r="K26" s="225" t="str">
        <f t="shared" si="8"/>
        <v/>
      </c>
      <c r="L26" s="233"/>
      <c r="M26" s="234"/>
      <c r="N26" s="225" t="str">
        <f t="shared" si="9"/>
        <v/>
      </c>
      <c r="O26" s="345"/>
      <c r="P26" s="336"/>
      <c r="Q26" s="226" t="str">
        <f t="shared" si="10"/>
        <v/>
      </c>
      <c r="R26" s="345"/>
      <c r="S26" s="336"/>
      <c r="T26" s="18"/>
      <c r="U26" s="18"/>
      <c r="V26" s="18"/>
      <c r="W26" s="18"/>
      <c r="X26" s="348" t="str">
        <f t="shared" si="5"/>
        <v>N/A</v>
      </c>
      <c r="Y26" s="227">
        <f t="shared" si="6"/>
        <v>0</v>
      </c>
      <c r="Z26" s="53"/>
      <c r="AA26" s="335"/>
      <c r="AB26" s="20">
        <f t="shared" si="11"/>
        <v>0</v>
      </c>
      <c r="AC26" s="231">
        <f t="shared" si="7"/>
        <v>0</v>
      </c>
    </row>
    <row r="27" spans="1:29" s="20" customFormat="1" ht="20.100000000000001" customHeight="1" x14ac:dyDescent="0.2">
      <c r="A27" s="340"/>
      <c r="B27" s="341"/>
      <c r="C27" s="330"/>
      <c r="D27" s="330"/>
      <c r="E27" s="331"/>
      <c r="F27" s="331"/>
      <c r="G27" s="331"/>
      <c r="H27" s="17"/>
      <c r="I27" s="224"/>
      <c r="J27" s="235" t="str">
        <f t="shared" si="4"/>
        <v/>
      </c>
      <c r="K27" s="225" t="str">
        <f t="shared" si="8"/>
        <v/>
      </c>
      <c r="L27" s="233"/>
      <c r="M27" s="234"/>
      <c r="N27" s="225" t="str">
        <f t="shared" si="9"/>
        <v/>
      </c>
      <c r="O27" s="345"/>
      <c r="P27" s="336"/>
      <c r="Q27" s="226" t="str">
        <f t="shared" si="10"/>
        <v/>
      </c>
      <c r="R27" s="345"/>
      <c r="S27" s="336"/>
      <c r="T27" s="18"/>
      <c r="U27" s="18"/>
      <c r="V27" s="18"/>
      <c r="W27" s="18"/>
      <c r="X27" s="348" t="str">
        <f t="shared" si="5"/>
        <v>N/A</v>
      </c>
      <c r="Y27" s="227">
        <f t="shared" si="6"/>
        <v>0</v>
      </c>
      <c r="Z27" s="53"/>
      <c r="AA27" s="335"/>
      <c r="AB27" s="20">
        <f t="shared" si="11"/>
        <v>0</v>
      </c>
      <c r="AC27" s="231">
        <f t="shared" si="7"/>
        <v>0</v>
      </c>
    </row>
    <row r="28" spans="1:29" s="20" customFormat="1" ht="20.100000000000001" customHeight="1" x14ac:dyDescent="0.2">
      <c r="A28" s="340"/>
      <c r="B28" s="341"/>
      <c r="C28" s="330"/>
      <c r="D28" s="330"/>
      <c r="E28" s="331"/>
      <c r="F28" s="331"/>
      <c r="G28" s="331"/>
      <c r="H28" s="17"/>
      <c r="I28" s="224"/>
      <c r="J28" s="235" t="str">
        <f t="shared" si="4"/>
        <v/>
      </c>
      <c r="K28" s="225" t="str">
        <f t="shared" si="8"/>
        <v/>
      </c>
      <c r="L28" s="233"/>
      <c r="M28" s="234"/>
      <c r="N28" s="225" t="str">
        <f t="shared" si="9"/>
        <v/>
      </c>
      <c r="O28" s="345"/>
      <c r="P28" s="336"/>
      <c r="Q28" s="226" t="str">
        <f t="shared" si="10"/>
        <v/>
      </c>
      <c r="R28" s="345"/>
      <c r="S28" s="336"/>
      <c r="T28" s="18"/>
      <c r="U28" s="18"/>
      <c r="V28" s="18"/>
      <c r="W28" s="18"/>
      <c r="X28" s="348" t="str">
        <f t="shared" si="5"/>
        <v>N/A</v>
      </c>
      <c r="Y28" s="227">
        <f t="shared" si="6"/>
        <v>0</v>
      </c>
      <c r="Z28" s="53"/>
      <c r="AA28" s="335"/>
      <c r="AB28" s="20">
        <f t="shared" si="11"/>
        <v>0</v>
      </c>
      <c r="AC28" s="231">
        <f t="shared" si="7"/>
        <v>0</v>
      </c>
    </row>
    <row r="29" spans="1:29" s="20" customFormat="1" ht="20.100000000000001" customHeight="1" x14ac:dyDescent="0.2">
      <c r="A29" s="340"/>
      <c r="B29" s="341"/>
      <c r="C29" s="330"/>
      <c r="D29" s="330"/>
      <c r="E29" s="331"/>
      <c r="F29" s="331"/>
      <c r="G29" s="331"/>
      <c r="H29" s="17"/>
      <c r="I29" s="224"/>
      <c r="J29" s="235" t="str">
        <f t="shared" si="4"/>
        <v/>
      </c>
      <c r="K29" s="225" t="str">
        <f t="shared" si="8"/>
        <v/>
      </c>
      <c r="L29" s="233"/>
      <c r="M29" s="234"/>
      <c r="N29" s="225" t="str">
        <f t="shared" si="9"/>
        <v/>
      </c>
      <c r="O29" s="345"/>
      <c r="P29" s="336"/>
      <c r="Q29" s="226" t="str">
        <f t="shared" si="10"/>
        <v/>
      </c>
      <c r="R29" s="345"/>
      <c r="S29" s="336"/>
      <c r="T29" s="18"/>
      <c r="U29" s="18"/>
      <c r="V29" s="18"/>
      <c r="W29" s="18"/>
      <c r="X29" s="348" t="str">
        <f t="shared" si="5"/>
        <v>N/A</v>
      </c>
      <c r="Y29" s="227">
        <f t="shared" si="6"/>
        <v>0</v>
      </c>
      <c r="Z29" s="53"/>
      <c r="AA29" s="335"/>
      <c r="AB29" s="20">
        <f t="shared" si="11"/>
        <v>0</v>
      </c>
      <c r="AC29" s="231">
        <f t="shared" si="7"/>
        <v>0</v>
      </c>
    </row>
    <row r="30" spans="1:29" s="20" customFormat="1" ht="20.100000000000001" customHeight="1" x14ac:dyDescent="0.2">
      <c r="A30" s="340"/>
      <c r="B30" s="341"/>
      <c r="C30" s="330"/>
      <c r="D30" s="330"/>
      <c r="E30" s="331"/>
      <c r="F30" s="331"/>
      <c r="G30" s="331"/>
      <c r="H30" s="17"/>
      <c r="I30" s="224"/>
      <c r="J30" s="235" t="str">
        <f t="shared" si="4"/>
        <v/>
      </c>
      <c r="K30" s="225" t="str">
        <f t="shared" si="8"/>
        <v/>
      </c>
      <c r="L30" s="233"/>
      <c r="M30" s="234"/>
      <c r="N30" s="225" t="str">
        <f t="shared" si="9"/>
        <v/>
      </c>
      <c r="O30" s="345"/>
      <c r="P30" s="336"/>
      <c r="Q30" s="226" t="str">
        <f t="shared" si="10"/>
        <v/>
      </c>
      <c r="R30" s="345"/>
      <c r="S30" s="336"/>
      <c r="T30" s="18"/>
      <c r="U30" s="18"/>
      <c r="V30" s="18"/>
      <c r="W30" s="18"/>
      <c r="X30" s="348" t="str">
        <f t="shared" si="5"/>
        <v>N/A</v>
      </c>
      <c r="Y30" s="227">
        <f t="shared" si="6"/>
        <v>0</v>
      </c>
      <c r="Z30" s="53"/>
      <c r="AA30" s="335"/>
      <c r="AB30" s="20">
        <f t="shared" si="11"/>
        <v>0</v>
      </c>
      <c r="AC30" s="231">
        <f t="shared" si="7"/>
        <v>0</v>
      </c>
    </row>
    <row r="31" spans="1:29" s="20" customFormat="1" ht="20.100000000000001" customHeight="1" x14ac:dyDescent="0.2">
      <c r="A31" s="340"/>
      <c r="B31" s="341"/>
      <c r="C31" s="330"/>
      <c r="D31" s="330"/>
      <c r="E31" s="331"/>
      <c r="F31" s="331"/>
      <c r="G31" s="331"/>
      <c r="H31" s="17"/>
      <c r="I31" s="224"/>
      <c r="J31" s="235" t="str">
        <f t="shared" si="4"/>
        <v/>
      </c>
      <c r="K31" s="225" t="str">
        <f t="shared" si="8"/>
        <v/>
      </c>
      <c r="L31" s="233"/>
      <c r="M31" s="234"/>
      <c r="N31" s="225" t="str">
        <f t="shared" si="9"/>
        <v/>
      </c>
      <c r="O31" s="345"/>
      <c r="P31" s="336"/>
      <c r="Q31" s="226" t="str">
        <f t="shared" si="10"/>
        <v/>
      </c>
      <c r="R31" s="345"/>
      <c r="S31" s="336"/>
      <c r="T31" s="18"/>
      <c r="U31" s="18"/>
      <c r="V31" s="18"/>
      <c r="W31" s="18"/>
      <c r="X31" s="348" t="str">
        <f t="shared" si="5"/>
        <v>N/A</v>
      </c>
      <c r="Y31" s="227">
        <f t="shared" si="6"/>
        <v>0</v>
      </c>
      <c r="Z31" s="53"/>
      <c r="AA31" s="335"/>
      <c r="AB31" s="20">
        <f t="shared" si="11"/>
        <v>0</v>
      </c>
      <c r="AC31" s="231">
        <f t="shared" si="7"/>
        <v>0</v>
      </c>
    </row>
    <row r="32" spans="1:29" s="20" customFormat="1" ht="20.100000000000001" customHeight="1" x14ac:dyDescent="0.2">
      <c r="A32" s="340"/>
      <c r="B32" s="341"/>
      <c r="C32" s="330"/>
      <c r="D32" s="330"/>
      <c r="E32" s="331"/>
      <c r="F32" s="331"/>
      <c r="G32" s="331"/>
      <c r="H32" s="17"/>
      <c r="I32" s="224"/>
      <c r="J32" s="235" t="str">
        <f t="shared" si="4"/>
        <v/>
      </c>
      <c r="K32" s="225" t="str">
        <f t="shared" si="8"/>
        <v/>
      </c>
      <c r="L32" s="233"/>
      <c r="M32" s="234"/>
      <c r="N32" s="225" t="str">
        <f t="shared" si="9"/>
        <v/>
      </c>
      <c r="O32" s="345"/>
      <c r="P32" s="336"/>
      <c r="Q32" s="226" t="str">
        <f t="shared" si="10"/>
        <v/>
      </c>
      <c r="R32" s="345"/>
      <c r="S32" s="336"/>
      <c r="T32" s="18"/>
      <c r="U32" s="18"/>
      <c r="V32" s="18"/>
      <c r="W32" s="18"/>
      <c r="X32" s="348" t="str">
        <f t="shared" si="5"/>
        <v>N/A</v>
      </c>
      <c r="Y32" s="227">
        <f t="shared" si="6"/>
        <v>0</v>
      </c>
      <c r="Z32" s="53"/>
      <c r="AA32" s="335"/>
      <c r="AB32" s="20">
        <f t="shared" si="11"/>
        <v>0</v>
      </c>
      <c r="AC32" s="231">
        <f t="shared" si="7"/>
        <v>0</v>
      </c>
    </row>
    <row r="33" spans="1:29" s="20" customFormat="1" ht="20.100000000000001" customHeight="1" x14ac:dyDescent="0.2">
      <c r="A33" s="340"/>
      <c r="B33" s="341"/>
      <c r="C33" s="330"/>
      <c r="D33" s="330"/>
      <c r="E33" s="331"/>
      <c r="F33" s="331"/>
      <c r="G33" s="331"/>
      <c r="H33" s="17"/>
      <c r="I33" s="224"/>
      <c r="J33" s="235" t="str">
        <f t="shared" si="4"/>
        <v/>
      </c>
      <c r="K33" s="225" t="str">
        <f t="shared" si="8"/>
        <v/>
      </c>
      <c r="L33" s="233"/>
      <c r="M33" s="234"/>
      <c r="N33" s="225" t="str">
        <f t="shared" si="9"/>
        <v/>
      </c>
      <c r="O33" s="345"/>
      <c r="P33" s="336"/>
      <c r="Q33" s="226" t="str">
        <f t="shared" si="10"/>
        <v/>
      </c>
      <c r="R33" s="345"/>
      <c r="S33" s="336"/>
      <c r="T33" s="18"/>
      <c r="U33" s="18"/>
      <c r="V33" s="18"/>
      <c r="W33" s="18"/>
      <c r="X33" s="348" t="str">
        <f t="shared" si="5"/>
        <v>N/A</v>
      </c>
      <c r="Y33" s="227">
        <f t="shared" si="6"/>
        <v>0</v>
      </c>
      <c r="Z33" s="53"/>
      <c r="AA33" s="335"/>
      <c r="AB33" s="20">
        <f t="shared" si="11"/>
        <v>0</v>
      </c>
      <c r="AC33" s="231">
        <f t="shared" si="7"/>
        <v>0</v>
      </c>
    </row>
    <row r="34" spans="1:29" s="20" customFormat="1" ht="20.100000000000001" customHeight="1" x14ac:dyDescent="0.2">
      <c r="A34" s="340"/>
      <c r="B34" s="341"/>
      <c r="C34" s="330"/>
      <c r="D34" s="330"/>
      <c r="E34" s="331"/>
      <c r="F34" s="331"/>
      <c r="G34" s="331"/>
      <c r="H34" s="17"/>
      <c r="I34" s="224"/>
      <c r="J34" s="235" t="str">
        <f t="shared" si="4"/>
        <v/>
      </c>
      <c r="K34" s="225" t="str">
        <f t="shared" si="8"/>
        <v/>
      </c>
      <c r="L34" s="233"/>
      <c r="M34" s="234"/>
      <c r="N34" s="225" t="str">
        <f t="shared" si="9"/>
        <v/>
      </c>
      <c r="O34" s="345"/>
      <c r="P34" s="336"/>
      <c r="Q34" s="226" t="str">
        <f t="shared" si="10"/>
        <v/>
      </c>
      <c r="R34" s="345"/>
      <c r="S34" s="336"/>
      <c r="T34" s="18"/>
      <c r="U34" s="18"/>
      <c r="V34" s="18"/>
      <c r="W34" s="18"/>
      <c r="X34" s="348" t="str">
        <f t="shared" si="5"/>
        <v>N/A</v>
      </c>
      <c r="Y34" s="227">
        <f t="shared" si="6"/>
        <v>0</v>
      </c>
      <c r="Z34" s="53"/>
      <c r="AA34" s="335"/>
      <c r="AB34" s="20">
        <f t="shared" si="11"/>
        <v>0</v>
      </c>
      <c r="AC34" s="231">
        <f t="shared" si="7"/>
        <v>0</v>
      </c>
    </row>
    <row r="35" spans="1:29" s="20" customFormat="1" ht="20.100000000000001" customHeight="1" x14ac:dyDescent="0.2">
      <c r="A35" s="340"/>
      <c r="B35" s="341"/>
      <c r="C35" s="330"/>
      <c r="D35" s="330"/>
      <c r="E35" s="331"/>
      <c r="F35" s="331"/>
      <c r="G35" s="331"/>
      <c r="H35" s="17"/>
      <c r="I35" s="224"/>
      <c r="J35" s="235" t="str">
        <f t="shared" si="4"/>
        <v/>
      </c>
      <c r="K35" s="225" t="str">
        <f t="shared" si="8"/>
        <v/>
      </c>
      <c r="L35" s="233"/>
      <c r="M35" s="234"/>
      <c r="N35" s="225" t="str">
        <f t="shared" si="9"/>
        <v/>
      </c>
      <c r="O35" s="345"/>
      <c r="P35" s="336"/>
      <c r="Q35" s="226" t="str">
        <f t="shared" si="10"/>
        <v/>
      </c>
      <c r="R35" s="345"/>
      <c r="S35" s="336"/>
      <c r="T35" s="18"/>
      <c r="U35" s="18"/>
      <c r="V35" s="18"/>
      <c r="W35" s="18"/>
      <c r="X35" s="348" t="str">
        <f t="shared" si="5"/>
        <v>N/A</v>
      </c>
      <c r="Y35" s="227">
        <f t="shared" si="6"/>
        <v>0</v>
      </c>
      <c r="Z35" s="53"/>
      <c r="AA35" s="335"/>
      <c r="AB35" s="20">
        <f t="shared" si="11"/>
        <v>0</v>
      </c>
      <c r="AC35" s="231">
        <f t="shared" si="7"/>
        <v>0</v>
      </c>
    </row>
    <row r="36" spans="1:29" s="20" customFormat="1" ht="20.100000000000001" customHeight="1" x14ac:dyDescent="0.2">
      <c r="A36" s="340"/>
      <c r="B36" s="341"/>
      <c r="C36" s="330"/>
      <c r="D36" s="330"/>
      <c r="E36" s="331"/>
      <c r="F36" s="331"/>
      <c r="G36" s="331"/>
      <c r="H36" s="17"/>
      <c r="I36" s="224"/>
      <c r="J36" s="235" t="str">
        <f t="shared" si="4"/>
        <v/>
      </c>
      <c r="K36" s="225" t="str">
        <f t="shared" si="8"/>
        <v/>
      </c>
      <c r="L36" s="233"/>
      <c r="M36" s="234"/>
      <c r="N36" s="225" t="str">
        <f t="shared" si="9"/>
        <v/>
      </c>
      <c r="O36" s="345"/>
      <c r="P36" s="336"/>
      <c r="Q36" s="226" t="str">
        <f t="shared" si="10"/>
        <v/>
      </c>
      <c r="R36" s="345"/>
      <c r="S36" s="336"/>
      <c r="T36" s="18"/>
      <c r="U36" s="18"/>
      <c r="V36" s="18"/>
      <c r="W36" s="18"/>
      <c r="X36" s="348" t="str">
        <f t="shared" si="5"/>
        <v>N/A</v>
      </c>
      <c r="Y36" s="227">
        <f t="shared" si="6"/>
        <v>0</v>
      </c>
      <c r="Z36" s="53"/>
      <c r="AA36" s="335"/>
      <c r="AB36" s="20">
        <f t="shared" si="11"/>
        <v>0</v>
      </c>
      <c r="AC36" s="231">
        <f t="shared" si="7"/>
        <v>0</v>
      </c>
    </row>
    <row r="37" spans="1:29" s="20" customFormat="1" ht="20.100000000000001" customHeight="1" x14ac:dyDescent="0.2">
      <c r="A37" s="340"/>
      <c r="B37" s="341"/>
      <c r="C37" s="330"/>
      <c r="D37" s="330"/>
      <c r="E37" s="331"/>
      <c r="F37" s="331"/>
      <c r="G37" s="331"/>
      <c r="H37" s="17"/>
      <c r="I37" s="224"/>
      <c r="J37" s="235" t="str">
        <f t="shared" si="4"/>
        <v/>
      </c>
      <c r="K37" s="225" t="str">
        <f t="shared" si="8"/>
        <v/>
      </c>
      <c r="L37" s="233"/>
      <c r="M37" s="234"/>
      <c r="N37" s="225" t="str">
        <f t="shared" si="9"/>
        <v/>
      </c>
      <c r="O37" s="345"/>
      <c r="P37" s="336"/>
      <c r="Q37" s="226" t="str">
        <f t="shared" si="10"/>
        <v/>
      </c>
      <c r="R37" s="345"/>
      <c r="S37" s="336"/>
      <c r="T37" s="18"/>
      <c r="U37" s="18"/>
      <c r="V37" s="18"/>
      <c r="W37" s="18"/>
      <c r="X37" s="348" t="str">
        <f t="shared" si="5"/>
        <v>N/A</v>
      </c>
      <c r="Y37" s="227">
        <f t="shared" si="6"/>
        <v>0</v>
      </c>
      <c r="Z37" s="53"/>
      <c r="AA37" s="335"/>
      <c r="AB37" s="20">
        <f t="shared" si="11"/>
        <v>0</v>
      </c>
      <c r="AC37" s="231">
        <f t="shared" si="7"/>
        <v>0</v>
      </c>
    </row>
    <row r="38" spans="1:29" s="20" customFormat="1" ht="20.100000000000001" customHeight="1" x14ac:dyDescent="0.2">
      <c r="A38" s="340"/>
      <c r="B38" s="341"/>
      <c r="C38" s="330"/>
      <c r="D38" s="330"/>
      <c r="E38" s="331"/>
      <c r="F38" s="331"/>
      <c r="G38" s="331"/>
      <c r="H38" s="17"/>
      <c r="I38" s="224"/>
      <c r="J38" s="235" t="str">
        <f t="shared" si="4"/>
        <v/>
      </c>
      <c r="K38" s="225" t="str">
        <f t="shared" si="8"/>
        <v/>
      </c>
      <c r="L38" s="233"/>
      <c r="M38" s="234"/>
      <c r="N38" s="225" t="str">
        <f t="shared" si="9"/>
        <v/>
      </c>
      <c r="O38" s="345"/>
      <c r="P38" s="336"/>
      <c r="Q38" s="226" t="str">
        <f t="shared" si="10"/>
        <v/>
      </c>
      <c r="R38" s="345"/>
      <c r="S38" s="336"/>
      <c r="T38" s="18"/>
      <c r="U38" s="18"/>
      <c r="V38" s="18"/>
      <c r="W38" s="18"/>
      <c r="X38" s="348" t="str">
        <f t="shared" si="5"/>
        <v>N/A</v>
      </c>
      <c r="Y38" s="227">
        <f t="shared" si="6"/>
        <v>0</v>
      </c>
      <c r="Z38" s="53"/>
      <c r="AA38" s="335"/>
      <c r="AB38" s="20">
        <f t="shared" si="11"/>
        <v>0</v>
      </c>
      <c r="AC38" s="231">
        <f t="shared" si="7"/>
        <v>0</v>
      </c>
    </row>
    <row r="39" spans="1:29" s="20" customFormat="1" ht="20.100000000000001" customHeight="1" x14ac:dyDescent="0.2">
      <c r="A39" s="340"/>
      <c r="B39" s="341"/>
      <c r="C39" s="330"/>
      <c r="D39" s="330"/>
      <c r="E39" s="331"/>
      <c r="F39" s="331"/>
      <c r="G39" s="331"/>
      <c r="H39" s="17"/>
      <c r="I39" s="224"/>
      <c r="J39" s="235" t="str">
        <f t="shared" si="4"/>
        <v/>
      </c>
      <c r="K39" s="225" t="str">
        <f t="shared" si="8"/>
        <v/>
      </c>
      <c r="L39" s="233"/>
      <c r="M39" s="234"/>
      <c r="N39" s="225" t="str">
        <f t="shared" si="9"/>
        <v/>
      </c>
      <c r="O39" s="345"/>
      <c r="P39" s="336"/>
      <c r="Q39" s="226" t="str">
        <f t="shared" si="10"/>
        <v/>
      </c>
      <c r="R39" s="345"/>
      <c r="S39" s="336"/>
      <c r="T39" s="18"/>
      <c r="U39" s="18"/>
      <c r="V39" s="18"/>
      <c r="W39" s="18"/>
      <c r="X39" s="348" t="str">
        <f t="shared" si="5"/>
        <v>N/A</v>
      </c>
      <c r="Y39" s="227">
        <f t="shared" si="6"/>
        <v>0</v>
      </c>
      <c r="Z39" s="53"/>
      <c r="AA39" s="335"/>
      <c r="AB39" s="20">
        <f t="shared" si="11"/>
        <v>0</v>
      </c>
      <c r="AC39" s="231">
        <f t="shared" si="7"/>
        <v>0</v>
      </c>
    </row>
    <row r="40" spans="1:29" s="20" customFormat="1" ht="20.100000000000001" customHeight="1" x14ac:dyDescent="0.2">
      <c r="A40" s="340"/>
      <c r="B40" s="341"/>
      <c r="C40" s="330"/>
      <c r="D40" s="330"/>
      <c r="E40" s="331"/>
      <c r="F40" s="331"/>
      <c r="G40" s="331"/>
      <c r="H40" s="17"/>
      <c r="I40" s="224"/>
      <c r="J40" s="235" t="str">
        <f t="shared" si="4"/>
        <v/>
      </c>
      <c r="K40" s="225" t="str">
        <f t="shared" si="8"/>
        <v/>
      </c>
      <c r="L40" s="233"/>
      <c r="M40" s="234"/>
      <c r="N40" s="225" t="str">
        <f t="shared" si="9"/>
        <v/>
      </c>
      <c r="O40" s="345"/>
      <c r="P40" s="336"/>
      <c r="Q40" s="226" t="str">
        <f t="shared" si="10"/>
        <v/>
      </c>
      <c r="R40" s="345"/>
      <c r="S40" s="336"/>
      <c r="T40" s="18"/>
      <c r="U40" s="18"/>
      <c r="V40" s="18"/>
      <c r="W40" s="18"/>
      <c r="X40" s="348" t="str">
        <f t="shared" si="5"/>
        <v>N/A</v>
      </c>
      <c r="Y40" s="227">
        <f t="shared" si="6"/>
        <v>0</v>
      </c>
      <c r="Z40" s="53"/>
      <c r="AA40" s="335"/>
      <c r="AB40" s="20">
        <f t="shared" si="11"/>
        <v>0</v>
      </c>
      <c r="AC40" s="231">
        <f t="shared" si="7"/>
        <v>0</v>
      </c>
    </row>
    <row r="41" spans="1:29" s="20" customFormat="1" ht="20.100000000000001" customHeight="1" x14ac:dyDescent="0.2">
      <c r="A41" s="340"/>
      <c r="B41" s="341"/>
      <c r="C41" s="330"/>
      <c r="D41" s="330"/>
      <c r="E41" s="331"/>
      <c r="F41" s="331"/>
      <c r="G41" s="331"/>
      <c r="H41" s="17"/>
      <c r="I41" s="224"/>
      <c r="J41" s="235" t="str">
        <f t="shared" si="4"/>
        <v/>
      </c>
      <c r="K41" s="225" t="str">
        <f t="shared" si="8"/>
        <v/>
      </c>
      <c r="L41" s="233"/>
      <c r="M41" s="234"/>
      <c r="N41" s="225" t="str">
        <f t="shared" si="9"/>
        <v/>
      </c>
      <c r="O41" s="345"/>
      <c r="P41" s="336"/>
      <c r="Q41" s="226" t="str">
        <f t="shared" si="10"/>
        <v/>
      </c>
      <c r="R41" s="345"/>
      <c r="S41" s="336"/>
      <c r="T41" s="18"/>
      <c r="U41" s="18"/>
      <c r="V41" s="18"/>
      <c r="W41" s="18"/>
      <c r="X41" s="348" t="str">
        <f t="shared" si="5"/>
        <v>N/A</v>
      </c>
      <c r="Y41" s="227">
        <f t="shared" si="6"/>
        <v>0</v>
      </c>
      <c r="Z41" s="53"/>
      <c r="AA41" s="335"/>
      <c r="AB41" s="20">
        <f t="shared" si="11"/>
        <v>0</v>
      </c>
      <c r="AC41" s="231">
        <f t="shared" si="7"/>
        <v>0</v>
      </c>
    </row>
    <row r="42" spans="1:29" s="20" customFormat="1" ht="20.100000000000001" customHeight="1" x14ac:dyDescent="0.2">
      <c r="A42" s="340"/>
      <c r="B42" s="341"/>
      <c r="C42" s="330"/>
      <c r="D42" s="330"/>
      <c r="E42" s="331"/>
      <c r="F42" s="331"/>
      <c r="G42" s="331"/>
      <c r="H42" s="17"/>
      <c r="I42" s="224"/>
      <c r="J42" s="235" t="str">
        <f t="shared" si="4"/>
        <v/>
      </c>
      <c r="K42" s="225" t="str">
        <f t="shared" si="8"/>
        <v/>
      </c>
      <c r="L42" s="233"/>
      <c r="M42" s="234"/>
      <c r="N42" s="225" t="str">
        <f t="shared" si="9"/>
        <v/>
      </c>
      <c r="O42" s="345"/>
      <c r="P42" s="336"/>
      <c r="Q42" s="226" t="str">
        <f t="shared" si="10"/>
        <v/>
      </c>
      <c r="R42" s="345"/>
      <c r="S42" s="336"/>
      <c r="T42" s="18"/>
      <c r="U42" s="18"/>
      <c r="V42" s="18"/>
      <c r="W42" s="18"/>
      <c r="X42" s="348" t="str">
        <f t="shared" si="5"/>
        <v>N/A</v>
      </c>
      <c r="Y42" s="227">
        <f t="shared" si="6"/>
        <v>0</v>
      </c>
      <c r="Z42" s="53"/>
      <c r="AA42" s="335"/>
      <c r="AB42" s="20">
        <f t="shared" si="11"/>
        <v>0</v>
      </c>
      <c r="AC42" s="231">
        <f t="shared" si="7"/>
        <v>0</v>
      </c>
    </row>
    <row r="43" spans="1:29" s="20" customFormat="1" ht="20.100000000000001" customHeight="1" x14ac:dyDescent="0.2">
      <c r="A43" s="340"/>
      <c r="B43" s="341"/>
      <c r="C43" s="330"/>
      <c r="D43" s="330"/>
      <c r="E43" s="331"/>
      <c r="F43" s="331"/>
      <c r="G43" s="331"/>
      <c r="H43" s="17"/>
      <c r="I43" s="224"/>
      <c r="J43" s="235" t="str">
        <f t="shared" si="4"/>
        <v/>
      </c>
      <c r="K43" s="225" t="str">
        <f t="shared" ref="K43:K56" si="12">parm_complex(I43,J43,1,$B$4,$AB$4)</f>
        <v/>
      </c>
      <c r="L43" s="233"/>
      <c r="M43" s="234"/>
      <c r="N43" s="225" t="str">
        <f t="shared" ref="N43:N56" si="13">parm_complex(I43,J43,2,$B$4,$AB$4)</f>
        <v/>
      </c>
      <c r="O43" s="345"/>
      <c r="P43" s="336"/>
      <c r="Q43" s="226" t="str">
        <f t="shared" ref="Q43:Q56" si="14">parm_complex(I43,J43,3,$B$4,$AB$4)</f>
        <v/>
      </c>
      <c r="R43" s="345"/>
      <c r="S43" s="336"/>
      <c r="T43" s="18"/>
      <c r="U43" s="18"/>
      <c r="V43" s="18"/>
      <c r="W43" s="18"/>
      <c r="X43" s="348" t="str">
        <f t="shared" si="5"/>
        <v>N/A</v>
      </c>
      <c r="Y43" s="227">
        <f t="shared" si="6"/>
        <v>0</v>
      </c>
      <c r="Z43" s="53"/>
      <c r="AA43" s="335"/>
      <c r="AB43" s="20">
        <f t="shared" ref="AB43:AB56" si="15">SNAPHmlgd($AB$4,I43,Y43)</f>
        <v>0</v>
      </c>
      <c r="AC43" s="231">
        <f t="shared" si="7"/>
        <v>0</v>
      </c>
    </row>
    <row r="44" spans="1:29" s="20" customFormat="1" ht="20.100000000000001" customHeight="1" x14ac:dyDescent="0.2">
      <c r="A44" s="340"/>
      <c r="B44" s="341"/>
      <c r="C44" s="330"/>
      <c r="D44" s="330"/>
      <c r="E44" s="331"/>
      <c r="F44" s="331"/>
      <c r="G44" s="331"/>
      <c r="H44" s="17"/>
      <c r="I44" s="224"/>
      <c r="J44" s="235" t="str">
        <f t="shared" si="4"/>
        <v/>
      </c>
      <c r="K44" s="225" t="str">
        <f t="shared" si="12"/>
        <v/>
      </c>
      <c r="L44" s="233"/>
      <c r="M44" s="234"/>
      <c r="N44" s="225" t="str">
        <f t="shared" si="13"/>
        <v/>
      </c>
      <c r="O44" s="345"/>
      <c r="P44" s="336"/>
      <c r="Q44" s="226" t="str">
        <f t="shared" si="14"/>
        <v/>
      </c>
      <c r="R44" s="345"/>
      <c r="S44" s="336"/>
      <c r="T44" s="18"/>
      <c r="U44" s="18"/>
      <c r="V44" s="18"/>
      <c r="W44" s="18"/>
      <c r="X44" s="348" t="str">
        <f t="shared" si="5"/>
        <v>N/A</v>
      </c>
      <c r="Y44" s="227">
        <f t="shared" si="6"/>
        <v>0</v>
      </c>
      <c r="Z44" s="53"/>
      <c r="AA44" s="335"/>
      <c r="AB44" s="20">
        <f t="shared" si="15"/>
        <v>0</v>
      </c>
      <c r="AC44" s="231">
        <f t="shared" si="7"/>
        <v>0</v>
      </c>
    </row>
    <row r="45" spans="1:29" s="20" customFormat="1" ht="20.100000000000001" customHeight="1" x14ac:dyDescent="0.2">
      <c r="A45" s="340"/>
      <c r="B45" s="341"/>
      <c r="C45" s="330"/>
      <c r="D45" s="330"/>
      <c r="E45" s="331"/>
      <c r="F45" s="331"/>
      <c r="G45" s="331"/>
      <c r="H45" s="17"/>
      <c r="I45" s="224"/>
      <c r="J45" s="235" t="str">
        <f t="shared" si="4"/>
        <v/>
      </c>
      <c r="K45" s="225" t="str">
        <f t="shared" si="12"/>
        <v/>
      </c>
      <c r="L45" s="233"/>
      <c r="M45" s="234"/>
      <c r="N45" s="225" t="str">
        <f t="shared" si="13"/>
        <v/>
      </c>
      <c r="O45" s="345"/>
      <c r="P45" s="336"/>
      <c r="Q45" s="226" t="str">
        <f t="shared" si="14"/>
        <v/>
      </c>
      <c r="R45" s="345"/>
      <c r="S45" s="336"/>
      <c r="T45" s="18"/>
      <c r="U45" s="18"/>
      <c r="V45" s="18"/>
      <c r="W45" s="18"/>
      <c r="X45" s="348" t="str">
        <f t="shared" si="5"/>
        <v>N/A</v>
      </c>
      <c r="Y45" s="227">
        <f t="shared" si="6"/>
        <v>0</v>
      </c>
      <c r="Z45" s="53"/>
      <c r="AA45" s="335"/>
      <c r="AB45" s="20">
        <f t="shared" si="15"/>
        <v>0</v>
      </c>
      <c r="AC45" s="231">
        <f t="shared" si="7"/>
        <v>0</v>
      </c>
    </row>
    <row r="46" spans="1:29" s="20" customFormat="1" ht="20.100000000000001" customHeight="1" x14ac:dyDescent="0.2">
      <c r="A46" s="340"/>
      <c r="B46" s="341"/>
      <c r="C46" s="330"/>
      <c r="D46" s="330"/>
      <c r="E46" s="331"/>
      <c r="F46" s="331"/>
      <c r="G46" s="331"/>
      <c r="H46" s="17"/>
      <c r="I46" s="224"/>
      <c r="J46" s="235" t="str">
        <f t="shared" si="4"/>
        <v/>
      </c>
      <c r="K46" s="225" t="str">
        <f t="shared" si="12"/>
        <v/>
      </c>
      <c r="L46" s="233"/>
      <c r="M46" s="234"/>
      <c r="N46" s="225" t="str">
        <f t="shared" si="13"/>
        <v/>
      </c>
      <c r="O46" s="345"/>
      <c r="P46" s="336"/>
      <c r="Q46" s="226" t="str">
        <f t="shared" si="14"/>
        <v/>
      </c>
      <c r="R46" s="345"/>
      <c r="S46" s="336"/>
      <c r="T46" s="18"/>
      <c r="U46" s="18"/>
      <c r="V46" s="18"/>
      <c r="W46" s="18"/>
      <c r="X46" s="348" t="str">
        <f t="shared" si="5"/>
        <v>N/A</v>
      </c>
      <c r="Y46" s="227">
        <f t="shared" si="6"/>
        <v>0</v>
      </c>
      <c r="Z46" s="53"/>
      <c r="AA46" s="335"/>
      <c r="AB46" s="20">
        <f t="shared" si="15"/>
        <v>0</v>
      </c>
      <c r="AC46" s="231">
        <f t="shared" si="7"/>
        <v>0</v>
      </c>
    </row>
    <row r="47" spans="1:29" s="20" customFormat="1" ht="20.100000000000001" customHeight="1" x14ac:dyDescent="0.2">
      <c r="A47" s="340"/>
      <c r="B47" s="341"/>
      <c r="C47" s="330"/>
      <c r="D47" s="330"/>
      <c r="E47" s="331"/>
      <c r="F47" s="331"/>
      <c r="G47" s="331"/>
      <c r="H47" s="17"/>
      <c r="I47" s="224"/>
      <c r="J47" s="235" t="str">
        <f t="shared" si="4"/>
        <v/>
      </c>
      <c r="K47" s="225" t="str">
        <f t="shared" si="12"/>
        <v/>
      </c>
      <c r="L47" s="233"/>
      <c r="M47" s="234"/>
      <c r="N47" s="225" t="str">
        <f t="shared" si="13"/>
        <v/>
      </c>
      <c r="O47" s="345"/>
      <c r="P47" s="336"/>
      <c r="Q47" s="226" t="str">
        <f t="shared" si="14"/>
        <v/>
      </c>
      <c r="R47" s="345"/>
      <c r="S47" s="336"/>
      <c r="T47" s="18"/>
      <c r="U47" s="18"/>
      <c r="V47" s="18"/>
      <c r="W47" s="18"/>
      <c r="X47" s="348" t="str">
        <f t="shared" si="5"/>
        <v>N/A</v>
      </c>
      <c r="Y47" s="227">
        <f t="shared" si="6"/>
        <v>0</v>
      </c>
      <c r="Z47" s="53"/>
      <c r="AA47" s="335"/>
      <c r="AB47" s="20">
        <f t="shared" si="15"/>
        <v>0</v>
      </c>
      <c r="AC47" s="231">
        <f t="shared" si="7"/>
        <v>0</v>
      </c>
    </row>
    <row r="48" spans="1:29" s="20" customFormat="1" ht="20.100000000000001" customHeight="1" x14ac:dyDescent="0.2">
      <c r="A48" s="340"/>
      <c r="B48" s="341"/>
      <c r="C48" s="330"/>
      <c r="D48" s="330"/>
      <c r="E48" s="331"/>
      <c r="F48" s="331"/>
      <c r="G48" s="331"/>
      <c r="H48" s="17"/>
      <c r="I48" s="224"/>
      <c r="J48" s="235" t="str">
        <f t="shared" si="4"/>
        <v/>
      </c>
      <c r="K48" s="225" t="str">
        <f t="shared" si="12"/>
        <v/>
      </c>
      <c r="L48" s="233"/>
      <c r="M48" s="234"/>
      <c r="N48" s="225" t="str">
        <f t="shared" si="13"/>
        <v/>
      </c>
      <c r="O48" s="345"/>
      <c r="P48" s="336"/>
      <c r="Q48" s="226" t="str">
        <f t="shared" si="14"/>
        <v/>
      </c>
      <c r="R48" s="345"/>
      <c r="S48" s="336"/>
      <c r="T48" s="18"/>
      <c r="U48" s="18"/>
      <c r="V48" s="18"/>
      <c r="W48" s="18"/>
      <c r="X48" s="348" t="str">
        <f t="shared" si="5"/>
        <v>N/A</v>
      </c>
      <c r="Y48" s="227">
        <f t="shared" si="6"/>
        <v>0</v>
      </c>
      <c r="Z48" s="53"/>
      <c r="AA48" s="335"/>
      <c r="AB48" s="20">
        <f t="shared" si="15"/>
        <v>0</v>
      </c>
      <c r="AC48" s="231">
        <f t="shared" si="7"/>
        <v>0</v>
      </c>
    </row>
    <row r="49" spans="1:29" s="20" customFormat="1" ht="20.100000000000001" customHeight="1" x14ac:dyDescent="0.2">
      <c r="A49" s="340"/>
      <c r="B49" s="341"/>
      <c r="C49" s="330"/>
      <c r="D49" s="330"/>
      <c r="E49" s="331"/>
      <c r="F49" s="331"/>
      <c r="G49" s="331"/>
      <c r="H49" s="17"/>
      <c r="I49" s="224"/>
      <c r="J49" s="235" t="str">
        <f t="shared" si="4"/>
        <v/>
      </c>
      <c r="K49" s="225" t="str">
        <f t="shared" si="12"/>
        <v/>
      </c>
      <c r="L49" s="233"/>
      <c r="M49" s="234"/>
      <c r="N49" s="225" t="str">
        <f t="shared" si="13"/>
        <v/>
      </c>
      <c r="O49" s="345"/>
      <c r="P49" s="336"/>
      <c r="Q49" s="226" t="str">
        <f t="shared" si="14"/>
        <v/>
      </c>
      <c r="R49" s="345"/>
      <c r="S49" s="336"/>
      <c r="T49" s="18"/>
      <c r="U49" s="18"/>
      <c r="V49" s="18"/>
      <c r="W49" s="18"/>
      <c r="X49" s="348" t="str">
        <f t="shared" si="5"/>
        <v>N/A</v>
      </c>
      <c r="Y49" s="227">
        <f t="shared" si="6"/>
        <v>0</v>
      </c>
      <c r="Z49" s="53"/>
      <c r="AA49" s="335"/>
      <c r="AB49" s="20">
        <f t="shared" si="15"/>
        <v>0</v>
      </c>
      <c r="AC49" s="231">
        <f t="shared" si="7"/>
        <v>0</v>
      </c>
    </row>
    <row r="50" spans="1:29" s="20" customFormat="1" ht="20.100000000000001" customHeight="1" x14ac:dyDescent="0.2">
      <c r="A50" s="340"/>
      <c r="B50" s="341"/>
      <c r="C50" s="330"/>
      <c r="D50" s="330"/>
      <c r="E50" s="331"/>
      <c r="F50" s="331"/>
      <c r="G50" s="331"/>
      <c r="H50" s="17"/>
      <c r="I50" s="224"/>
      <c r="J50" s="235" t="str">
        <f t="shared" si="4"/>
        <v/>
      </c>
      <c r="K50" s="225" t="str">
        <f t="shared" si="12"/>
        <v/>
      </c>
      <c r="L50" s="233"/>
      <c r="M50" s="234"/>
      <c r="N50" s="225" t="str">
        <f t="shared" si="13"/>
        <v/>
      </c>
      <c r="O50" s="345"/>
      <c r="P50" s="336"/>
      <c r="Q50" s="226" t="str">
        <f t="shared" si="14"/>
        <v/>
      </c>
      <c r="R50" s="345"/>
      <c r="S50" s="336"/>
      <c r="T50" s="18"/>
      <c r="U50" s="18"/>
      <c r="V50" s="18"/>
      <c r="W50" s="18"/>
      <c r="X50" s="348" t="str">
        <f t="shared" si="5"/>
        <v>N/A</v>
      </c>
      <c r="Y50" s="227">
        <f t="shared" si="6"/>
        <v>0</v>
      </c>
      <c r="Z50" s="53"/>
      <c r="AA50" s="335"/>
      <c r="AB50" s="20">
        <f t="shared" si="15"/>
        <v>0</v>
      </c>
      <c r="AC50" s="231">
        <f t="shared" si="7"/>
        <v>0</v>
      </c>
    </row>
    <row r="51" spans="1:29" s="20" customFormat="1" ht="20.100000000000001" customHeight="1" x14ac:dyDescent="0.2">
      <c r="A51" s="340"/>
      <c r="B51" s="341"/>
      <c r="C51" s="330"/>
      <c r="D51" s="330"/>
      <c r="E51" s="331"/>
      <c r="F51" s="331"/>
      <c r="G51" s="331"/>
      <c r="H51" s="17"/>
      <c r="I51" s="224"/>
      <c r="J51" s="235" t="str">
        <f t="shared" si="4"/>
        <v/>
      </c>
      <c r="K51" s="225" t="str">
        <f t="shared" si="12"/>
        <v/>
      </c>
      <c r="L51" s="233"/>
      <c r="M51" s="234"/>
      <c r="N51" s="225" t="str">
        <f t="shared" si="13"/>
        <v/>
      </c>
      <c r="O51" s="345"/>
      <c r="P51" s="336"/>
      <c r="Q51" s="226" t="str">
        <f t="shared" si="14"/>
        <v/>
      </c>
      <c r="R51" s="345"/>
      <c r="S51" s="336"/>
      <c r="T51" s="18"/>
      <c r="U51" s="18"/>
      <c r="V51" s="18"/>
      <c r="W51" s="18"/>
      <c r="X51" s="348" t="str">
        <f t="shared" si="5"/>
        <v>N/A</v>
      </c>
      <c r="Y51" s="227">
        <f t="shared" si="6"/>
        <v>0</v>
      </c>
      <c r="Z51" s="53"/>
      <c r="AA51" s="335"/>
      <c r="AB51" s="20">
        <f t="shared" si="15"/>
        <v>0</v>
      </c>
      <c r="AC51" s="231">
        <f t="shared" si="7"/>
        <v>0</v>
      </c>
    </row>
    <row r="52" spans="1:29" s="20" customFormat="1" ht="20.100000000000001" customHeight="1" x14ac:dyDescent="0.2">
      <c r="A52" s="340"/>
      <c r="B52" s="341"/>
      <c r="C52" s="330"/>
      <c r="D52" s="330"/>
      <c r="E52" s="331"/>
      <c r="F52" s="331"/>
      <c r="G52" s="331"/>
      <c r="H52" s="17"/>
      <c r="I52" s="224"/>
      <c r="J52" s="235" t="str">
        <f t="shared" si="4"/>
        <v/>
      </c>
      <c r="K52" s="225" t="str">
        <f t="shared" si="12"/>
        <v/>
      </c>
      <c r="L52" s="233"/>
      <c r="M52" s="234"/>
      <c r="N52" s="225" t="str">
        <f t="shared" si="13"/>
        <v/>
      </c>
      <c r="O52" s="345"/>
      <c r="P52" s="336"/>
      <c r="Q52" s="226" t="str">
        <f t="shared" si="14"/>
        <v/>
      </c>
      <c r="R52" s="345"/>
      <c r="S52" s="336"/>
      <c r="T52" s="18"/>
      <c r="U52" s="18"/>
      <c r="V52" s="18"/>
      <c r="W52" s="18"/>
      <c r="X52" s="348" t="str">
        <f t="shared" si="5"/>
        <v>N/A</v>
      </c>
      <c r="Y52" s="227">
        <f t="shared" si="6"/>
        <v>0</v>
      </c>
      <c r="Z52" s="53"/>
      <c r="AA52" s="335"/>
      <c r="AB52" s="20">
        <f t="shared" si="15"/>
        <v>0</v>
      </c>
      <c r="AC52" s="231">
        <f t="shared" si="7"/>
        <v>0</v>
      </c>
    </row>
    <row r="53" spans="1:29" s="20" customFormat="1" ht="20.100000000000001" customHeight="1" x14ac:dyDescent="0.2">
      <c r="A53" s="340"/>
      <c r="B53" s="341"/>
      <c r="C53" s="330"/>
      <c r="D53" s="330"/>
      <c r="E53" s="331"/>
      <c r="F53" s="331"/>
      <c r="G53" s="331"/>
      <c r="H53" s="17"/>
      <c r="I53" s="224"/>
      <c r="J53" s="235" t="str">
        <f t="shared" si="4"/>
        <v/>
      </c>
      <c r="K53" s="225" t="str">
        <f t="shared" si="12"/>
        <v/>
      </c>
      <c r="L53" s="233"/>
      <c r="M53" s="234"/>
      <c r="N53" s="225" t="str">
        <f t="shared" si="13"/>
        <v/>
      </c>
      <c r="O53" s="345"/>
      <c r="P53" s="336"/>
      <c r="Q53" s="226" t="str">
        <f t="shared" si="14"/>
        <v/>
      </c>
      <c r="R53" s="345"/>
      <c r="S53" s="336"/>
      <c r="T53" s="18"/>
      <c r="U53" s="18"/>
      <c r="V53" s="18"/>
      <c r="W53" s="18"/>
      <c r="X53" s="348" t="str">
        <f t="shared" si="5"/>
        <v>N/A</v>
      </c>
      <c r="Y53" s="227">
        <f t="shared" si="6"/>
        <v>0</v>
      </c>
      <c r="Z53" s="53"/>
      <c r="AA53" s="335"/>
      <c r="AB53" s="20">
        <f t="shared" si="15"/>
        <v>0</v>
      </c>
      <c r="AC53" s="231">
        <f t="shared" si="7"/>
        <v>0</v>
      </c>
    </row>
    <row r="54" spans="1:29" s="20" customFormat="1" ht="20.100000000000001" customHeight="1" x14ac:dyDescent="0.2">
      <c r="A54" s="340"/>
      <c r="B54" s="341"/>
      <c r="C54" s="330"/>
      <c r="D54" s="330"/>
      <c r="E54" s="331"/>
      <c r="F54" s="331"/>
      <c r="G54" s="331"/>
      <c r="H54" s="17"/>
      <c r="I54" s="224"/>
      <c r="J54" s="235" t="str">
        <f t="shared" si="4"/>
        <v/>
      </c>
      <c r="K54" s="225" t="str">
        <f t="shared" si="12"/>
        <v/>
      </c>
      <c r="L54" s="233"/>
      <c r="M54" s="234"/>
      <c r="N54" s="225" t="str">
        <f t="shared" si="13"/>
        <v/>
      </c>
      <c r="O54" s="345"/>
      <c r="P54" s="336"/>
      <c r="Q54" s="226" t="str">
        <f t="shared" si="14"/>
        <v/>
      </c>
      <c r="R54" s="345"/>
      <c r="S54" s="336"/>
      <c r="T54" s="18"/>
      <c r="U54" s="18"/>
      <c r="V54" s="18"/>
      <c r="W54" s="18"/>
      <c r="X54" s="348" t="str">
        <f t="shared" si="5"/>
        <v>N/A</v>
      </c>
      <c r="Y54" s="227">
        <f t="shared" si="6"/>
        <v>0</v>
      </c>
      <c r="Z54" s="53"/>
      <c r="AA54" s="335"/>
      <c r="AB54" s="20">
        <f t="shared" si="15"/>
        <v>0</v>
      </c>
      <c r="AC54" s="231">
        <f t="shared" si="7"/>
        <v>0</v>
      </c>
    </row>
    <row r="55" spans="1:29" s="20" customFormat="1" ht="20.100000000000001" customHeight="1" x14ac:dyDescent="0.2">
      <c r="A55" s="340"/>
      <c r="B55" s="341"/>
      <c r="C55" s="330"/>
      <c r="D55" s="330"/>
      <c r="E55" s="331"/>
      <c r="F55" s="331"/>
      <c r="G55" s="331"/>
      <c r="H55" s="17"/>
      <c r="I55" s="224"/>
      <c r="J55" s="235" t="str">
        <f t="shared" si="4"/>
        <v/>
      </c>
      <c r="K55" s="225" t="str">
        <f t="shared" si="12"/>
        <v/>
      </c>
      <c r="L55" s="233"/>
      <c r="M55" s="234"/>
      <c r="N55" s="225" t="str">
        <f t="shared" si="13"/>
        <v/>
      </c>
      <c r="O55" s="345"/>
      <c r="P55" s="336"/>
      <c r="Q55" s="226" t="str">
        <f t="shared" si="14"/>
        <v/>
      </c>
      <c r="R55" s="345"/>
      <c r="S55" s="336"/>
      <c r="T55" s="18"/>
      <c r="U55" s="18"/>
      <c r="V55" s="18"/>
      <c r="W55" s="18"/>
      <c r="X55" s="348" t="str">
        <f t="shared" si="5"/>
        <v>N/A</v>
      </c>
      <c r="Y55" s="227">
        <f t="shared" si="6"/>
        <v>0</v>
      </c>
      <c r="Z55" s="53"/>
      <c r="AA55" s="335"/>
      <c r="AB55" s="20">
        <f t="shared" si="15"/>
        <v>0</v>
      </c>
      <c r="AC55" s="231">
        <f t="shared" si="7"/>
        <v>0</v>
      </c>
    </row>
    <row r="56" spans="1:29" s="20" customFormat="1" ht="20.100000000000001" customHeight="1" x14ac:dyDescent="0.2">
      <c r="A56" s="340"/>
      <c r="B56" s="341"/>
      <c r="C56" s="330"/>
      <c r="D56" s="330"/>
      <c r="E56" s="331"/>
      <c r="F56" s="331"/>
      <c r="G56" s="331"/>
      <c r="H56" s="17"/>
      <c r="I56" s="224"/>
      <c r="J56" s="235" t="str">
        <f t="shared" si="4"/>
        <v/>
      </c>
      <c r="K56" s="225" t="str">
        <f t="shared" si="12"/>
        <v/>
      </c>
      <c r="L56" s="233"/>
      <c r="M56" s="234"/>
      <c r="N56" s="225" t="str">
        <f t="shared" si="13"/>
        <v/>
      </c>
      <c r="O56" s="345"/>
      <c r="P56" s="336"/>
      <c r="Q56" s="226" t="str">
        <f t="shared" si="14"/>
        <v/>
      </c>
      <c r="R56" s="345"/>
      <c r="S56" s="336"/>
      <c r="T56" s="18"/>
      <c r="U56" s="18"/>
      <c r="V56" s="18"/>
      <c r="W56" s="18"/>
      <c r="X56" s="348" t="str">
        <f t="shared" si="5"/>
        <v>N/A</v>
      </c>
      <c r="Y56" s="227">
        <f t="shared" si="6"/>
        <v>0</v>
      </c>
      <c r="Z56" s="53"/>
      <c r="AA56" s="335"/>
      <c r="AB56" s="20">
        <f t="shared" si="15"/>
        <v>0</v>
      </c>
      <c r="AC56" s="231">
        <f t="shared" si="7"/>
        <v>0</v>
      </c>
    </row>
    <row r="57" spans="1:29" s="20" customFormat="1" ht="20.100000000000001" customHeight="1" x14ac:dyDescent="0.2">
      <c r="A57" s="340"/>
      <c r="B57" s="341"/>
      <c r="C57" s="330"/>
      <c r="D57" s="330"/>
      <c r="E57" s="331"/>
      <c r="F57" s="331"/>
      <c r="G57" s="331"/>
      <c r="H57" s="17"/>
      <c r="I57" s="224"/>
      <c r="J57" s="235" t="str">
        <f t="shared" si="4"/>
        <v/>
      </c>
      <c r="K57" s="225" t="str">
        <f t="shared" si="8"/>
        <v/>
      </c>
      <c r="L57" s="233"/>
      <c r="M57" s="234"/>
      <c r="N57" s="225" t="str">
        <f t="shared" si="9"/>
        <v/>
      </c>
      <c r="O57" s="345"/>
      <c r="P57" s="336"/>
      <c r="Q57" s="226" t="str">
        <f t="shared" si="10"/>
        <v/>
      </c>
      <c r="R57" s="345"/>
      <c r="S57" s="336"/>
      <c r="T57" s="18"/>
      <c r="U57" s="18"/>
      <c r="V57" s="18"/>
      <c r="W57" s="18"/>
      <c r="X57" s="348" t="str">
        <f t="shared" si="5"/>
        <v>N/A</v>
      </c>
      <c r="Y57" s="227">
        <f t="shared" si="6"/>
        <v>0</v>
      </c>
      <c r="Z57" s="53"/>
      <c r="AA57" s="335"/>
      <c r="AB57" s="20">
        <f t="shared" si="11"/>
        <v>0</v>
      </c>
      <c r="AC57" s="231">
        <f t="shared" si="7"/>
        <v>0</v>
      </c>
    </row>
    <row r="58" spans="1:29" s="20" customFormat="1" ht="20.100000000000001" customHeight="1" x14ac:dyDescent="0.2">
      <c r="A58" s="340"/>
      <c r="B58" s="341"/>
      <c r="C58" s="330"/>
      <c r="D58" s="330"/>
      <c r="E58" s="331"/>
      <c r="F58" s="331"/>
      <c r="G58" s="331"/>
      <c r="H58" s="17"/>
      <c r="I58" s="224"/>
      <c r="J58" s="235" t="str">
        <f t="shared" si="4"/>
        <v/>
      </c>
      <c r="K58" s="225" t="str">
        <f t="shared" si="8"/>
        <v/>
      </c>
      <c r="L58" s="233"/>
      <c r="M58" s="234"/>
      <c r="N58" s="225" t="str">
        <f t="shared" si="9"/>
        <v/>
      </c>
      <c r="O58" s="345"/>
      <c r="P58" s="336"/>
      <c r="Q58" s="226" t="str">
        <f t="shared" si="10"/>
        <v/>
      </c>
      <c r="R58" s="345"/>
      <c r="S58" s="336"/>
      <c r="T58" s="18"/>
      <c r="U58" s="18"/>
      <c r="V58" s="18"/>
      <c r="W58" s="18"/>
      <c r="X58" s="348" t="str">
        <f t="shared" si="5"/>
        <v>N/A</v>
      </c>
      <c r="Y58" s="227">
        <f t="shared" si="6"/>
        <v>0</v>
      </c>
      <c r="Z58" s="53"/>
      <c r="AA58" s="335"/>
      <c r="AB58" s="20">
        <f t="shared" si="11"/>
        <v>0</v>
      </c>
      <c r="AC58" s="231">
        <f t="shared" si="7"/>
        <v>0</v>
      </c>
    </row>
    <row r="59" spans="1:29" s="20" customFormat="1" ht="20.100000000000001" customHeight="1" x14ac:dyDescent="0.2">
      <c r="A59" s="340"/>
      <c r="B59" s="341"/>
      <c r="C59" s="330"/>
      <c r="D59" s="330"/>
      <c r="E59" s="331"/>
      <c r="F59" s="331"/>
      <c r="G59" s="331"/>
      <c r="H59" s="17"/>
      <c r="I59" s="224"/>
      <c r="J59" s="235" t="str">
        <f t="shared" si="4"/>
        <v/>
      </c>
      <c r="K59" s="225" t="str">
        <f t="shared" si="8"/>
        <v/>
      </c>
      <c r="L59" s="233"/>
      <c r="M59" s="234"/>
      <c r="N59" s="225" t="str">
        <f t="shared" si="9"/>
        <v/>
      </c>
      <c r="O59" s="345"/>
      <c r="P59" s="336"/>
      <c r="Q59" s="226" t="str">
        <f t="shared" si="10"/>
        <v/>
      </c>
      <c r="R59" s="345"/>
      <c r="S59" s="336"/>
      <c r="T59" s="18"/>
      <c r="U59" s="18"/>
      <c r="V59" s="18"/>
      <c r="W59" s="18"/>
      <c r="X59" s="348" t="str">
        <f t="shared" si="5"/>
        <v>N/A</v>
      </c>
      <c r="Y59" s="227">
        <f t="shared" si="6"/>
        <v>0</v>
      </c>
      <c r="Z59" s="53"/>
      <c r="AA59" s="335"/>
      <c r="AB59" s="20">
        <f t="shared" si="11"/>
        <v>0</v>
      </c>
      <c r="AC59" s="231">
        <f t="shared" si="7"/>
        <v>0</v>
      </c>
    </row>
    <row r="60" spans="1:29" s="20" customFormat="1" ht="20.100000000000001" customHeight="1" x14ac:dyDescent="0.2">
      <c r="A60" s="340"/>
      <c r="B60" s="341"/>
      <c r="C60" s="330"/>
      <c r="D60" s="330"/>
      <c r="E60" s="331"/>
      <c r="F60" s="331"/>
      <c r="G60" s="331"/>
      <c r="H60" s="17"/>
      <c r="I60" s="224"/>
      <c r="J60" s="235" t="str">
        <f t="shared" si="4"/>
        <v/>
      </c>
      <c r="K60" s="225" t="str">
        <f t="shared" si="8"/>
        <v/>
      </c>
      <c r="L60" s="233"/>
      <c r="M60" s="234"/>
      <c r="N60" s="225" t="str">
        <f t="shared" si="9"/>
        <v/>
      </c>
      <c r="O60" s="345"/>
      <c r="P60" s="336"/>
      <c r="Q60" s="226" t="str">
        <f t="shared" si="10"/>
        <v/>
      </c>
      <c r="R60" s="345"/>
      <c r="S60" s="336"/>
      <c r="T60" s="18"/>
      <c r="U60" s="18"/>
      <c r="V60" s="18"/>
      <c r="W60" s="18"/>
      <c r="X60" s="348" t="str">
        <f t="shared" si="5"/>
        <v>N/A</v>
      </c>
      <c r="Y60" s="227">
        <f t="shared" si="6"/>
        <v>0</v>
      </c>
      <c r="Z60" s="53"/>
      <c r="AA60" s="335"/>
      <c r="AB60" s="20">
        <f t="shared" si="11"/>
        <v>0</v>
      </c>
      <c r="AC60" s="231">
        <f t="shared" si="7"/>
        <v>0</v>
      </c>
    </row>
    <row r="61" spans="1:29" s="20" customFormat="1" ht="20.100000000000001" customHeight="1" x14ac:dyDescent="0.2">
      <c r="A61" s="340"/>
      <c r="B61" s="341"/>
      <c r="C61" s="330"/>
      <c r="D61" s="330"/>
      <c r="E61" s="331"/>
      <c r="F61" s="331"/>
      <c r="G61" s="331"/>
      <c r="H61" s="17"/>
      <c r="I61" s="224"/>
      <c r="J61" s="235" t="str">
        <f t="shared" si="4"/>
        <v/>
      </c>
      <c r="K61" s="225" t="str">
        <f t="shared" si="8"/>
        <v/>
      </c>
      <c r="L61" s="233"/>
      <c r="M61" s="234"/>
      <c r="N61" s="225" t="str">
        <f t="shared" si="9"/>
        <v/>
      </c>
      <c r="O61" s="345"/>
      <c r="P61" s="336"/>
      <c r="Q61" s="226" t="str">
        <f t="shared" si="10"/>
        <v/>
      </c>
      <c r="R61" s="345"/>
      <c r="S61" s="336"/>
      <c r="T61" s="18"/>
      <c r="U61" s="18"/>
      <c r="V61" s="18"/>
      <c r="W61" s="18"/>
      <c r="X61" s="348" t="str">
        <f t="shared" si="5"/>
        <v>N/A</v>
      </c>
      <c r="Y61" s="227">
        <f t="shared" si="6"/>
        <v>0</v>
      </c>
      <c r="Z61" s="53"/>
      <c r="AA61" s="335"/>
      <c r="AB61" s="20">
        <f t="shared" si="11"/>
        <v>0</v>
      </c>
      <c r="AC61" s="231">
        <f t="shared" si="7"/>
        <v>0</v>
      </c>
    </row>
    <row r="62" spans="1:29" s="20" customFormat="1" ht="20.100000000000001" customHeight="1" x14ac:dyDescent="0.2">
      <c r="A62" s="340"/>
      <c r="B62" s="341"/>
      <c r="C62" s="330"/>
      <c r="D62" s="330"/>
      <c r="E62" s="331"/>
      <c r="F62" s="331"/>
      <c r="G62" s="331"/>
      <c r="H62" s="17"/>
      <c r="I62" s="224"/>
      <c r="J62" s="235" t="str">
        <f t="shared" si="4"/>
        <v/>
      </c>
      <c r="K62" s="225" t="str">
        <f t="shared" ref="K62:K91" si="16">parm_complex(I62,J62,1,$B$4,$AB$4)</f>
        <v/>
      </c>
      <c r="L62" s="233"/>
      <c r="M62" s="234"/>
      <c r="N62" s="225" t="str">
        <f t="shared" ref="N62:N91" si="17">parm_complex(I62,J62,2,$B$4,$AB$4)</f>
        <v/>
      </c>
      <c r="O62" s="345"/>
      <c r="P62" s="336"/>
      <c r="Q62" s="226" t="str">
        <f t="shared" ref="Q62:Q91" si="18">parm_complex(I62,J62,3,$B$4,$AB$4)</f>
        <v/>
      </c>
      <c r="R62" s="345"/>
      <c r="S62" s="336"/>
      <c r="T62" s="18"/>
      <c r="U62" s="18"/>
      <c r="V62" s="18"/>
      <c r="W62" s="18"/>
      <c r="X62" s="348" t="str">
        <f t="shared" si="5"/>
        <v>N/A</v>
      </c>
      <c r="Y62" s="227">
        <f t="shared" si="6"/>
        <v>0</v>
      </c>
      <c r="Z62" s="53"/>
      <c r="AA62" s="335"/>
      <c r="AB62" s="20">
        <f t="shared" ref="AB62:AB91" si="19">SNAPHmlgd($AB$4,I62,Y62)</f>
        <v>0</v>
      </c>
      <c r="AC62" s="231">
        <f t="shared" si="7"/>
        <v>0</v>
      </c>
    </row>
    <row r="63" spans="1:29" s="20" customFormat="1" ht="20.100000000000001" customHeight="1" x14ac:dyDescent="0.2">
      <c r="A63" s="340"/>
      <c r="B63" s="341"/>
      <c r="C63" s="330"/>
      <c r="D63" s="330"/>
      <c r="E63" s="331"/>
      <c r="F63" s="331"/>
      <c r="G63" s="331"/>
      <c r="H63" s="17"/>
      <c r="I63" s="224"/>
      <c r="J63" s="235" t="str">
        <f t="shared" si="4"/>
        <v/>
      </c>
      <c r="K63" s="225" t="str">
        <f t="shared" si="16"/>
        <v/>
      </c>
      <c r="L63" s="233"/>
      <c r="M63" s="234"/>
      <c r="N63" s="225" t="str">
        <f t="shared" si="17"/>
        <v/>
      </c>
      <c r="O63" s="345"/>
      <c r="P63" s="336"/>
      <c r="Q63" s="226" t="str">
        <f t="shared" si="18"/>
        <v/>
      </c>
      <c r="R63" s="345"/>
      <c r="S63" s="336"/>
      <c r="T63" s="18"/>
      <c r="U63" s="18"/>
      <c r="V63" s="18"/>
      <c r="W63" s="18"/>
      <c r="X63" s="348" t="str">
        <f t="shared" si="5"/>
        <v>N/A</v>
      </c>
      <c r="Y63" s="227">
        <f t="shared" si="6"/>
        <v>0</v>
      </c>
      <c r="Z63" s="53"/>
      <c r="AA63" s="335"/>
      <c r="AB63" s="20">
        <f t="shared" si="19"/>
        <v>0</v>
      </c>
      <c r="AC63" s="231">
        <f t="shared" si="7"/>
        <v>0</v>
      </c>
    </row>
    <row r="64" spans="1:29" s="20" customFormat="1" ht="20.100000000000001" customHeight="1" x14ac:dyDescent="0.2">
      <c r="A64" s="340"/>
      <c r="B64" s="341"/>
      <c r="C64" s="330"/>
      <c r="D64" s="330"/>
      <c r="E64" s="331"/>
      <c r="F64" s="331"/>
      <c r="G64" s="331"/>
      <c r="H64" s="17"/>
      <c r="I64" s="224"/>
      <c r="J64" s="235" t="str">
        <f t="shared" si="4"/>
        <v/>
      </c>
      <c r="K64" s="225" t="str">
        <f t="shared" si="16"/>
        <v/>
      </c>
      <c r="L64" s="233"/>
      <c r="M64" s="234"/>
      <c r="N64" s="225" t="str">
        <f t="shared" si="17"/>
        <v/>
      </c>
      <c r="O64" s="345"/>
      <c r="P64" s="336"/>
      <c r="Q64" s="226" t="str">
        <f t="shared" si="18"/>
        <v/>
      </c>
      <c r="R64" s="345"/>
      <c r="S64" s="336"/>
      <c r="T64" s="18"/>
      <c r="U64" s="18"/>
      <c r="V64" s="18"/>
      <c r="W64" s="18"/>
      <c r="X64" s="348" t="str">
        <f t="shared" si="5"/>
        <v>N/A</v>
      </c>
      <c r="Y64" s="227">
        <f t="shared" si="6"/>
        <v>0</v>
      </c>
      <c r="Z64" s="53"/>
      <c r="AA64" s="335"/>
      <c r="AB64" s="20">
        <f t="shared" si="19"/>
        <v>0</v>
      </c>
      <c r="AC64" s="231">
        <f t="shared" si="7"/>
        <v>0</v>
      </c>
    </row>
    <row r="65" spans="1:29" s="20" customFormat="1" ht="20.100000000000001" customHeight="1" x14ac:dyDescent="0.2">
      <c r="A65" s="340"/>
      <c r="B65" s="341"/>
      <c r="C65" s="330"/>
      <c r="D65" s="330"/>
      <c r="E65" s="331"/>
      <c r="F65" s="331"/>
      <c r="G65" s="331"/>
      <c r="H65" s="17"/>
      <c r="I65" s="224"/>
      <c r="J65" s="235" t="str">
        <f t="shared" si="4"/>
        <v/>
      </c>
      <c r="K65" s="225" t="str">
        <f t="shared" si="16"/>
        <v/>
      </c>
      <c r="L65" s="233"/>
      <c r="M65" s="234"/>
      <c r="N65" s="225" t="str">
        <f t="shared" si="17"/>
        <v/>
      </c>
      <c r="O65" s="345"/>
      <c r="P65" s="336"/>
      <c r="Q65" s="226" t="str">
        <f t="shared" si="18"/>
        <v/>
      </c>
      <c r="R65" s="345"/>
      <c r="S65" s="336"/>
      <c r="T65" s="18"/>
      <c r="U65" s="18"/>
      <c r="V65" s="18"/>
      <c r="W65" s="18"/>
      <c r="X65" s="348" t="str">
        <f t="shared" si="5"/>
        <v>N/A</v>
      </c>
      <c r="Y65" s="227">
        <f t="shared" si="6"/>
        <v>0</v>
      </c>
      <c r="Z65" s="53"/>
      <c r="AA65" s="335"/>
      <c r="AB65" s="20">
        <f t="shared" si="19"/>
        <v>0</v>
      </c>
      <c r="AC65" s="231">
        <f t="shared" si="7"/>
        <v>0</v>
      </c>
    </row>
    <row r="66" spans="1:29" s="20" customFormat="1" ht="20.100000000000001" customHeight="1" x14ac:dyDescent="0.2">
      <c r="A66" s="340"/>
      <c r="B66" s="341"/>
      <c r="C66" s="330"/>
      <c r="D66" s="330"/>
      <c r="E66" s="331"/>
      <c r="F66" s="331"/>
      <c r="G66" s="331"/>
      <c r="H66" s="17"/>
      <c r="I66" s="224"/>
      <c r="J66" s="235" t="str">
        <f t="shared" si="4"/>
        <v/>
      </c>
      <c r="K66" s="225" t="str">
        <f t="shared" si="16"/>
        <v/>
      </c>
      <c r="L66" s="233"/>
      <c r="M66" s="234"/>
      <c r="N66" s="225" t="str">
        <f t="shared" si="17"/>
        <v/>
      </c>
      <c r="O66" s="345"/>
      <c r="P66" s="336"/>
      <c r="Q66" s="226" t="str">
        <f t="shared" si="18"/>
        <v/>
      </c>
      <c r="R66" s="345"/>
      <c r="S66" s="336"/>
      <c r="T66" s="18"/>
      <c r="U66" s="18"/>
      <c r="V66" s="18"/>
      <c r="W66" s="18"/>
      <c r="X66" s="348" t="str">
        <f t="shared" si="5"/>
        <v>N/A</v>
      </c>
      <c r="Y66" s="227">
        <f t="shared" si="6"/>
        <v>0</v>
      </c>
      <c r="Z66" s="53"/>
      <c r="AA66" s="335"/>
      <c r="AB66" s="20">
        <f t="shared" si="19"/>
        <v>0</v>
      </c>
      <c r="AC66" s="231">
        <f t="shared" si="7"/>
        <v>0</v>
      </c>
    </row>
    <row r="67" spans="1:29" s="20" customFormat="1" ht="20.100000000000001" customHeight="1" x14ac:dyDescent="0.2">
      <c r="A67" s="340"/>
      <c r="B67" s="341"/>
      <c r="C67" s="330"/>
      <c r="D67" s="330"/>
      <c r="E67" s="331"/>
      <c r="F67" s="331"/>
      <c r="G67" s="331"/>
      <c r="H67" s="17"/>
      <c r="I67" s="224"/>
      <c r="J67" s="235" t="str">
        <f t="shared" si="4"/>
        <v/>
      </c>
      <c r="K67" s="225" t="str">
        <f t="shared" si="16"/>
        <v/>
      </c>
      <c r="L67" s="233"/>
      <c r="M67" s="234"/>
      <c r="N67" s="225" t="str">
        <f t="shared" si="17"/>
        <v/>
      </c>
      <c r="O67" s="345"/>
      <c r="P67" s="336"/>
      <c r="Q67" s="226" t="str">
        <f t="shared" si="18"/>
        <v/>
      </c>
      <c r="R67" s="345"/>
      <c r="S67" s="336"/>
      <c r="T67" s="18"/>
      <c r="U67" s="18"/>
      <c r="V67" s="18"/>
      <c r="W67" s="18"/>
      <c r="X67" s="348" t="str">
        <f t="shared" si="5"/>
        <v>N/A</v>
      </c>
      <c r="Y67" s="227">
        <f t="shared" si="6"/>
        <v>0</v>
      </c>
      <c r="Z67" s="53"/>
      <c r="AA67" s="335"/>
      <c r="AB67" s="20">
        <f t="shared" si="19"/>
        <v>0</v>
      </c>
      <c r="AC67" s="231">
        <f t="shared" si="7"/>
        <v>0</v>
      </c>
    </row>
    <row r="68" spans="1:29" s="20" customFormat="1" ht="20.100000000000001" customHeight="1" x14ac:dyDescent="0.2">
      <c r="A68" s="340"/>
      <c r="B68" s="341"/>
      <c r="C68" s="330"/>
      <c r="D68" s="330"/>
      <c r="E68" s="331"/>
      <c r="F68" s="331"/>
      <c r="G68" s="331"/>
      <c r="H68" s="17"/>
      <c r="I68" s="224"/>
      <c r="J68" s="235" t="str">
        <f t="shared" si="4"/>
        <v/>
      </c>
      <c r="K68" s="225" t="str">
        <f t="shared" si="16"/>
        <v/>
      </c>
      <c r="L68" s="233"/>
      <c r="M68" s="234"/>
      <c r="N68" s="225" t="str">
        <f t="shared" si="17"/>
        <v/>
      </c>
      <c r="O68" s="345"/>
      <c r="P68" s="336"/>
      <c r="Q68" s="226" t="str">
        <f t="shared" si="18"/>
        <v/>
      </c>
      <c r="R68" s="345"/>
      <c r="S68" s="336"/>
      <c r="T68" s="18"/>
      <c r="U68" s="18"/>
      <c r="V68" s="18"/>
      <c r="W68" s="18"/>
      <c r="X68" s="348" t="str">
        <f t="shared" si="5"/>
        <v>N/A</v>
      </c>
      <c r="Y68" s="227">
        <f t="shared" si="6"/>
        <v>0</v>
      </c>
      <c r="Z68" s="53"/>
      <c r="AA68" s="335"/>
      <c r="AB68" s="20">
        <f t="shared" si="19"/>
        <v>0</v>
      </c>
      <c r="AC68" s="231">
        <f t="shared" si="7"/>
        <v>0</v>
      </c>
    </row>
    <row r="69" spans="1:29" s="20" customFormat="1" ht="20.100000000000001" customHeight="1" x14ac:dyDescent="0.2">
      <c r="A69" s="340"/>
      <c r="B69" s="341"/>
      <c r="C69" s="330"/>
      <c r="D69" s="330"/>
      <c r="E69" s="331"/>
      <c r="F69" s="331"/>
      <c r="G69" s="331"/>
      <c r="H69" s="17"/>
      <c r="I69" s="224"/>
      <c r="J69" s="235" t="str">
        <f t="shared" si="4"/>
        <v/>
      </c>
      <c r="K69" s="225" t="str">
        <f t="shared" si="16"/>
        <v/>
      </c>
      <c r="L69" s="233"/>
      <c r="M69" s="234"/>
      <c r="N69" s="225" t="str">
        <f t="shared" si="17"/>
        <v/>
      </c>
      <c r="O69" s="345"/>
      <c r="P69" s="336"/>
      <c r="Q69" s="226" t="str">
        <f t="shared" si="18"/>
        <v/>
      </c>
      <c r="R69" s="345"/>
      <c r="S69" s="336"/>
      <c r="T69" s="18"/>
      <c r="U69" s="18"/>
      <c r="V69" s="18"/>
      <c r="W69" s="18"/>
      <c r="X69" s="348" t="str">
        <f t="shared" si="5"/>
        <v>N/A</v>
      </c>
      <c r="Y69" s="227">
        <f t="shared" si="6"/>
        <v>0</v>
      </c>
      <c r="Z69" s="53"/>
      <c r="AA69" s="335"/>
      <c r="AB69" s="20">
        <f t="shared" si="19"/>
        <v>0</v>
      </c>
      <c r="AC69" s="231">
        <f t="shared" si="7"/>
        <v>0</v>
      </c>
    </row>
    <row r="70" spans="1:29" s="20" customFormat="1" ht="20.100000000000001" customHeight="1" x14ac:dyDescent="0.2">
      <c r="A70" s="340"/>
      <c r="B70" s="341"/>
      <c r="C70" s="330"/>
      <c r="D70" s="330"/>
      <c r="E70" s="331"/>
      <c r="F70" s="331"/>
      <c r="G70" s="331"/>
      <c r="H70" s="17"/>
      <c r="I70" s="224"/>
      <c r="J70" s="235" t="str">
        <f t="shared" si="4"/>
        <v/>
      </c>
      <c r="K70" s="225" t="str">
        <f t="shared" si="16"/>
        <v/>
      </c>
      <c r="L70" s="233"/>
      <c r="M70" s="234"/>
      <c r="N70" s="225" t="str">
        <f t="shared" si="17"/>
        <v/>
      </c>
      <c r="O70" s="345"/>
      <c r="P70" s="336"/>
      <c r="Q70" s="226" t="str">
        <f t="shared" si="18"/>
        <v/>
      </c>
      <c r="R70" s="345"/>
      <c r="S70" s="336"/>
      <c r="T70" s="18"/>
      <c r="U70" s="18"/>
      <c r="V70" s="18"/>
      <c r="W70" s="18"/>
      <c r="X70" s="348" t="str">
        <f t="shared" si="5"/>
        <v>N/A</v>
      </c>
      <c r="Y70" s="227">
        <f t="shared" si="6"/>
        <v>0</v>
      </c>
      <c r="Z70" s="53"/>
      <c r="AA70" s="335"/>
      <c r="AB70" s="20">
        <f t="shared" si="19"/>
        <v>0</v>
      </c>
      <c r="AC70" s="231">
        <f t="shared" si="7"/>
        <v>0</v>
      </c>
    </row>
    <row r="71" spans="1:29" s="20" customFormat="1" ht="20.100000000000001" customHeight="1" x14ac:dyDescent="0.2">
      <c r="A71" s="340"/>
      <c r="B71" s="341"/>
      <c r="C71" s="330"/>
      <c r="D71" s="330"/>
      <c r="E71" s="331"/>
      <c r="F71" s="331"/>
      <c r="G71" s="331"/>
      <c r="H71" s="17"/>
      <c r="I71" s="224"/>
      <c r="J71" s="235" t="str">
        <f t="shared" si="4"/>
        <v/>
      </c>
      <c r="K71" s="225" t="str">
        <f t="shared" si="16"/>
        <v/>
      </c>
      <c r="L71" s="233"/>
      <c r="M71" s="234"/>
      <c r="N71" s="225" t="str">
        <f t="shared" si="17"/>
        <v/>
      </c>
      <c r="O71" s="345"/>
      <c r="P71" s="336"/>
      <c r="Q71" s="226" t="str">
        <f t="shared" si="18"/>
        <v/>
      </c>
      <c r="R71" s="345"/>
      <c r="S71" s="336"/>
      <c r="T71" s="18"/>
      <c r="U71" s="18"/>
      <c r="V71" s="18"/>
      <c r="W71" s="18"/>
      <c r="X71" s="348" t="str">
        <f t="shared" si="5"/>
        <v>N/A</v>
      </c>
      <c r="Y71" s="227">
        <f t="shared" si="6"/>
        <v>0</v>
      </c>
      <c r="Z71" s="53"/>
      <c r="AA71" s="335"/>
      <c r="AB71" s="20">
        <f t="shared" si="19"/>
        <v>0</v>
      </c>
      <c r="AC71" s="231">
        <f t="shared" si="7"/>
        <v>0</v>
      </c>
    </row>
    <row r="72" spans="1:29" s="20" customFormat="1" ht="20.100000000000001" customHeight="1" x14ac:dyDescent="0.2">
      <c r="A72" s="340"/>
      <c r="B72" s="341"/>
      <c r="C72" s="330"/>
      <c r="D72" s="330"/>
      <c r="E72" s="331"/>
      <c r="F72" s="331"/>
      <c r="G72" s="331"/>
      <c r="H72" s="17"/>
      <c r="I72" s="224"/>
      <c r="J72" s="235" t="str">
        <f t="shared" si="4"/>
        <v/>
      </c>
      <c r="K72" s="225" t="str">
        <f t="shared" si="16"/>
        <v/>
      </c>
      <c r="L72" s="233"/>
      <c r="M72" s="234"/>
      <c r="N72" s="225" t="str">
        <f t="shared" si="17"/>
        <v/>
      </c>
      <c r="O72" s="345"/>
      <c r="P72" s="336"/>
      <c r="Q72" s="226" t="str">
        <f t="shared" si="18"/>
        <v/>
      </c>
      <c r="R72" s="345"/>
      <c r="S72" s="336"/>
      <c r="T72" s="18"/>
      <c r="U72" s="18"/>
      <c r="V72" s="18"/>
      <c r="W72" s="18"/>
      <c r="X72" s="348" t="str">
        <f t="shared" si="5"/>
        <v>N/A</v>
      </c>
      <c r="Y72" s="227">
        <f t="shared" si="6"/>
        <v>0</v>
      </c>
      <c r="Z72" s="53"/>
      <c r="AA72" s="335"/>
      <c r="AB72" s="20">
        <f t="shared" si="19"/>
        <v>0</v>
      </c>
      <c r="AC72" s="231">
        <f t="shared" si="7"/>
        <v>0</v>
      </c>
    </row>
    <row r="73" spans="1:29" s="20" customFormat="1" ht="20.100000000000001" customHeight="1" x14ac:dyDescent="0.2">
      <c r="A73" s="340"/>
      <c r="B73" s="341"/>
      <c r="C73" s="330"/>
      <c r="D73" s="330"/>
      <c r="E73" s="331"/>
      <c r="F73" s="331"/>
      <c r="G73" s="331"/>
      <c r="H73" s="17"/>
      <c r="I73" s="224"/>
      <c r="J73" s="235" t="str">
        <f t="shared" si="4"/>
        <v/>
      </c>
      <c r="K73" s="225" t="str">
        <f t="shared" si="16"/>
        <v/>
      </c>
      <c r="L73" s="233"/>
      <c r="M73" s="234"/>
      <c r="N73" s="225" t="str">
        <f t="shared" si="17"/>
        <v/>
      </c>
      <c r="O73" s="345"/>
      <c r="P73" s="336"/>
      <c r="Q73" s="226" t="str">
        <f t="shared" si="18"/>
        <v/>
      </c>
      <c r="R73" s="345"/>
      <c r="S73" s="336"/>
      <c r="T73" s="18"/>
      <c r="U73" s="18"/>
      <c r="V73" s="18"/>
      <c r="W73" s="18"/>
      <c r="X73" s="348" t="str">
        <f t="shared" si="5"/>
        <v>N/A</v>
      </c>
      <c r="Y73" s="227">
        <f t="shared" si="6"/>
        <v>0</v>
      </c>
      <c r="Z73" s="53"/>
      <c r="AA73" s="335"/>
      <c r="AB73" s="20">
        <f t="shared" si="19"/>
        <v>0</v>
      </c>
      <c r="AC73" s="231">
        <f t="shared" si="7"/>
        <v>0</v>
      </c>
    </row>
    <row r="74" spans="1:29" s="20" customFormat="1" ht="20.100000000000001" customHeight="1" x14ac:dyDescent="0.2">
      <c r="A74" s="340"/>
      <c r="B74" s="341"/>
      <c r="C74" s="330"/>
      <c r="D74" s="330"/>
      <c r="E74" s="331"/>
      <c r="F74" s="331"/>
      <c r="G74" s="331"/>
      <c r="H74" s="17"/>
      <c r="I74" s="224"/>
      <c r="J74" s="235" t="str">
        <f t="shared" ref="J74:J100" si="20">(tipo_ucs(I74,$B$4,$AB$4,ROW()))</f>
        <v/>
      </c>
      <c r="K74" s="225" t="str">
        <f t="shared" si="16"/>
        <v/>
      </c>
      <c r="L74" s="233"/>
      <c r="M74" s="234"/>
      <c r="N74" s="225" t="str">
        <f t="shared" si="17"/>
        <v/>
      </c>
      <c r="O74" s="345"/>
      <c r="P74" s="336"/>
      <c r="Q74" s="226" t="str">
        <f t="shared" si="18"/>
        <v/>
      </c>
      <c r="R74" s="345"/>
      <c r="S74" s="336"/>
      <c r="T74" s="18"/>
      <c r="U74" s="18"/>
      <c r="V74" s="18"/>
      <c r="W74" s="18"/>
      <c r="X74" s="348" t="str">
        <f t="shared" ref="X74:X100" si="21">SNAP($G74,$I74,$J74,$L74,$O74,$R74,$B$4,$AB$4,0)</f>
        <v>N/A</v>
      </c>
      <c r="Y74" s="227">
        <f t="shared" ref="Y74:Y100" si="22">SNAP($G74,$I74,$J74,$L74,$O74,$R74,$B$4,$AB$4,1)</f>
        <v>0</v>
      </c>
      <c r="Z74" s="53"/>
      <c r="AA74" s="335"/>
      <c r="AB74" s="20">
        <f t="shared" si="19"/>
        <v>0</v>
      </c>
      <c r="AC74" s="231">
        <f t="shared" ref="AC74:AC100" si="23">(SNAPCnvtd($AB$4,$AB$5,G74,I74,Y74,ROW()))</f>
        <v>0</v>
      </c>
    </row>
    <row r="75" spans="1:29" s="20" customFormat="1" ht="20.100000000000001" customHeight="1" x14ac:dyDescent="0.2">
      <c r="A75" s="340"/>
      <c r="B75" s="341"/>
      <c r="C75" s="330"/>
      <c r="D75" s="330"/>
      <c r="E75" s="331"/>
      <c r="F75" s="331"/>
      <c r="G75" s="331"/>
      <c r="H75" s="17"/>
      <c r="I75" s="224"/>
      <c r="J75" s="235" t="str">
        <f t="shared" si="20"/>
        <v/>
      </c>
      <c r="K75" s="225" t="str">
        <f t="shared" si="16"/>
        <v/>
      </c>
      <c r="L75" s="233"/>
      <c r="M75" s="234"/>
      <c r="N75" s="225" t="str">
        <f t="shared" si="17"/>
        <v/>
      </c>
      <c r="O75" s="345"/>
      <c r="P75" s="336"/>
      <c r="Q75" s="226" t="str">
        <f t="shared" si="18"/>
        <v/>
      </c>
      <c r="R75" s="345"/>
      <c r="S75" s="336"/>
      <c r="T75" s="18"/>
      <c r="U75" s="18"/>
      <c r="V75" s="18"/>
      <c r="W75" s="18"/>
      <c r="X75" s="348" t="str">
        <f t="shared" si="21"/>
        <v>N/A</v>
      </c>
      <c r="Y75" s="227">
        <f t="shared" si="22"/>
        <v>0</v>
      </c>
      <c r="Z75" s="53"/>
      <c r="AA75" s="335"/>
      <c r="AB75" s="20">
        <f t="shared" si="19"/>
        <v>0</v>
      </c>
      <c r="AC75" s="231">
        <f t="shared" si="23"/>
        <v>0</v>
      </c>
    </row>
    <row r="76" spans="1:29" s="20" customFormat="1" ht="20.100000000000001" customHeight="1" x14ac:dyDescent="0.2">
      <c r="A76" s="340"/>
      <c r="B76" s="341"/>
      <c r="C76" s="330"/>
      <c r="D76" s="330"/>
      <c r="E76" s="331"/>
      <c r="F76" s="331"/>
      <c r="G76" s="331"/>
      <c r="H76" s="17"/>
      <c r="I76" s="224"/>
      <c r="J76" s="235" t="str">
        <f t="shared" si="20"/>
        <v/>
      </c>
      <c r="K76" s="225" t="str">
        <f t="shared" si="16"/>
        <v/>
      </c>
      <c r="L76" s="233"/>
      <c r="M76" s="234"/>
      <c r="N76" s="225" t="str">
        <f t="shared" si="17"/>
        <v/>
      </c>
      <c r="O76" s="345"/>
      <c r="P76" s="336"/>
      <c r="Q76" s="226" t="str">
        <f t="shared" si="18"/>
        <v/>
      </c>
      <c r="R76" s="345"/>
      <c r="S76" s="336"/>
      <c r="T76" s="18"/>
      <c r="U76" s="18"/>
      <c r="V76" s="18"/>
      <c r="W76" s="18"/>
      <c r="X76" s="348" t="str">
        <f t="shared" si="21"/>
        <v>N/A</v>
      </c>
      <c r="Y76" s="227">
        <f t="shared" si="22"/>
        <v>0</v>
      </c>
      <c r="Z76" s="53"/>
      <c r="AA76" s="335"/>
      <c r="AB76" s="20">
        <f t="shared" si="19"/>
        <v>0</v>
      </c>
      <c r="AC76" s="231">
        <f t="shared" si="23"/>
        <v>0</v>
      </c>
    </row>
    <row r="77" spans="1:29" s="20" customFormat="1" ht="20.100000000000001" customHeight="1" x14ac:dyDescent="0.2">
      <c r="A77" s="340"/>
      <c r="B77" s="341"/>
      <c r="C77" s="330"/>
      <c r="D77" s="330"/>
      <c r="E77" s="331"/>
      <c r="F77" s="331"/>
      <c r="G77" s="331"/>
      <c r="H77" s="17"/>
      <c r="I77" s="224"/>
      <c r="J77" s="235" t="str">
        <f t="shared" si="20"/>
        <v/>
      </c>
      <c r="K77" s="225" t="str">
        <f t="shared" si="16"/>
        <v/>
      </c>
      <c r="L77" s="233"/>
      <c r="M77" s="234"/>
      <c r="N77" s="225" t="str">
        <f t="shared" si="17"/>
        <v/>
      </c>
      <c r="O77" s="345"/>
      <c r="P77" s="336"/>
      <c r="Q77" s="226" t="str">
        <f t="shared" si="18"/>
        <v/>
      </c>
      <c r="R77" s="345"/>
      <c r="S77" s="336"/>
      <c r="T77" s="18"/>
      <c r="U77" s="18"/>
      <c r="V77" s="18"/>
      <c r="W77" s="18"/>
      <c r="X77" s="348" t="str">
        <f t="shared" si="21"/>
        <v>N/A</v>
      </c>
      <c r="Y77" s="227">
        <f t="shared" si="22"/>
        <v>0</v>
      </c>
      <c r="Z77" s="53"/>
      <c r="AA77" s="335"/>
      <c r="AB77" s="20">
        <f t="shared" si="19"/>
        <v>0</v>
      </c>
      <c r="AC77" s="231">
        <f t="shared" si="23"/>
        <v>0</v>
      </c>
    </row>
    <row r="78" spans="1:29" s="20" customFormat="1" ht="20.100000000000001" customHeight="1" x14ac:dyDescent="0.2">
      <c r="A78" s="340"/>
      <c r="B78" s="341"/>
      <c r="C78" s="330"/>
      <c r="D78" s="330"/>
      <c r="E78" s="331"/>
      <c r="F78" s="331"/>
      <c r="G78" s="331"/>
      <c r="H78" s="17"/>
      <c r="I78" s="224"/>
      <c r="J78" s="235" t="str">
        <f t="shared" si="20"/>
        <v/>
      </c>
      <c r="K78" s="225" t="str">
        <f t="shared" si="16"/>
        <v/>
      </c>
      <c r="L78" s="233"/>
      <c r="M78" s="234"/>
      <c r="N78" s="225" t="str">
        <f t="shared" si="17"/>
        <v/>
      </c>
      <c r="O78" s="345"/>
      <c r="P78" s="336"/>
      <c r="Q78" s="226" t="str">
        <f t="shared" si="18"/>
        <v/>
      </c>
      <c r="R78" s="345"/>
      <c r="S78" s="336"/>
      <c r="T78" s="18"/>
      <c r="U78" s="18"/>
      <c r="V78" s="18"/>
      <c r="W78" s="18"/>
      <c r="X78" s="348" t="str">
        <f t="shared" si="21"/>
        <v>N/A</v>
      </c>
      <c r="Y78" s="227">
        <f t="shared" si="22"/>
        <v>0</v>
      </c>
      <c r="Z78" s="53"/>
      <c r="AA78" s="335"/>
      <c r="AB78" s="20">
        <f t="shared" si="19"/>
        <v>0</v>
      </c>
      <c r="AC78" s="231">
        <f t="shared" si="23"/>
        <v>0</v>
      </c>
    </row>
    <row r="79" spans="1:29" s="20" customFormat="1" ht="20.100000000000001" customHeight="1" x14ac:dyDescent="0.2">
      <c r="A79" s="340"/>
      <c r="B79" s="341"/>
      <c r="C79" s="330"/>
      <c r="D79" s="330"/>
      <c r="E79" s="331"/>
      <c r="F79" s="331"/>
      <c r="G79" s="331"/>
      <c r="H79" s="17"/>
      <c r="I79" s="224"/>
      <c r="J79" s="235" t="str">
        <f t="shared" si="20"/>
        <v/>
      </c>
      <c r="K79" s="225" t="str">
        <f t="shared" si="16"/>
        <v/>
      </c>
      <c r="L79" s="233"/>
      <c r="M79" s="234"/>
      <c r="N79" s="225" t="str">
        <f t="shared" si="17"/>
        <v/>
      </c>
      <c r="O79" s="345"/>
      <c r="P79" s="336"/>
      <c r="Q79" s="226" t="str">
        <f t="shared" si="18"/>
        <v/>
      </c>
      <c r="R79" s="345"/>
      <c r="S79" s="336"/>
      <c r="T79" s="18"/>
      <c r="U79" s="18"/>
      <c r="V79" s="18"/>
      <c r="W79" s="18"/>
      <c r="X79" s="348" t="str">
        <f t="shared" si="21"/>
        <v>N/A</v>
      </c>
      <c r="Y79" s="227">
        <f t="shared" si="22"/>
        <v>0</v>
      </c>
      <c r="Z79" s="53"/>
      <c r="AA79" s="335"/>
      <c r="AB79" s="20">
        <f t="shared" si="19"/>
        <v>0</v>
      </c>
      <c r="AC79" s="231">
        <f t="shared" si="23"/>
        <v>0</v>
      </c>
    </row>
    <row r="80" spans="1:29" s="20" customFormat="1" ht="20.100000000000001" customHeight="1" x14ac:dyDescent="0.2">
      <c r="A80" s="340"/>
      <c r="B80" s="341"/>
      <c r="C80" s="330"/>
      <c r="D80" s="330"/>
      <c r="E80" s="331"/>
      <c r="F80" s="331"/>
      <c r="G80" s="331"/>
      <c r="H80" s="17"/>
      <c r="I80" s="224"/>
      <c r="J80" s="235" t="str">
        <f t="shared" si="20"/>
        <v/>
      </c>
      <c r="K80" s="225" t="str">
        <f t="shared" si="16"/>
        <v/>
      </c>
      <c r="L80" s="233"/>
      <c r="M80" s="234"/>
      <c r="N80" s="225" t="str">
        <f t="shared" si="17"/>
        <v/>
      </c>
      <c r="O80" s="345"/>
      <c r="P80" s="336"/>
      <c r="Q80" s="226" t="str">
        <f t="shared" si="18"/>
        <v/>
      </c>
      <c r="R80" s="345"/>
      <c r="S80" s="336"/>
      <c r="T80" s="18"/>
      <c r="U80" s="18"/>
      <c r="V80" s="18"/>
      <c r="W80" s="18"/>
      <c r="X80" s="348" t="str">
        <f t="shared" si="21"/>
        <v>N/A</v>
      </c>
      <c r="Y80" s="227">
        <f t="shared" si="22"/>
        <v>0</v>
      </c>
      <c r="Z80" s="53"/>
      <c r="AA80" s="335"/>
      <c r="AB80" s="20">
        <f t="shared" si="19"/>
        <v>0</v>
      </c>
      <c r="AC80" s="231">
        <f t="shared" si="23"/>
        <v>0</v>
      </c>
    </row>
    <row r="81" spans="1:29" s="20" customFormat="1" ht="20.100000000000001" customHeight="1" x14ac:dyDescent="0.2">
      <c r="A81" s="340"/>
      <c r="B81" s="341"/>
      <c r="C81" s="330"/>
      <c r="D81" s="330"/>
      <c r="E81" s="331"/>
      <c r="F81" s="331"/>
      <c r="G81" s="331"/>
      <c r="H81" s="17"/>
      <c r="I81" s="224"/>
      <c r="J81" s="235" t="str">
        <f t="shared" si="20"/>
        <v/>
      </c>
      <c r="K81" s="225" t="str">
        <f t="shared" si="16"/>
        <v/>
      </c>
      <c r="L81" s="233"/>
      <c r="M81" s="234"/>
      <c r="N81" s="225" t="str">
        <f t="shared" si="17"/>
        <v/>
      </c>
      <c r="O81" s="345"/>
      <c r="P81" s="336"/>
      <c r="Q81" s="226" t="str">
        <f t="shared" si="18"/>
        <v/>
      </c>
      <c r="R81" s="345"/>
      <c r="S81" s="336"/>
      <c r="T81" s="18"/>
      <c r="U81" s="18"/>
      <c r="V81" s="18"/>
      <c r="W81" s="18"/>
      <c r="X81" s="348" t="str">
        <f t="shared" si="21"/>
        <v>N/A</v>
      </c>
      <c r="Y81" s="227">
        <f t="shared" si="22"/>
        <v>0</v>
      </c>
      <c r="Z81" s="53"/>
      <c r="AA81" s="335"/>
      <c r="AB81" s="20">
        <f t="shared" si="19"/>
        <v>0</v>
      </c>
      <c r="AC81" s="231">
        <f t="shared" si="23"/>
        <v>0</v>
      </c>
    </row>
    <row r="82" spans="1:29" s="20" customFormat="1" ht="20.100000000000001" customHeight="1" x14ac:dyDescent="0.2">
      <c r="A82" s="340"/>
      <c r="B82" s="341"/>
      <c r="C82" s="330"/>
      <c r="D82" s="330"/>
      <c r="E82" s="331"/>
      <c r="F82" s="331"/>
      <c r="G82" s="331"/>
      <c r="H82" s="17"/>
      <c r="I82" s="224"/>
      <c r="J82" s="235" t="str">
        <f t="shared" si="20"/>
        <v/>
      </c>
      <c r="K82" s="225" t="str">
        <f t="shared" si="16"/>
        <v/>
      </c>
      <c r="L82" s="233"/>
      <c r="M82" s="234"/>
      <c r="N82" s="225" t="str">
        <f t="shared" si="17"/>
        <v/>
      </c>
      <c r="O82" s="345"/>
      <c r="P82" s="336"/>
      <c r="Q82" s="226" t="str">
        <f t="shared" si="18"/>
        <v/>
      </c>
      <c r="R82" s="345"/>
      <c r="S82" s="336"/>
      <c r="T82" s="18"/>
      <c r="U82" s="18"/>
      <c r="V82" s="18"/>
      <c r="W82" s="18"/>
      <c r="X82" s="348" t="str">
        <f t="shared" si="21"/>
        <v>N/A</v>
      </c>
      <c r="Y82" s="227">
        <f t="shared" si="22"/>
        <v>0</v>
      </c>
      <c r="Z82" s="53"/>
      <c r="AA82" s="335"/>
      <c r="AB82" s="20">
        <f t="shared" si="19"/>
        <v>0</v>
      </c>
      <c r="AC82" s="231">
        <f t="shared" si="23"/>
        <v>0</v>
      </c>
    </row>
    <row r="83" spans="1:29" s="20" customFormat="1" ht="20.100000000000001" customHeight="1" x14ac:dyDescent="0.2">
      <c r="A83" s="340"/>
      <c r="B83" s="341"/>
      <c r="C83" s="330"/>
      <c r="D83" s="330"/>
      <c r="E83" s="331"/>
      <c r="F83" s="331"/>
      <c r="G83" s="331"/>
      <c r="H83" s="17"/>
      <c r="I83" s="224"/>
      <c r="J83" s="235" t="str">
        <f t="shared" si="20"/>
        <v/>
      </c>
      <c r="K83" s="225" t="str">
        <f t="shared" si="16"/>
        <v/>
      </c>
      <c r="L83" s="233"/>
      <c r="M83" s="234"/>
      <c r="N83" s="225" t="str">
        <f t="shared" si="17"/>
        <v/>
      </c>
      <c r="O83" s="345"/>
      <c r="P83" s="336"/>
      <c r="Q83" s="226" t="str">
        <f t="shared" si="18"/>
        <v/>
      </c>
      <c r="R83" s="345"/>
      <c r="S83" s="336"/>
      <c r="T83" s="18"/>
      <c r="U83" s="18"/>
      <c r="V83" s="18"/>
      <c r="W83" s="18"/>
      <c r="X83" s="348" t="str">
        <f t="shared" si="21"/>
        <v>N/A</v>
      </c>
      <c r="Y83" s="227">
        <f t="shared" si="22"/>
        <v>0</v>
      </c>
      <c r="Z83" s="53"/>
      <c r="AA83" s="335"/>
      <c r="AB83" s="20">
        <f t="shared" si="19"/>
        <v>0</v>
      </c>
      <c r="AC83" s="231">
        <f t="shared" si="23"/>
        <v>0</v>
      </c>
    </row>
    <row r="84" spans="1:29" s="20" customFormat="1" ht="20.100000000000001" customHeight="1" x14ac:dyDescent="0.2">
      <c r="A84" s="340"/>
      <c r="B84" s="341"/>
      <c r="C84" s="330"/>
      <c r="D84" s="330"/>
      <c r="E84" s="331"/>
      <c r="F84" s="331"/>
      <c r="G84" s="331"/>
      <c r="H84" s="17"/>
      <c r="I84" s="224"/>
      <c r="J84" s="235" t="str">
        <f t="shared" si="20"/>
        <v/>
      </c>
      <c r="K84" s="225" t="str">
        <f t="shared" si="16"/>
        <v/>
      </c>
      <c r="L84" s="233"/>
      <c r="M84" s="234"/>
      <c r="N84" s="225" t="str">
        <f t="shared" si="17"/>
        <v/>
      </c>
      <c r="O84" s="345"/>
      <c r="P84" s="336"/>
      <c r="Q84" s="226" t="str">
        <f t="shared" si="18"/>
        <v/>
      </c>
      <c r="R84" s="345"/>
      <c r="S84" s="336"/>
      <c r="T84" s="18"/>
      <c r="U84" s="18"/>
      <c r="V84" s="18"/>
      <c r="W84" s="18"/>
      <c r="X84" s="348" t="str">
        <f t="shared" si="21"/>
        <v>N/A</v>
      </c>
      <c r="Y84" s="227">
        <f t="shared" si="22"/>
        <v>0</v>
      </c>
      <c r="Z84" s="53"/>
      <c r="AA84" s="335"/>
      <c r="AB84" s="20">
        <f t="shared" si="19"/>
        <v>0</v>
      </c>
      <c r="AC84" s="231">
        <f t="shared" si="23"/>
        <v>0</v>
      </c>
    </row>
    <row r="85" spans="1:29" s="20" customFormat="1" ht="20.100000000000001" customHeight="1" x14ac:dyDescent="0.2">
      <c r="A85" s="340"/>
      <c r="B85" s="341"/>
      <c r="C85" s="330"/>
      <c r="D85" s="330"/>
      <c r="E85" s="331"/>
      <c r="F85" s="331"/>
      <c r="G85" s="331"/>
      <c r="H85" s="17"/>
      <c r="I85" s="224"/>
      <c r="J85" s="235" t="str">
        <f t="shared" si="20"/>
        <v/>
      </c>
      <c r="K85" s="225" t="str">
        <f t="shared" si="16"/>
        <v/>
      </c>
      <c r="L85" s="233"/>
      <c r="M85" s="234"/>
      <c r="N85" s="225" t="str">
        <f t="shared" si="17"/>
        <v/>
      </c>
      <c r="O85" s="345"/>
      <c r="P85" s="336"/>
      <c r="Q85" s="226" t="str">
        <f t="shared" si="18"/>
        <v/>
      </c>
      <c r="R85" s="345"/>
      <c r="S85" s="336"/>
      <c r="T85" s="18"/>
      <c r="U85" s="18"/>
      <c r="V85" s="18"/>
      <c r="W85" s="18"/>
      <c r="X85" s="348" t="str">
        <f t="shared" si="21"/>
        <v>N/A</v>
      </c>
      <c r="Y85" s="227">
        <f t="shared" si="22"/>
        <v>0</v>
      </c>
      <c r="Z85" s="53"/>
      <c r="AA85" s="335"/>
      <c r="AB85" s="20">
        <f t="shared" si="19"/>
        <v>0</v>
      </c>
      <c r="AC85" s="231">
        <f t="shared" si="23"/>
        <v>0</v>
      </c>
    </row>
    <row r="86" spans="1:29" s="20" customFormat="1" ht="20.100000000000001" customHeight="1" x14ac:dyDescent="0.2">
      <c r="A86" s="340"/>
      <c r="B86" s="341"/>
      <c r="C86" s="330"/>
      <c r="D86" s="330"/>
      <c r="E86" s="331"/>
      <c r="F86" s="331"/>
      <c r="G86" s="331"/>
      <c r="H86" s="17"/>
      <c r="I86" s="224"/>
      <c r="J86" s="235" t="str">
        <f t="shared" si="20"/>
        <v/>
      </c>
      <c r="K86" s="225" t="str">
        <f t="shared" si="16"/>
        <v/>
      </c>
      <c r="L86" s="233"/>
      <c r="M86" s="234"/>
      <c r="N86" s="225" t="str">
        <f t="shared" si="17"/>
        <v/>
      </c>
      <c r="O86" s="345"/>
      <c r="P86" s="336"/>
      <c r="Q86" s="226" t="str">
        <f t="shared" si="18"/>
        <v/>
      </c>
      <c r="R86" s="345"/>
      <c r="S86" s="336"/>
      <c r="T86" s="18"/>
      <c r="U86" s="18"/>
      <c r="V86" s="18"/>
      <c r="W86" s="18"/>
      <c r="X86" s="348" t="str">
        <f t="shared" si="21"/>
        <v>N/A</v>
      </c>
      <c r="Y86" s="227">
        <f t="shared" si="22"/>
        <v>0</v>
      </c>
      <c r="Z86" s="53"/>
      <c r="AA86" s="335"/>
      <c r="AB86" s="20">
        <f t="shared" si="19"/>
        <v>0</v>
      </c>
      <c r="AC86" s="231">
        <f t="shared" si="23"/>
        <v>0</v>
      </c>
    </row>
    <row r="87" spans="1:29" s="20" customFormat="1" ht="20.100000000000001" customHeight="1" x14ac:dyDescent="0.2">
      <c r="A87" s="340"/>
      <c r="B87" s="341"/>
      <c r="C87" s="330"/>
      <c r="D87" s="330"/>
      <c r="E87" s="331"/>
      <c r="F87" s="331"/>
      <c r="G87" s="331"/>
      <c r="H87" s="17"/>
      <c r="I87" s="224"/>
      <c r="J87" s="235" t="str">
        <f t="shared" si="20"/>
        <v/>
      </c>
      <c r="K87" s="225" t="str">
        <f t="shared" si="16"/>
        <v/>
      </c>
      <c r="L87" s="233"/>
      <c r="M87" s="234"/>
      <c r="N87" s="225" t="str">
        <f t="shared" si="17"/>
        <v/>
      </c>
      <c r="O87" s="345"/>
      <c r="P87" s="336"/>
      <c r="Q87" s="226" t="str">
        <f t="shared" si="18"/>
        <v/>
      </c>
      <c r="R87" s="345"/>
      <c r="S87" s="336"/>
      <c r="T87" s="18"/>
      <c r="U87" s="18"/>
      <c r="V87" s="18"/>
      <c r="W87" s="18"/>
      <c r="X87" s="348" t="str">
        <f t="shared" si="21"/>
        <v>N/A</v>
      </c>
      <c r="Y87" s="227">
        <f t="shared" si="22"/>
        <v>0</v>
      </c>
      <c r="Z87" s="53"/>
      <c r="AA87" s="335"/>
      <c r="AB87" s="20">
        <f t="shared" si="19"/>
        <v>0</v>
      </c>
      <c r="AC87" s="231">
        <f t="shared" si="23"/>
        <v>0</v>
      </c>
    </row>
    <row r="88" spans="1:29" s="20" customFormat="1" ht="20.100000000000001" customHeight="1" x14ac:dyDescent="0.2">
      <c r="A88" s="340"/>
      <c r="B88" s="341"/>
      <c r="C88" s="330"/>
      <c r="D88" s="330"/>
      <c r="E88" s="331"/>
      <c r="F88" s="331"/>
      <c r="G88" s="331"/>
      <c r="H88" s="17"/>
      <c r="I88" s="224"/>
      <c r="J88" s="235" t="str">
        <f t="shared" si="20"/>
        <v/>
      </c>
      <c r="K88" s="225" t="str">
        <f t="shared" si="16"/>
        <v/>
      </c>
      <c r="L88" s="233"/>
      <c r="M88" s="234"/>
      <c r="N88" s="225" t="str">
        <f t="shared" si="17"/>
        <v/>
      </c>
      <c r="O88" s="345"/>
      <c r="P88" s="336"/>
      <c r="Q88" s="226" t="str">
        <f t="shared" si="18"/>
        <v/>
      </c>
      <c r="R88" s="345"/>
      <c r="S88" s="336"/>
      <c r="T88" s="18"/>
      <c r="U88" s="18"/>
      <c r="V88" s="18"/>
      <c r="W88" s="18"/>
      <c r="X88" s="348" t="str">
        <f t="shared" si="21"/>
        <v>N/A</v>
      </c>
      <c r="Y88" s="227">
        <f t="shared" si="22"/>
        <v>0</v>
      </c>
      <c r="Z88" s="53"/>
      <c r="AA88" s="335"/>
      <c r="AB88" s="20">
        <f t="shared" si="19"/>
        <v>0</v>
      </c>
      <c r="AC88" s="231">
        <f t="shared" si="23"/>
        <v>0</v>
      </c>
    </row>
    <row r="89" spans="1:29" s="20" customFormat="1" ht="20.100000000000001" customHeight="1" x14ac:dyDescent="0.2">
      <c r="A89" s="340"/>
      <c r="B89" s="341"/>
      <c r="C89" s="330"/>
      <c r="D89" s="330"/>
      <c r="E89" s="331"/>
      <c r="F89" s="331"/>
      <c r="G89" s="331"/>
      <c r="H89" s="17"/>
      <c r="I89" s="224"/>
      <c r="J89" s="235" t="str">
        <f t="shared" si="20"/>
        <v/>
      </c>
      <c r="K89" s="225" t="str">
        <f t="shared" si="16"/>
        <v/>
      </c>
      <c r="L89" s="233"/>
      <c r="M89" s="234"/>
      <c r="N89" s="225" t="str">
        <f t="shared" si="17"/>
        <v/>
      </c>
      <c r="O89" s="345"/>
      <c r="P89" s="336"/>
      <c r="Q89" s="226" t="str">
        <f t="shared" si="18"/>
        <v/>
      </c>
      <c r="R89" s="345"/>
      <c r="S89" s="336"/>
      <c r="T89" s="18"/>
      <c r="U89" s="18"/>
      <c r="V89" s="18"/>
      <c r="W89" s="18"/>
      <c r="X89" s="348" t="str">
        <f t="shared" si="21"/>
        <v>N/A</v>
      </c>
      <c r="Y89" s="227">
        <f t="shared" si="22"/>
        <v>0</v>
      </c>
      <c r="Z89" s="53"/>
      <c r="AA89" s="335"/>
      <c r="AB89" s="20">
        <f t="shared" si="19"/>
        <v>0</v>
      </c>
      <c r="AC89" s="231">
        <f t="shared" si="23"/>
        <v>0</v>
      </c>
    </row>
    <row r="90" spans="1:29" s="20" customFormat="1" ht="20.100000000000001" customHeight="1" x14ac:dyDescent="0.2">
      <c r="A90" s="340"/>
      <c r="B90" s="341"/>
      <c r="C90" s="330"/>
      <c r="D90" s="330"/>
      <c r="E90" s="331"/>
      <c r="F90" s="331"/>
      <c r="G90" s="331"/>
      <c r="H90" s="17"/>
      <c r="I90" s="224"/>
      <c r="J90" s="235" t="str">
        <f t="shared" si="20"/>
        <v/>
      </c>
      <c r="K90" s="225" t="str">
        <f t="shared" si="16"/>
        <v/>
      </c>
      <c r="L90" s="233"/>
      <c r="M90" s="234"/>
      <c r="N90" s="225" t="str">
        <f t="shared" si="17"/>
        <v/>
      </c>
      <c r="O90" s="345"/>
      <c r="P90" s="336"/>
      <c r="Q90" s="226" t="str">
        <f t="shared" si="18"/>
        <v/>
      </c>
      <c r="R90" s="345"/>
      <c r="S90" s="336"/>
      <c r="T90" s="18"/>
      <c r="U90" s="18"/>
      <c r="V90" s="18"/>
      <c r="W90" s="18"/>
      <c r="X90" s="348" t="str">
        <f t="shared" si="21"/>
        <v>N/A</v>
      </c>
      <c r="Y90" s="227">
        <f t="shared" si="22"/>
        <v>0</v>
      </c>
      <c r="Z90" s="53"/>
      <c r="AA90" s="335"/>
      <c r="AB90" s="20">
        <f t="shared" si="19"/>
        <v>0</v>
      </c>
      <c r="AC90" s="231">
        <f t="shared" si="23"/>
        <v>0</v>
      </c>
    </row>
    <row r="91" spans="1:29" s="20" customFormat="1" ht="20.100000000000001" customHeight="1" x14ac:dyDescent="0.2">
      <c r="A91" s="340"/>
      <c r="B91" s="341"/>
      <c r="C91" s="330"/>
      <c r="D91" s="330"/>
      <c r="E91" s="331"/>
      <c r="F91" s="331"/>
      <c r="G91" s="331"/>
      <c r="H91" s="17"/>
      <c r="I91" s="224"/>
      <c r="J91" s="235" t="str">
        <f t="shared" si="20"/>
        <v/>
      </c>
      <c r="K91" s="225" t="str">
        <f t="shared" si="16"/>
        <v/>
      </c>
      <c r="L91" s="233"/>
      <c r="M91" s="234"/>
      <c r="N91" s="225" t="str">
        <f t="shared" si="17"/>
        <v/>
      </c>
      <c r="O91" s="345"/>
      <c r="P91" s="336"/>
      <c r="Q91" s="226" t="str">
        <f t="shared" si="18"/>
        <v/>
      </c>
      <c r="R91" s="345"/>
      <c r="S91" s="336"/>
      <c r="T91" s="18"/>
      <c r="U91" s="18"/>
      <c r="V91" s="18"/>
      <c r="W91" s="18"/>
      <c r="X91" s="348" t="str">
        <f t="shared" si="21"/>
        <v>N/A</v>
      </c>
      <c r="Y91" s="227">
        <f t="shared" si="22"/>
        <v>0</v>
      </c>
      <c r="Z91" s="53"/>
      <c r="AA91" s="335"/>
      <c r="AB91" s="20">
        <f t="shared" si="19"/>
        <v>0</v>
      </c>
      <c r="AC91" s="231">
        <f t="shared" si="23"/>
        <v>0</v>
      </c>
    </row>
    <row r="92" spans="1:29" s="20" customFormat="1" ht="20.100000000000001" customHeight="1" x14ac:dyDescent="0.2">
      <c r="A92" s="340"/>
      <c r="B92" s="341"/>
      <c r="C92" s="330"/>
      <c r="D92" s="330"/>
      <c r="E92" s="331"/>
      <c r="F92" s="331"/>
      <c r="G92" s="331"/>
      <c r="H92" s="17"/>
      <c r="I92" s="224"/>
      <c r="J92" s="235" t="str">
        <f t="shared" si="20"/>
        <v/>
      </c>
      <c r="K92" s="225" t="str">
        <f t="shared" ref="K92:K100" si="24">parm_complex(I92,J92,1,$B$4,$AB$4)</f>
        <v/>
      </c>
      <c r="L92" s="233"/>
      <c r="M92" s="234"/>
      <c r="N92" s="225" t="str">
        <f t="shared" ref="N92:N100" si="25">parm_complex(I92,J92,2,$B$4,$AB$4)</f>
        <v/>
      </c>
      <c r="O92" s="345"/>
      <c r="P92" s="336"/>
      <c r="Q92" s="226" t="str">
        <f t="shared" ref="Q92:Q100" si="26">parm_complex(I92,J92,3,$B$4,$AB$4)</f>
        <v/>
      </c>
      <c r="R92" s="345"/>
      <c r="S92" s="336"/>
      <c r="T92" s="18"/>
      <c r="U92" s="18"/>
      <c r="V92" s="18"/>
      <c r="W92" s="19"/>
      <c r="X92" s="348" t="str">
        <f t="shared" si="21"/>
        <v>N/A</v>
      </c>
      <c r="Y92" s="227">
        <f t="shared" si="22"/>
        <v>0</v>
      </c>
      <c r="Z92" s="53"/>
      <c r="AA92" s="335"/>
      <c r="AB92" s="20">
        <f t="shared" ref="AB92:AB100" si="27">SNAPHmlgd($AB$4,I92,Y92)</f>
        <v>0</v>
      </c>
      <c r="AC92" s="231">
        <f t="shared" si="23"/>
        <v>0</v>
      </c>
    </row>
    <row r="93" spans="1:29" s="20" customFormat="1" ht="20.100000000000001" customHeight="1" x14ac:dyDescent="0.2">
      <c r="A93" s="340"/>
      <c r="B93" s="341"/>
      <c r="C93" s="330"/>
      <c r="D93" s="330"/>
      <c r="E93" s="331"/>
      <c r="F93" s="331"/>
      <c r="G93" s="331"/>
      <c r="H93" s="17"/>
      <c r="I93" s="224"/>
      <c r="J93" s="235" t="str">
        <f t="shared" si="20"/>
        <v/>
      </c>
      <c r="K93" s="225" t="str">
        <f t="shared" si="24"/>
        <v/>
      </c>
      <c r="L93" s="233"/>
      <c r="M93" s="234"/>
      <c r="N93" s="225" t="str">
        <f t="shared" si="25"/>
        <v/>
      </c>
      <c r="O93" s="345"/>
      <c r="P93" s="336"/>
      <c r="Q93" s="226" t="str">
        <f t="shared" si="26"/>
        <v/>
      </c>
      <c r="R93" s="345"/>
      <c r="S93" s="336"/>
      <c r="T93" s="18"/>
      <c r="U93" s="18"/>
      <c r="V93" s="18"/>
      <c r="W93" s="19"/>
      <c r="X93" s="348" t="str">
        <f t="shared" si="21"/>
        <v>N/A</v>
      </c>
      <c r="Y93" s="227">
        <f t="shared" si="22"/>
        <v>0</v>
      </c>
      <c r="Z93" s="53"/>
      <c r="AA93" s="335"/>
      <c r="AB93" s="20">
        <f t="shared" si="27"/>
        <v>0</v>
      </c>
      <c r="AC93" s="231">
        <f t="shared" si="23"/>
        <v>0</v>
      </c>
    </row>
    <row r="94" spans="1:29" s="20" customFormat="1" ht="20.100000000000001" customHeight="1" x14ac:dyDescent="0.2">
      <c r="A94" s="340"/>
      <c r="B94" s="341"/>
      <c r="C94" s="330"/>
      <c r="D94" s="330"/>
      <c r="E94" s="331"/>
      <c r="F94" s="331"/>
      <c r="G94" s="331"/>
      <c r="H94" s="17"/>
      <c r="I94" s="224"/>
      <c r="J94" s="235" t="str">
        <f t="shared" si="20"/>
        <v/>
      </c>
      <c r="K94" s="225" t="str">
        <f t="shared" si="24"/>
        <v/>
      </c>
      <c r="L94" s="233"/>
      <c r="M94" s="234"/>
      <c r="N94" s="225" t="str">
        <f t="shared" si="25"/>
        <v/>
      </c>
      <c r="O94" s="345"/>
      <c r="P94" s="336"/>
      <c r="Q94" s="226" t="str">
        <f t="shared" si="26"/>
        <v/>
      </c>
      <c r="R94" s="345"/>
      <c r="S94" s="336"/>
      <c r="T94" s="18"/>
      <c r="U94" s="18"/>
      <c r="V94" s="18"/>
      <c r="W94" s="19"/>
      <c r="X94" s="348" t="str">
        <f t="shared" si="21"/>
        <v>N/A</v>
      </c>
      <c r="Y94" s="227">
        <f t="shared" si="22"/>
        <v>0</v>
      </c>
      <c r="Z94" s="53"/>
      <c r="AA94" s="335"/>
      <c r="AB94" s="20">
        <f t="shared" si="27"/>
        <v>0</v>
      </c>
      <c r="AC94" s="231">
        <f t="shared" si="23"/>
        <v>0</v>
      </c>
    </row>
    <row r="95" spans="1:29" s="20" customFormat="1" ht="20.100000000000001" customHeight="1" x14ac:dyDescent="0.2">
      <c r="A95" s="340"/>
      <c r="B95" s="341"/>
      <c r="C95" s="330"/>
      <c r="D95" s="330"/>
      <c r="E95" s="331"/>
      <c r="F95" s="331"/>
      <c r="G95" s="331"/>
      <c r="H95" s="17"/>
      <c r="I95" s="224"/>
      <c r="J95" s="235" t="str">
        <f t="shared" si="20"/>
        <v/>
      </c>
      <c r="K95" s="225" t="str">
        <f t="shared" si="24"/>
        <v/>
      </c>
      <c r="L95" s="233"/>
      <c r="M95" s="234"/>
      <c r="N95" s="225" t="str">
        <f t="shared" si="25"/>
        <v/>
      </c>
      <c r="O95" s="345"/>
      <c r="P95" s="336"/>
      <c r="Q95" s="226" t="str">
        <f t="shared" si="26"/>
        <v/>
      </c>
      <c r="R95" s="345"/>
      <c r="S95" s="336"/>
      <c r="T95" s="18"/>
      <c r="U95" s="18"/>
      <c r="V95" s="18"/>
      <c r="W95" s="18"/>
      <c r="X95" s="348" t="str">
        <f t="shared" si="21"/>
        <v>N/A</v>
      </c>
      <c r="Y95" s="227">
        <f t="shared" si="22"/>
        <v>0</v>
      </c>
      <c r="Z95" s="53"/>
      <c r="AA95" s="335"/>
      <c r="AB95" s="20">
        <f t="shared" si="27"/>
        <v>0</v>
      </c>
      <c r="AC95" s="231">
        <f t="shared" si="23"/>
        <v>0</v>
      </c>
    </row>
    <row r="96" spans="1:29" s="20" customFormat="1" ht="20.100000000000001" customHeight="1" x14ac:dyDescent="0.2">
      <c r="A96" s="340"/>
      <c r="B96" s="341"/>
      <c r="C96" s="330"/>
      <c r="D96" s="330"/>
      <c r="E96" s="331"/>
      <c r="F96" s="331"/>
      <c r="G96" s="331"/>
      <c r="H96" s="17"/>
      <c r="I96" s="224"/>
      <c r="J96" s="235" t="str">
        <f t="shared" si="20"/>
        <v/>
      </c>
      <c r="K96" s="225" t="str">
        <f t="shared" si="24"/>
        <v/>
      </c>
      <c r="L96" s="233"/>
      <c r="M96" s="234"/>
      <c r="N96" s="225" t="str">
        <f t="shared" si="25"/>
        <v/>
      </c>
      <c r="O96" s="345"/>
      <c r="P96" s="336"/>
      <c r="Q96" s="226" t="str">
        <f t="shared" si="26"/>
        <v/>
      </c>
      <c r="R96" s="345"/>
      <c r="S96" s="336"/>
      <c r="T96" s="18"/>
      <c r="U96" s="18"/>
      <c r="V96" s="18"/>
      <c r="W96" s="18"/>
      <c r="X96" s="348" t="str">
        <f t="shared" si="21"/>
        <v>N/A</v>
      </c>
      <c r="Y96" s="227">
        <f t="shared" si="22"/>
        <v>0</v>
      </c>
      <c r="Z96" s="53"/>
      <c r="AA96" s="335"/>
      <c r="AB96" s="20">
        <f t="shared" si="27"/>
        <v>0</v>
      </c>
      <c r="AC96" s="231">
        <f t="shared" si="23"/>
        <v>0</v>
      </c>
    </row>
    <row r="97" spans="1:30" s="20" customFormat="1" ht="20.100000000000001" customHeight="1" x14ac:dyDescent="0.2">
      <c r="A97" s="340"/>
      <c r="B97" s="341"/>
      <c r="C97" s="330"/>
      <c r="D97" s="330"/>
      <c r="E97" s="331"/>
      <c r="F97" s="331"/>
      <c r="G97" s="331"/>
      <c r="H97" s="17"/>
      <c r="I97" s="224"/>
      <c r="J97" s="235" t="str">
        <f t="shared" si="20"/>
        <v/>
      </c>
      <c r="K97" s="225" t="str">
        <f t="shared" si="24"/>
        <v/>
      </c>
      <c r="L97" s="233"/>
      <c r="M97" s="234"/>
      <c r="N97" s="225" t="str">
        <f t="shared" si="25"/>
        <v/>
      </c>
      <c r="O97" s="345"/>
      <c r="P97" s="336"/>
      <c r="Q97" s="226" t="str">
        <f t="shared" si="26"/>
        <v/>
      </c>
      <c r="R97" s="345"/>
      <c r="S97" s="336"/>
      <c r="T97" s="18"/>
      <c r="U97" s="18"/>
      <c r="V97" s="18"/>
      <c r="W97" s="19"/>
      <c r="X97" s="348" t="str">
        <f t="shared" si="21"/>
        <v>N/A</v>
      </c>
      <c r="Y97" s="227">
        <f t="shared" si="22"/>
        <v>0</v>
      </c>
      <c r="Z97" s="53"/>
      <c r="AA97" s="335"/>
      <c r="AB97" s="20">
        <f t="shared" si="27"/>
        <v>0</v>
      </c>
      <c r="AC97" s="231">
        <f t="shared" si="23"/>
        <v>0</v>
      </c>
    </row>
    <row r="98" spans="1:30" s="20" customFormat="1" ht="20.100000000000001" customHeight="1" x14ac:dyDescent="0.2">
      <c r="A98" s="340"/>
      <c r="B98" s="341"/>
      <c r="C98" s="330"/>
      <c r="D98" s="330"/>
      <c r="E98" s="331"/>
      <c r="F98" s="331"/>
      <c r="G98" s="331"/>
      <c r="H98" s="17"/>
      <c r="I98" s="224"/>
      <c r="J98" s="235" t="str">
        <f t="shared" si="20"/>
        <v/>
      </c>
      <c r="K98" s="225" t="str">
        <f t="shared" si="24"/>
        <v/>
      </c>
      <c r="L98" s="233"/>
      <c r="M98" s="234"/>
      <c r="N98" s="225" t="str">
        <f t="shared" si="25"/>
        <v/>
      </c>
      <c r="O98" s="345"/>
      <c r="P98" s="336"/>
      <c r="Q98" s="226" t="str">
        <f t="shared" si="26"/>
        <v/>
      </c>
      <c r="R98" s="345"/>
      <c r="S98" s="336"/>
      <c r="T98" s="18"/>
      <c r="U98" s="18"/>
      <c r="V98" s="18"/>
      <c r="W98" s="19"/>
      <c r="X98" s="348" t="str">
        <f t="shared" si="21"/>
        <v>N/A</v>
      </c>
      <c r="Y98" s="227">
        <f t="shared" si="22"/>
        <v>0</v>
      </c>
      <c r="Z98" s="53"/>
      <c r="AA98" s="335"/>
      <c r="AB98" s="20">
        <f t="shared" si="27"/>
        <v>0</v>
      </c>
      <c r="AC98" s="231">
        <f t="shared" si="23"/>
        <v>0</v>
      </c>
    </row>
    <row r="99" spans="1:30" s="20" customFormat="1" ht="20.100000000000001" customHeight="1" x14ac:dyDescent="0.2">
      <c r="A99" s="340"/>
      <c r="B99" s="341"/>
      <c r="C99" s="330"/>
      <c r="D99" s="330"/>
      <c r="E99" s="331"/>
      <c r="F99" s="331"/>
      <c r="G99" s="331"/>
      <c r="H99" s="17"/>
      <c r="I99" s="224"/>
      <c r="J99" s="235" t="str">
        <f t="shared" si="20"/>
        <v/>
      </c>
      <c r="K99" s="225" t="str">
        <f t="shared" si="24"/>
        <v/>
      </c>
      <c r="L99" s="233"/>
      <c r="M99" s="234"/>
      <c r="N99" s="225" t="str">
        <f t="shared" si="25"/>
        <v/>
      </c>
      <c r="O99" s="345"/>
      <c r="P99" s="336"/>
      <c r="Q99" s="226" t="str">
        <f t="shared" si="26"/>
        <v/>
      </c>
      <c r="R99" s="345"/>
      <c r="S99" s="336"/>
      <c r="T99" s="18"/>
      <c r="U99" s="18"/>
      <c r="V99" s="18"/>
      <c r="W99" s="19"/>
      <c r="X99" s="348" t="str">
        <f t="shared" si="21"/>
        <v>N/A</v>
      </c>
      <c r="Y99" s="227">
        <f t="shared" si="22"/>
        <v>0</v>
      </c>
      <c r="Z99" s="53"/>
      <c r="AA99" s="335"/>
      <c r="AB99" s="20">
        <f t="shared" si="27"/>
        <v>0</v>
      </c>
      <c r="AC99" s="231">
        <f t="shared" si="23"/>
        <v>0</v>
      </c>
    </row>
    <row r="100" spans="1:30" s="20" customFormat="1" ht="20.100000000000001" customHeight="1" x14ac:dyDescent="0.2">
      <c r="A100" s="340"/>
      <c r="B100" s="341"/>
      <c r="C100" s="330"/>
      <c r="D100" s="330"/>
      <c r="E100" s="331"/>
      <c r="F100" s="331"/>
      <c r="G100" s="331"/>
      <c r="H100" s="17"/>
      <c r="I100" s="224"/>
      <c r="J100" s="235" t="str">
        <f t="shared" si="20"/>
        <v/>
      </c>
      <c r="K100" s="225" t="str">
        <f t="shared" si="24"/>
        <v/>
      </c>
      <c r="L100" s="233"/>
      <c r="M100" s="234"/>
      <c r="N100" s="225" t="str">
        <f t="shared" si="25"/>
        <v/>
      </c>
      <c r="O100" s="345"/>
      <c r="P100" s="336"/>
      <c r="Q100" s="226" t="str">
        <f t="shared" si="26"/>
        <v/>
      </c>
      <c r="R100" s="345"/>
      <c r="S100" s="336"/>
      <c r="T100" s="18"/>
      <c r="U100" s="18"/>
      <c r="V100" s="18"/>
      <c r="W100" s="19"/>
      <c r="X100" s="348" t="str">
        <f t="shared" si="21"/>
        <v>N/A</v>
      </c>
      <c r="Y100" s="227">
        <f t="shared" si="22"/>
        <v>0</v>
      </c>
      <c r="Z100" s="53"/>
      <c r="AA100" s="335"/>
      <c r="AB100" s="20">
        <f t="shared" si="27"/>
        <v>0</v>
      </c>
      <c r="AC100" s="231">
        <f t="shared" si="23"/>
        <v>0</v>
      </c>
    </row>
    <row r="101" spans="1:30" s="20" customFormat="1" ht="18.75" customHeight="1" thickBot="1" x14ac:dyDescent="0.25">
      <c r="A101" s="377" t="s">
        <v>134</v>
      </c>
      <c r="B101" s="144"/>
      <c r="C101" s="144"/>
      <c r="D101" s="144"/>
      <c r="E101" s="144"/>
      <c r="F101" s="264"/>
      <c r="G101" s="265"/>
      <c r="H101" s="265"/>
      <c r="I101" s="264"/>
      <c r="J101" s="264"/>
      <c r="K101" s="264"/>
      <c r="L101" s="264"/>
      <c r="M101" s="264"/>
      <c r="N101" s="264"/>
      <c r="O101" s="264"/>
      <c r="P101" s="264"/>
      <c r="Q101" s="264"/>
      <c r="R101" s="264"/>
      <c r="S101" s="264"/>
      <c r="T101" s="264"/>
      <c r="U101" s="264"/>
      <c r="V101" s="264"/>
      <c r="W101" s="264"/>
      <c r="X101" s="146"/>
      <c r="Y101" s="146"/>
      <c r="Z101" s="266"/>
      <c r="AA101" s="267"/>
    </row>
    <row r="102" spans="1:30" ht="20.100000000000001" customHeight="1" thickBot="1" x14ac:dyDescent="0.25">
      <c r="A102" s="21" t="s">
        <v>113</v>
      </c>
      <c r="B102" s="22"/>
      <c r="C102" s="22"/>
      <c r="D102" s="22"/>
      <c r="E102" s="22"/>
      <c r="F102" s="22"/>
      <c r="G102" s="22"/>
      <c r="H102" s="22"/>
      <c r="I102" s="22"/>
      <c r="J102" s="22"/>
      <c r="K102" s="22"/>
      <c r="L102" s="22"/>
      <c r="M102" s="22"/>
      <c r="N102" s="22"/>
      <c r="O102" s="22"/>
      <c r="P102" s="22"/>
      <c r="Q102" s="22"/>
      <c r="R102" s="22"/>
      <c r="S102" s="399" t="s">
        <v>135</v>
      </c>
      <c r="T102" s="23"/>
      <c r="U102" s="23"/>
      <c r="V102" s="23"/>
      <c r="W102" s="230"/>
      <c r="X102" s="363" t="s">
        <v>134</v>
      </c>
      <c r="Y102" s="229">
        <f>SUM(Y9:Y100)</f>
        <v>0</v>
      </c>
      <c r="Z102" s="228"/>
      <c r="AA102" s="26"/>
      <c r="AB102" s="20"/>
      <c r="AC102" s="20"/>
      <c r="AD102" s="20"/>
    </row>
    <row r="103" spans="1:30" x14ac:dyDescent="0.2">
      <c r="U103"/>
      <c r="AA103" s="12"/>
      <c r="AB103" s="20"/>
      <c r="AC103" s="20"/>
      <c r="AD103" s="20"/>
    </row>
    <row r="104" spans="1:30" ht="18" x14ac:dyDescent="0.25">
      <c r="A104" s="27" t="s">
        <v>91</v>
      </c>
      <c r="B104" s="27"/>
      <c r="C104" s="27"/>
      <c r="D104" s="27"/>
      <c r="E104" s="27"/>
      <c r="F104" s="27"/>
      <c r="U104"/>
      <c r="AA104" s="12"/>
      <c r="AB104" s="20"/>
      <c r="AC104" s="20"/>
      <c r="AD104" s="20"/>
    </row>
    <row r="105" spans="1:30" x14ac:dyDescent="0.2">
      <c r="U105"/>
      <c r="V105" s="12"/>
      <c r="AB105" s="20"/>
      <c r="AC105" s="20"/>
      <c r="AD105" s="20"/>
    </row>
    <row r="106" spans="1:30" x14ac:dyDescent="0.2"/>
    <row r="107" spans="1:30" x14ac:dyDescent="0.2"/>
  </sheetData>
  <sheetProtection algorithmName="SHA-512" hashValue="ItT2JYRvB/XnKtRg5cCYQOdvqWHk7/yg6hN4EwgCZ2RSysNUsXBGgurYf8tyb0epKFMDwDU4dOeDq0vaA5pC7w==" saltValue="lF//mQp/75FD3MqToBr+OQ==" spinCount="100000" sheet="1" objects="1" scenarios="1" formatCells="0" formatColumns="0" formatRows="0" autoFilter="0"/>
  <autoFilter ref="A8:AA100"/>
  <mergeCells count="22">
    <mergeCell ref="Q7:S7"/>
    <mergeCell ref="B4:D4"/>
    <mergeCell ref="A5:U5"/>
    <mergeCell ref="A6:AA6"/>
    <mergeCell ref="A7:A8"/>
    <mergeCell ref="B7:B8"/>
    <mergeCell ref="C7:C8"/>
    <mergeCell ref="D7:D8"/>
    <mergeCell ref="G7:G8"/>
    <mergeCell ref="H7:H8"/>
    <mergeCell ref="Z7:Z8"/>
    <mergeCell ref="AA7:AA8"/>
    <mergeCell ref="T7:U7"/>
    <mergeCell ref="V7:W7"/>
    <mergeCell ref="X7:X8"/>
    <mergeCell ref="Y7:Y8"/>
    <mergeCell ref="N7:P7"/>
    <mergeCell ref="E7:E8"/>
    <mergeCell ref="I7:I8"/>
    <mergeCell ref="F7:F8"/>
    <mergeCell ref="J7:J8"/>
    <mergeCell ref="K7:M7"/>
  </mergeCells>
  <phoneticPr fontId="22" type="noConversion"/>
  <conditionalFormatting sqref="Z9:Z101">
    <cfRule type="cellIs" dxfId="1" priority="5" stopIfTrue="1" operator="notEqual">
      <formula>0</formula>
    </cfRule>
    <cfRule type="expression" dxfId="0" priority="6" stopIfTrue="1">
      <formula>H9="A"</formula>
    </cfRule>
  </conditionalFormatting>
  <dataValidations count="6">
    <dataValidation type="list" operator="equal" allowBlank="1" showErrorMessage="1" sqref="G9:G100 H9:H101">
      <formula1>"I,A,E,NA"</formula1>
      <formula2>0</formula2>
    </dataValidation>
    <dataValidation operator="equal" allowBlank="1" showErrorMessage="1" sqref="G101 I101:S101"/>
    <dataValidation type="list" operator="equal" allowBlank="1" showErrorMessage="1" sqref="F9:F100">
      <formula1>"0,3,4,5,6,7,10,15,NA"</formula1>
    </dataValidation>
    <dataValidation type="list" operator="equal" allowBlank="1" showErrorMessage="1" sqref="I9:I100">
      <formula1>SubCategoria_SNAP</formula1>
    </dataValidation>
    <dataValidation type="list" allowBlank="1" showInputMessage="1" showErrorMessage="1" sqref="B4:D4">
      <formula1>Tipo_Contagem_SNAP</formula1>
    </dataValidation>
    <dataValidation type="list" allowBlank="1" showInputMessage="1" showErrorMessage="1" sqref="E9:E100">
      <formula1>"ALI,AIE,Codedata,EE,CE,SE"</formula1>
    </dataValidation>
  </dataValidations>
  <pageMargins left="0.74791666666666667" right="0.74791666666666667" top="0.98402777777777772" bottom="0.98402777777777772" header="0.51180555555555551" footer="0.51180555555555551"/>
  <pageSetup scale="59" firstPageNumber="0" orientation="landscape"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DE10001"/>
  <sheetViews>
    <sheetView showGridLines="0" zoomScale="85" workbookViewId="0">
      <selection activeCell="B7" sqref="B7"/>
    </sheetView>
  </sheetViews>
  <sheetFormatPr defaultColWidth="0" defaultRowHeight="12.75" zeroHeight="1" x14ac:dyDescent="0.2"/>
  <cols>
    <col min="1" max="1" width="4.42578125" customWidth="1"/>
    <col min="2" max="2" width="15.28515625" customWidth="1"/>
    <col min="3" max="5" width="8" customWidth="1"/>
    <col min="6" max="6" width="4.42578125" customWidth="1"/>
    <col min="7" max="7" width="23.42578125" customWidth="1"/>
    <col min="8" max="9" width="8" customWidth="1"/>
    <col min="10" max="109" width="2.85546875" customWidth="1"/>
    <col min="110" max="110" width="9.140625" customWidth="1"/>
  </cols>
  <sheetData>
    <row r="1" spans="1:109" x14ac:dyDescent="0.2">
      <c r="A1" s="522" t="s">
        <v>136</v>
      </c>
      <c r="B1" s="523"/>
      <c r="C1" s="523"/>
      <c r="D1" s="523"/>
      <c r="E1" s="523"/>
      <c r="F1" s="523"/>
      <c r="G1" s="523"/>
      <c r="H1" s="523"/>
      <c r="I1" s="523"/>
      <c r="J1" s="523"/>
      <c r="K1" s="523"/>
      <c r="L1" s="523"/>
      <c r="M1" s="523"/>
      <c r="N1" s="523"/>
      <c r="O1" s="523"/>
      <c r="P1" s="523"/>
      <c r="Q1" s="523"/>
      <c r="R1" s="523"/>
      <c r="S1" s="523"/>
      <c r="T1" s="523"/>
      <c r="U1" s="523"/>
      <c r="V1" s="523"/>
      <c r="W1" s="523"/>
      <c r="X1" s="523"/>
      <c r="Y1" s="523"/>
      <c r="Z1" s="523"/>
      <c r="AA1" s="523"/>
      <c r="AB1" s="523"/>
      <c r="AC1" s="523"/>
      <c r="AD1" s="523"/>
      <c r="AE1" s="523"/>
      <c r="AF1" s="523"/>
      <c r="AG1" s="523"/>
      <c r="AH1" s="523"/>
      <c r="AI1" s="523"/>
      <c r="AJ1" s="523"/>
      <c r="AK1" s="523"/>
      <c r="AL1" s="523"/>
      <c r="AM1" s="523"/>
      <c r="AN1" s="523"/>
      <c r="AO1" s="523"/>
      <c r="AP1" s="523"/>
      <c r="AQ1" s="523"/>
      <c r="AR1" s="523"/>
      <c r="AS1" s="523"/>
      <c r="AT1" s="523"/>
      <c r="AU1" s="523"/>
      <c r="AV1" s="523"/>
      <c r="AW1" s="523"/>
      <c r="AX1" s="523"/>
      <c r="AY1" s="523"/>
      <c r="AZ1" s="523"/>
      <c r="BA1" s="523"/>
      <c r="BB1" s="523"/>
      <c r="BC1" s="523"/>
      <c r="BD1" s="523"/>
      <c r="BE1" s="523"/>
      <c r="BF1" s="523"/>
      <c r="BG1" s="523"/>
      <c r="BH1" s="523"/>
      <c r="BI1" s="523"/>
      <c r="BJ1" s="523"/>
      <c r="BK1" s="523"/>
      <c r="BL1" s="523"/>
      <c r="BM1" s="523"/>
      <c r="BN1" s="523"/>
      <c r="BO1" s="523"/>
      <c r="BP1" s="523"/>
      <c r="BQ1" s="523"/>
      <c r="BR1" s="523"/>
      <c r="BS1" s="523"/>
      <c r="BT1" s="523"/>
      <c r="BU1" s="523"/>
      <c r="BV1" s="523"/>
      <c r="BW1" s="523"/>
      <c r="BX1" s="523"/>
      <c r="BY1" s="523"/>
      <c r="BZ1" s="523"/>
      <c r="CA1" s="523"/>
      <c r="CB1" s="523"/>
      <c r="CC1" s="523"/>
      <c r="CD1" s="523"/>
      <c r="CE1" s="523"/>
      <c r="CF1" s="523"/>
      <c r="CG1" s="523"/>
      <c r="CH1" s="523"/>
      <c r="CI1" s="523"/>
      <c r="CJ1" s="523"/>
      <c r="CK1" s="523"/>
      <c r="CL1" s="523"/>
      <c r="CM1" s="523"/>
      <c r="CN1" s="523"/>
      <c r="CO1" s="523"/>
      <c r="CP1" s="523"/>
      <c r="CQ1" s="523"/>
      <c r="CR1" s="523"/>
      <c r="CS1" s="523"/>
      <c r="CT1" s="523"/>
      <c r="CU1" s="523"/>
      <c r="CV1" s="523"/>
      <c r="CW1" s="523"/>
      <c r="CX1" s="523"/>
      <c r="CY1" s="523"/>
      <c r="CZ1" s="523"/>
      <c r="DA1" s="523"/>
      <c r="DB1" s="523"/>
      <c r="DC1" s="523"/>
      <c r="DD1" s="523"/>
      <c r="DE1" s="524"/>
    </row>
    <row r="2" spans="1:109" ht="13.5" thickBot="1" x14ac:dyDescent="0.25">
      <c r="A2" s="525"/>
      <c r="B2" s="526"/>
      <c r="C2" s="526"/>
      <c r="D2" s="526"/>
      <c r="E2" s="526"/>
      <c r="F2" s="526"/>
      <c r="G2" s="526"/>
      <c r="H2" s="526"/>
      <c r="I2" s="526"/>
      <c r="J2" s="526"/>
      <c r="K2" s="526"/>
      <c r="L2" s="526"/>
      <c r="M2" s="526"/>
      <c r="N2" s="526"/>
      <c r="O2" s="526"/>
      <c r="P2" s="526"/>
      <c r="Q2" s="526"/>
      <c r="R2" s="526"/>
      <c r="S2" s="526"/>
      <c r="T2" s="526"/>
      <c r="U2" s="526"/>
      <c r="V2" s="526"/>
      <c r="W2" s="526"/>
      <c r="X2" s="526"/>
      <c r="Y2" s="526"/>
      <c r="Z2" s="526"/>
      <c r="AA2" s="526"/>
      <c r="AB2" s="526"/>
      <c r="AC2" s="526"/>
      <c r="AD2" s="526"/>
      <c r="AE2" s="526"/>
      <c r="AF2" s="526"/>
      <c r="AG2" s="526"/>
      <c r="AH2" s="526"/>
      <c r="AI2" s="526"/>
      <c r="AJ2" s="526"/>
      <c r="AK2" s="526"/>
      <c r="AL2" s="526"/>
      <c r="AM2" s="526"/>
      <c r="AN2" s="526"/>
      <c r="AO2" s="526"/>
      <c r="AP2" s="526"/>
      <c r="AQ2" s="526"/>
      <c r="AR2" s="526"/>
      <c r="AS2" s="526"/>
      <c r="AT2" s="526"/>
      <c r="AU2" s="526"/>
      <c r="AV2" s="526"/>
      <c r="AW2" s="526"/>
      <c r="AX2" s="526"/>
      <c r="AY2" s="526"/>
      <c r="AZ2" s="526"/>
      <c r="BA2" s="526"/>
      <c r="BB2" s="526"/>
      <c r="BC2" s="526"/>
      <c r="BD2" s="526"/>
      <c r="BE2" s="526"/>
      <c r="BF2" s="526"/>
      <c r="BG2" s="526"/>
      <c r="BH2" s="526"/>
      <c r="BI2" s="526"/>
      <c r="BJ2" s="526"/>
      <c r="BK2" s="526"/>
      <c r="BL2" s="526"/>
      <c r="BM2" s="526"/>
      <c r="BN2" s="526"/>
      <c r="BO2" s="526"/>
      <c r="BP2" s="526"/>
      <c r="BQ2" s="526"/>
      <c r="BR2" s="526"/>
      <c r="BS2" s="526"/>
      <c r="BT2" s="526"/>
      <c r="BU2" s="526"/>
      <c r="BV2" s="526"/>
      <c r="BW2" s="526"/>
      <c r="BX2" s="526"/>
      <c r="BY2" s="526"/>
      <c r="BZ2" s="526"/>
      <c r="CA2" s="526"/>
      <c r="CB2" s="526"/>
      <c r="CC2" s="526"/>
      <c r="CD2" s="526"/>
      <c r="CE2" s="526"/>
      <c r="CF2" s="526"/>
      <c r="CG2" s="526"/>
      <c r="CH2" s="526"/>
      <c r="CI2" s="526"/>
      <c r="CJ2" s="526"/>
      <c r="CK2" s="526"/>
      <c r="CL2" s="526"/>
      <c r="CM2" s="526"/>
      <c r="CN2" s="526"/>
      <c r="CO2" s="526"/>
      <c r="CP2" s="526"/>
      <c r="CQ2" s="526"/>
      <c r="CR2" s="526"/>
      <c r="CS2" s="526"/>
      <c r="CT2" s="526"/>
      <c r="CU2" s="526"/>
      <c r="CV2" s="526"/>
      <c r="CW2" s="526"/>
      <c r="CX2" s="526"/>
      <c r="CY2" s="526"/>
      <c r="CZ2" s="526"/>
      <c r="DA2" s="526"/>
      <c r="DB2" s="526"/>
      <c r="DC2" s="526"/>
      <c r="DD2" s="526"/>
      <c r="DE2" s="527"/>
    </row>
    <row r="3" spans="1:109" x14ac:dyDescent="0.2"/>
    <row r="4" spans="1:109" x14ac:dyDescent="0.2">
      <c r="B4" s="16" t="s">
        <v>137</v>
      </c>
      <c r="K4" s="357"/>
      <c r="L4" s="171"/>
      <c r="M4" s="171"/>
      <c r="N4" s="171"/>
      <c r="O4" s="171"/>
      <c r="P4" s="171"/>
      <c r="Q4" s="171"/>
      <c r="R4" s="171"/>
      <c r="S4" s="171"/>
      <c r="T4" s="171"/>
      <c r="U4" s="171"/>
    </row>
    <row r="5" spans="1:109" ht="13.5" thickBot="1" x14ac:dyDescent="0.25">
      <c r="B5" s="390" t="s">
        <v>138</v>
      </c>
      <c r="G5" s="156"/>
      <c r="H5" s="156"/>
      <c r="I5" s="156"/>
      <c r="J5" s="156"/>
    </row>
    <row r="6" spans="1:109" ht="27" customHeight="1" thickBot="1" x14ac:dyDescent="0.25">
      <c r="A6" s="358" t="s">
        <v>139</v>
      </c>
      <c r="B6" s="391" t="s">
        <v>140</v>
      </c>
      <c r="C6" s="358" t="s">
        <v>141</v>
      </c>
      <c r="D6" s="358" t="s">
        <v>142</v>
      </c>
      <c r="E6" s="358" t="s">
        <v>143</v>
      </c>
      <c r="G6" s="528" t="s">
        <v>144</v>
      </c>
      <c r="H6" s="531" t="s">
        <v>145</v>
      </c>
      <c r="I6" s="531" t="s">
        <v>104</v>
      </c>
      <c r="J6" s="515" t="s">
        <v>146</v>
      </c>
      <c r="K6" s="516"/>
      <c r="L6" s="516"/>
      <c r="M6" s="517"/>
      <c r="N6" s="517"/>
      <c r="O6" s="517"/>
      <c r="P6" s="517"/>
      <c r="Q6" s="517"/>
      <c r="R6" s="517"/>
      <c r="S6" s="517"/>
      <c r="T6" s="517"/>
      <c r="U6" s="517"/>
      <c r="V6" s="517"/>
      <c r="W6" s="517"/>
      <c r="X6" s="517"/>
      <c r="Y6" s="517"/>
      <c r="Z6" s="517"/>
      <c r="AA6" s="517"/>
      <c r="AB6" s="517"/>
      <c r="AC6" s="517"/>
      <c r="AD6" s="517"/>
      <c r="AE6" s="517"/>
      <c r="AF6" s="517"/>
      <c r="AG6" s="517"/>
      <c r="AH6" s="517"/>
      <c r="AI6" s="517"/>
      <c r="AJ6" s="517"/>
      <c r="AK6" s="517"/>
      <c r="AL6" s="517"/>
      <c r="AM6" s="517"/>
      <c r="AN6" s="517"/>
      <c r="AO6" s="517"/>
      <c r="AP6" s="517"/>
      <c r="AQ6" s="517"/>
      <c r="AR6" s="517"/>
      <c r="AS6" s="517"/>
      <c r="AT6" s="517"/>
      <c r="AU6" s="517"/>
      <c r="AV6" s="517"/>
      <c r="AW6" s="517"/>
      <c r="AX6" s="517"/>
      <c r="AY6" s="517"/>
      <c r="AZ6" s="517"/>
      <c r="BA6" s="517"/>
      <c r="BB6" s="517"/>
      <c r="BC6" s="517"/>
      <c r="BD6" s="517"/>
      <c r="BE6" s="517"/>
      <c r="BF6" s="517"/>
      <c r="BG6" s="517"/>
      <c r="BH6" s="517"/>
      <c r="BI6" s="517"/>
      <c r="BJ6" s="517"/>
      <c r="BK6" s="517"/>
      <c r="BL6" s="517"/>
      <c r="BM6" s="517"/>
      <c r="BN6" s="517"/>
      <c r="BO6" s="517"/>
      <c r="BP6" s="517"/>
      <c r="BQ6" s="517"/>
      <c r="BR6" s="517"/>
      <c r="BS6" s="517"/>
      <c r="BT6" s="517"/>
      <c r="BU6" s="517"/>
      <c r="BV6" s="517"/>
      <c r="BW6" s="517"/>
      <c r="BX6" s="517"/>
      <c r="BY6" s="517"/>
      <c r="BZ6" s="517"/>
      <c r="CA6" s="517"/>
      <c r="CB6" s="517"/>
      <c r="CC6" s="517"/>
      <c r="CD6" s="517"/>
      <c r="CE6" s="517"/>
      <c r="CF6" s="517"/>
      <c r="CG6" s="517"/>
      <c r="CH6" s="517"/>
      <c r="CI6" s="517"/>
      <c r="CJ6" s="517"/>
      <c r="CK6" s="517"/>
      <c r="CL6" s="517"/>
      <c r="CM6" s="517"/>
      <c r="CN6" s="517"/>
      <c r="CO6" s="517"/>
      <c r="CP6" s="517"/>
      <c r="CQ6" s="517"/>
      <c r="CR6" s="517"/>
      <c r="CS6" s="517"/>
      <c r="CT6" s="517"/>
      <c r="CU6" s="517"/>
      <c r="CV6" s="517"/>
      <c r="CW6" s="517"/>
      <c r="CX6" s="517"/>
      <c r="CY6" s="517"/>
      <c r="CZ6" s="517"/>
      <c r="DA6" s="517"/>
      <c r="DB6" s="517"/>
      <c r="DC6" s="517"/>
      <c r="DD6" s="517"/>
      <c r="DE6" s="518"/>
    </row>
    <row r="7" spans="1:109" ht="13.5" customHeight="1" x14ac:dyDescent="0.2">
      <c r="A7" s="354" t="s">
        <v>66</v>
      </c>
      <c r="B7" s="356"/>
      <c r="C7" s="367"/>
      <c r="D7" s="367"/>
      <c r="E7" s="367"/>
      <c r="G7" s="529"/>
      <c r="H7" s="532"/>
      <c r="I7" s="532"/>
      <c r="J7" s="519"/>
      <c r="K7" s="508"/>
      <c r="L7" s="511"/>
      <c r="M7" s="508"/>
      <c r="N7" s="511"/>
      <c r="O7" s="508"/>
      <c r="P7" s="511"/>
      <c r="Q7" s="508"/>
      <c r="R7" s="511"/>
      <c r="S7" s="508"/>
      <c r="T7" s="511"/>
      <c r="U7" s="508"/>
      <c r="V7" s="511"/>
      <c r="W7" s="508"/>
      <c r="X7" s="511"/>
      <c r="Y7" s="508"/>
      <c r="Z7" s="511"/>
      <c r="AA7" s="508"/>
      <c r="AB7" s="511"/>
      <c r="AC7" s="508"/>
      <c r="AD7" s="511"/>
      <c r="AE7" s="508"/>
      <c r="AF7" s="511"/>
      <c r="AG7" s="508"/>
      <c r="AH7" s="511"/>
      <c r="AI7" s="508"/>
      <c r="AJ7" s="511"/>
      <c r="AK7" s="508"/>
      <c r="AL7" s="511"/>
      <c r="AM7" s="508"/>
      <c r="AN7" s="511"/>
      <c r="AO7" s="508"/>
      <c r="AP7" s="511"/>
      <c r="AQ7" s="508"/>
      <c r="AR7" s="511"/>
      <c r="AS7" s="508"/>
      <c r="AT7" s="511"/>
      <c r="AU7" s="508"/>
      <c r="AV7" s="511"/>
      <c r="AW7" s="508"/>
      <c r="AX7" s="511"/>
      <c r="AY7" s="508"/>
      <c r="AZ7" s="511"/>
      <c r="BA7" s="508"/>
      <c r="BB7" s="511"/>
      <c r="BC7" s="508"/>
      <c r="BD7" s="511"/>
      <c r="BE7" s="508"/>
      <c r="BF7" s="511"/>
      <c r="BG7" s="508"/>
      <c r="BH7" s="511"/>
      <c r="BI7" s="508"/>
      <c r="BJ7" s="511"/>
      <c r="BK7" s="508"/>
      <c r="BL7" s="511"/>
      <c r="BM7" s="508"/>
      <c r="BN7" s="511"/>
      <c r="BO7" s="508"/>
      <c r="BP7" s="511"/>
      <c r="BQ7" s="508"/>
      <c r="BR7" s="511"/>
      <c r="BS7" s="508"/>
      <c r="BT7" s="511"/>
      <c r="BU7" s="508"/>
      <c r="BV7" s="511"/>
      <c r="BW7" s="508"/>
      <c r="BX7" s="511"/>
      <c r="BY7" s="508"/>
      <c r="BZ7" s="511"/>
      <c r="CA7" s="508"/>
      <c r="CB7" s="511"/>
      <c r="CC7" s="508"/>
      <c r="CD7" s="511"/>
      <c r="CE7" s="508"/>
      <c r="CF7" s="511"/>
      <c r="CG7" s="508"/>
      <c r="CH7" s="511"/>
      <c r="CI7" s="508"/>
      <c r="CJ7" s="511"/>
      <c r="CK7" s="508"/>
      <c r="CL7" s="511"/>
      <c r="CM7" s="508"/>
      <c r="CN7" s="511"/>
      <c r="CO7" s="508"/>
      <c r="CP7" s="511"/>
      <c r="CQ7" s="508"/>
      <c r="CR7" s="511"/>
      <c r="CS7" s="508"/>
      <c r="CT7" s="511"/>
      <c r="CU7" s="508"/>
      <c r="CV7" s="511"/>
      <c r="CW7" s="508"/>
      <c r="CX7" s="511"/>
      <c r="CY7" s="508"/>
      <c r="CZ7" s="511"/>
      <c r="DA7" s="508"/>
      <c r="DB7" s="511"/>
      <c r="DC7" s="508"/>
      <c r="DD7" s="511"/>
      <c r="DE7" s="512"/>
    </row>
    <row r="8" spans="1:109" ht="13.5" customHeight="1" x14ac:dyDescent="0.2">
      <c r="A8" s="354" t="s">
        <v>67</v>
      </c>
      <c r="B8" s="356"/>
      <c r="C8" s="354"/>
      <c r="D8" s="354"/>
      <c r="E8" s="354"/>
      <c r="G8" s="529"/>
      <c r="H8" s="532"/>
      <c r="I8" s="532"/>
      <c r="J8" s="520"/>
      <c r="K8" s="509"/>
      <c r="L8" s="509"/>
      <c r="M8" s="509"/>
      <c r="N8" s="509"/>
      <c r="O8" s="509"/>
      <c r="P8" s="509"/>
      <c r="Q8" s="509"/>
      <c r="R8" s="509"/>
      <c r="S8" s="509"/>
      <c r="T8" s="509"/>
      <c r="U8" s="509"/>
      <c r="V8" s="509"/>
      <c r="W8" s="509"/>
      <c r="X8" s="509"/>
      <c r="Y8" s="509"/>
      <c r="Z8" s="509"/>
      <c r="AA8" s="509"/>
      <c r="AB8" s="509"/>
      <c r="AC8" s="509"/>
      <c r="AD8" s="509"/>
      <c r="AE8" s="509"/>
      <c r="AF8" s="509"/>
      <c r="AG8" s="509"/>
      <c r="AH8" s="509"/>
      <c r="AI8" s="509"/>
      <c r="AJ8" s="509"/>
      <c r="AK8" s="509"/>
      <c r="AL8" s="509"/>
      <c r="AM8" s="509"/>
      <c r="AN8" s="509"/>
      <c r="AO8" s="509"/>
      <c r="AP8" s="509"/>
      <c r="AQ8" s="509"/>
      <c r="AR8" s="509"/>
      <c r="AS8" s="509"/>
      <c r="AT8" s="509"/>
      <c r="AU8" s="509"/>
      <c r="AV8" s="509"/>
      <c r="AW8" s="509"/>
      <c r="AX8" s="509"/>
      <c r="AY8" s="509"/>
      <c r="AZ8" s="509"/>
      <c r="BA8" s="509"/>
      <c r="BB8" s="509"/>
      <c r="BC8" s="509"/>
      <c r="BD8" s="509"/>
      <c r="BE8" s="509"/>
      <c r="BF8" s="509"/>
      <c r="BG8" s="509"/>
      <c r="BH8" s="509"/>
      <c r="BI8" s="509"/>
      <c r="BJ8" s="509"/>
      <c r="BK8" s="509"/>
      <c r="BL8" s="509"/>
      <c r="BM8" s="509"/>
      <c r="BN8" s="509"/>
      <c r="BO8" s="509"/>
      <c r="BP8" s="509"/>
      <c r="BQ8" s="509"/>
      <c r="BR8" s="509"/>
      <c r="BS8" s="509"/>
      <c r="BT8" s="509"/>
      <c r="BU8" s="509"/>
      <c r="BV8" s="509"/>
      <c r="BW8" s="509"/>
      <c r="BX8" s="509"/>
      <c r="BY8" s="509"/>
      <c r="BZ8" s="509"/>
      <c r="CA8" s="509"/>
      <c r="CB8" s="509"/>
      <c r="CC8" s="509"/>
      <c r="CD8" s="509"/>
      <c r="CE8" s="509"/>
      <c r="CF8" s="509"/>
      <c r="CG8" s="509"/>
      <c r="CH8" s="509"/>
      <c r="CI8" s="509"/>
      <c r="CJ8" s="509"/>
      <c r="CK8" s="509"/>
      <c r="CL8" s="509"/>
      <c r="CM8" s="509"/>
      <c r="CN8" s="509"/>
      <c r="CO8" s="509"/>
      <c r="CP8" s="509"/>
      <c r="CQ8" s="509"/>
      <c r="CR8" s="509"/>
      <c r="CS8" s="509"/>
      <c r="CT8" s="509"/>
      <c r="CU8" s="509"/>
      <c r="CV8" s="509"/>
      <c r="CW8" s="509"/>
      <c r="CX8" s="509"/>
      <c r="CY8" s="509"/>
      <c r="CZ8" s="509"/>
      <c r="DA8" s="509"/>
      <c r="DB8" s="509"/>
      <c r="DC8" s="509"/>
      <c r="DD8" s="509"/>
      <c r="DE8" s="513"/>
    </row>
    <row r="9" spans="1:109" ht="13.5" customHeight="1" x14ac:dyDescent="0.2">
      <c r="A9" s="354" t="s">
        <v>68</v>
      </c>
      <c r="B9" s="356"/>
      <c r="C9" s="354"/>
      <c r="D9" s="354"/>
      <c r="E9" s="354"/>
      <c r="G9" s="529"/>
      <c r="H9" s="532"/>
      <c r="I9" s="532"/>
      <c r="J9" s="520"/>
      <c r="K9" s="509"/>
      <c r="L9" s="509"/>
      <c r="M9" s="509"/>
      <c r="N9" s="509"/>
      <c r="O9" s="509"/>
      <c r="P9" s="509"/>
      <c r="Q9" s="509"/>
      <c r="R9" s="509"/>
      <c r="S9" s="509"/>
      <c r="T9" s="509"/>
      <c r="U9" s="509"/>
      <c r="V9" s="509"/>
      <c r="W9" s="509"/>
      <c r="X9" s="509"/>
      <c r="Y9" s="509"/>
      <c r="Z9" s="509"/>
      <c r="AA9" s="509"/>
      <c r="AB9" s="509"/>
      <c r="AC9" s="509"/>
      <c r="AD9" s="509"/>
      <c r="AE9" s="509"/>
      <c r="AF9" s="509"/>
      <c r="AG9" s="509"/>
      <c r="AH9" s="509"/>
      <c r="AI9" s="509"/>
      <c r="AJ9" s="509"/>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13"/>
    </row>
    <row r="10" spans="1:109" ht="13.5" customHeight="1" x14ac:dyDescent="0.2">
      <c r="A10" s="354" t="s">
        <v>69</v>
      </c>
      <c r="B10" s="356"/>
      <c r="C10" s="354"/>
      <c r="D10" s="354"/>
      <c r="E10" s="354"/>
      <c r="G10" s="529"/>
      <c r="H10" s="532"/>
      <c r="I10" s="532"/>
      <c r="J10" s="520"/>
      <c r="K10" s="509"/>
      <c r="L10" s="509"/>
      <c r="M10" s="509"/>
      <c r="N10" s="509"/>
      <c r="O10" s="509"/>
      <c r="P10" s="509"/>
      <c r="Q10" s="509"/>
      <c r="R10" s="509"/>
      <c r="S10" s="509"/>
      <c r="T10" s="509"/>
      <c r="U10" s="509"/>
      <c r="V10" s="509"/>
      <c r="W10" s="509"/>
      <c r="X10" s="509"/>
      <c r="Y10" s="509"/>
      <c r="Z10" s="509"/>
      <c r="AA10" s="509"/>
      <c r="AB10" s="509"/>
      <c r="AC10" s="509"/>
      <c r="AD10" s="509"/>
      <c r="AE10" s="509"/>
      <c r="AF10" s="509"/>
      <c r="AG10" s="509"/>
      <c r="AH10" s="509"/>
      <c r="AI10" s="509"/>
      <c r="AJ10" s="509"/>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13"/>
    </row>
    <row r="11" spans="1:109" ht="13.5" customHeight="1" thickBot="1" x14ac:dyDescent="0.25">
      <c r="A11" s="354" t="s">
        <v>70</v>
      </c>
      <c r="B11" s="356"/>
      <c r="C11" s="354"/>
      <c r="D11" s="354"/>
      <c r="E11" s="354"/>
      <c r="G11" s="530"/>
      <c r="H11" s="533"/>
      <c r="I11" s="533"/>
      <c r="J11" s="521"/>
      <c r="K11" s="510"/>
      <c r="L11" s="510"/>
      <c r="M11" s="510"/>
      <c r="N11" s="510"/>
      <c r="O11" s="510"/>
      <c r="P11" s="510"/>
      <c r="Q11" s="510"/>
      <c r="R11" s="510"/>
      <c r="S11" s="510"/>
      <c r="T11" s="510"/>
      <c r="U11" s="510"/>
      <c r="V11" s="510"/>
      <c r="W11" s="510"/>
      <c r="X11" s="510"/>
      <c r="Y11" s="510"/>
      <c r="Z11" s="510"/>
      <c r="AA11" s="510"/>
      <c r="AB11" s="510"/>
      <c r="AC11" s="510"/>
      <c r="AD11" s="510"/>
      <c r="AE11" s="510"/>
      <c r="AF11" s="510"/>
      <c r="AG11" s="510"/>
      <c r="AH11" s="510"/>
      <c r="AI11" s="510"/>
      <c r="AJ11" s="510"/>
      <c r="AK11" s="510"/>
      <c r="AL11" s="510"/>
      <c r="AM11" s="510"/>
      <c r="AN11" s="510"/>
      <c r="AO11" s="510"/>
      <c r="AP11" s="510"/>
      <c r="AQ11" s="510"/>
      <c r="AR11" s="510"/>
      <c r="AS11" s="510"/>
      <c r="AT11" s="510"/>
      <c r="AU11" s="510"/>
      <c r="AV11" s="510"/>
      <c r="AW11" s="510"/>
      <c r="AX11" s="510"/>
      <c r="AY11" s="510"/>
      <c r="AZ11" s="510"/>
      <c r="BA11" s="510"/>
      <c r="BB11" s="510"/>
      <c r="BC11" s="510"/>
      <c r="BD11" s="510"/>
      <c r="BE11" s="510"/>
      <c r="BF11" s="510"/>
      <c r="BG11" s="510"/>
      <c r="BH11" s="510"/>
      <c r="BI11" s="510"/>
      <c r="BJ11" s="510"/>
      <c r="BK11" s="510"/>
      <c r="BL11" s="510"/>
      <c r="BM11" s="510"/>
      <c r="BN11" s="510"/>
      <c r="BO11" s="510"/>
      <c r="BP11" s="510"/>
      <c r="BQ11" s="510"/>
      <c r="BR11" s="510"/>
      <c r="BS11" s="510"/>
      <c r="BT11" s="510"/>
      <c r="BU11" s="510"/>
      <c r="BV11" s="510"/>
      <c r="BW11" s="510"/>
      <c r="BX11" s="510"/>
      <c r="BY11" s="510"/>
      <c r="BZ11" s="510"/>
      <c r="CA11" s="510"/>
      <c r="CB11" s="510"/>
      <c r="CC11" s="510"/>
      <c r="CD11" s="510"/>
      <c r="CE11" s="510"/>
      <c r="CF11" s="510"/>
      <c r="CG11" s="510"/>
      <c r="CH11" s="510"/>
      <c r="CI11" s="510"/>
      <c r="CJ11" s="510"/>
      <c r="CK11" s="510"/>
      <c r="CL11" s="510"/>
      <c r="CM11" s="510"/>
      <c r="CN11" s="510"/>
      <c r="CO11" s="510"/>
      <c r="CP11" s="510"/>
      <c r="CQ11" s="510"/>
      <c r="CR11" s="510"/>
      <c r="CS11" s="510"/>
      <c r="CT11" s="510"/>
      <c r="CU11" s="510"/>
      <c r="CV11" s="510"/>
      <c r="CW11" s="510"/>
      <c r="CX11" s="510"/>
      <c r="CY11" s="510"/>
      <c r="CZ11" s="510"/>
      <c r="DA11" s="510"/>
      <c r="DB11" s="510"/>
      <c r="DC11" s="510"/>
      <c r="DD11" s="510"/>
      <c r="DE11" s="514"/>
    </row>
    <row r="12" spans="1:109" ht="13.5" customHeight="1" x14ac:dyDescent="0.2">
      <c r="A12" s="354" t="s">
        <v>71</v>
      </c>
      <c r="B12" s="356"/>
      <c r="C12" s="354"/>
      <c r="D12" s="354"/>
      <c r="E12" s="354"/>
      <c r="G12" s="385"/>
      <c r="H12" s="378"/>
      <c r="I12" s="378"/>
      <c r="J12" s="379"/>
      <c r="K12" s="380"/>
      <c r="L12" s="381"/>
      <c r="M12" s="382"/>
      <c r="N12" s="381"/>
      <c r="O12" s="382"/>
      <c r="P12" s="381"/>
      <c r="Q12" s="382"/>
      <c r="R12" s="381"/>
      <c r="S12" s="382"/>
      <c r="T12" s="381"/>
      <c r="U12" s="382"/>
      <c r="V12" s="381"/>
      <c r="W12" s="382"/>
      <c r="X12" s="381"/>
      <c r="Y12" s="382"/>
      <c r="Z12" s="381"/>
      <c r="AA12" s="382"/>
      <c r="AB12" s="381"/>
      <c r="AC12" s="382"/>
      <c r="AD12" s="381"/>
      <c r="AE12" s="382"/>
      <c r="AF12" s="381"/>
      <c r="AG12" s="382"/>
      <c r="AH12" s="381"/>
      <c r="AI12" s="382"/>
      <c r="AJ12" s="381"/>
      <c r="AK12" s="382"/>
      <c r="AL12" s="381"/>
      <c r="AM12" s="382"/>
      <c r="AN12" s="381"/>
      <c r="AO12" s="382"/>
      <c r="AP12" s="381"/>
      <c r="AQ12" s="382"/>
      <c r="AR12" s="381"/>
      <c r="AS12" s="382"/>
      <c r="AT12" s="381"/>
      <c r="AU12" s="382"/>
      <c r="AV12" s="381"/>
      <c r="AW12" s="382"/>
      <c r="AX12" s="381"/>
      <c r="AY12" s="382"/>
      <c r="AZ12" s="381"/>
      <c r="BA12" s="382"/>
      <c r="BB12" s="381"/>
      <c r="BC12" s="382"/>
      <c r="BD12" s="381"/>
      <c r="BE12" s="382"/>
      <c r="BF12" s="381"/>
      <c r="BG12" s="382"/>
      <c r="BH12" s="381"/>
      <c r="BI12" s="382"/>
      <c r="BJ12" s="381"/>
      <c r="BK12" s="382"/>
      <c r="BL12" s="381"/>
      <c r="BM12" s="382"/>
      <c r="BN12" s="381"/>
      <c r="BO12" s="382"/>
      <c r="BP12" s="381"/>
      <c r="BQ12" s="382"/>
      <c r="BR12" s="381"/>
      <c r="BS12" s="382"/>
      <c r="BT12" s="381"/>
      <c r="BU12" s="382"/>
      <c r="BV12" s="381"/>
      <c r="BW12" s="382"/>
      <c r="BX12" s="381"/>
      <c r="BY12" s="382"/>
      <c r="BZ12" s="381"/>
      <c r="CA12" s="382"/>
      <c r="CB12" s="381"/>
      <c r="CC12" s="382"/>
      <c r="CD12" s="381"/>
      <c r="CE12" s="382"/>
      <c r="CF12" s="381"/>
      <c r="CG12" s="382"/>
      <c r="CH12" s="381"/>
      <c r="CI12" s="382"/>
      <c r="CJ12" s="381"/>
      <c r="CK12" s="382"/>
      <c r="CL12" s="381"/>
      <c r="CM12" s="382"/>
      <c r="CN12" s="381"/>
      <c r="CO12" s="382"/>
      <c r="CP12" s="381"/>
      <c r="CQ12" s="382"/>
      <c r="CR12" s="381"/>
      <c r="CS12" s="382"/>
      <c r="CT12" s="381"/>
      <c r="CU12" s="382"/>
      <c r="CV12" s="381"/>
      <c r="CW12" s="382"/>
      <c r="CX12" s="381"/>
      <c r="CY12" s="382"/>
      <c r="CZ12" s="381"/>
      <c r="DA12" s="382"/>
      <c r="DB12" s="381"/>
      <c r="DC12" s="382"/>
      <c r="DD12" s="381"/>
      <c r="DE12" s="383"/>
    </row>
    <row r="13" spans="1:109" ht="13.5" customHeight="1" x14ac:dyDescent="0.2">
      <c r="A13" s="354" t="s">
        <v>72</v>
      </c>
      <c r="B13" s="356"/>
      <c r="C13" s="354"/>
      <c r="D13" s="354"/>
      <c r="E13" s="354"/>
      <c r="G13" s="384"/>
      <c r="H13" s="364"/>
      <c r="I13" s="364"/>
      <c r="J13" s="365"/>
      <c r="K13" s="359"/>
      <c r="L13" s="365"/>
      <c r="M13" s="359"/>
      <c r="N13" s="365"/>
      <c r="O13" s="359"/>
      <c r="P13" s="365"/>
      <c r="Q13" s="359"/>
      <c r="R13" s="365"/>
      <c r="S13" s="359"/>
      <c r="T13" s="365"/>
      <c r="U13" s="359"/>
      <c r="V13" s="365"/>
      <c r="W13" s="359"/>
      <c r="X13" s="365"/>
      <c r="Y13" s="359"/>
      <c r="Z13" s="365"/>
      <c r="AA13" s="359"/>
      <c r="AB13" s="365"/>
      <c r="AC13" s="359"/>
      <c r="AD13" s="365"/>
      <c r="AE13" s="359"/>
      <c r="AF13" s="365"/>
      <c r="AG13" s="359"/>
      <c r="AH13" s="365"/>
      <c r="AI13" s="359"/>
      <c r="AJ13" s="365"/>
      <c r="AK13" s="359"/>
      <c r="AL13" s="365"/>
      <c r="AM13" s="359"/>
      <c r="AN13" s="365"/>
      <c r="AO13" s="359"/>
      <c r="AP13" s="365"/>
      <c r="AQ13" s="359"/>
      <c r="AR13" s="365"/>
      <c r="AS13" s="359"/>
      <c r="AT13" s="365"/>
      <c r="AU13" s="359"/>
      <c r="AV13" s="365"/>
      <c r="AW13" s="359"/>
      <c r="AX13" s="365"/>
      <c r="AY13" s="359"/>
      <c r="AZ13" s="365"/>
      <c r="BA13" s="359"/>
      <c r="BB13" s="365"/>
      <c r="BC13" s="359"/>
      <c r="BD13" s="365"/>
      <c r="BE13" s="359"/>
      <c r="BF13" s="365"/>
      <c r="BG13" s="359"/>
      <c r="BH13" s="365"/>
      <c r="BI13" s="359"/>
      <c r="BJ13" s="365"/>
      <c r="BK13" s="359"/>
      <c r="BL13" s="365"/>
      <c r="BM13" s="359"/>
      <c r="BN13" s="365"/>
      <c r="BO13" s="359"/>
      <c r="BP13" s="365"/>
      <c r="BQ13" s="359"/>
      <c r="BR13" s="365"/>
      <c r="BS13" s="359"/>
      <c r="BT13" s="365"/>
      <c r="BU13" s="359"/>
      <c r="BV13" s="365"/>
      <c r="BW13" s="359"/>
      <c r="BX13" s="365"/>
      <c r="BY13" s="359"/>
      <c r="BZ13" s="365"/>
      <c r="CA13" s="359"/>
      <c r="CB13" s="365"/>
      <c r="CC13" s="359"/>
      <c r="CD13" s="365"/>
      <c r="CE13" s="359"/>
      <c r="CF13" s="365"/>
      <c r="CG13" s="359"/>
      <c r="CH13" s="365"/>
      <c r="CI13" s="359"/>
      <c r="CJ13" s="365"/>
      <c r="CK13" s="359"/>
      <c r="CL13" s="365"/>
      <c r="CM13" s="359"/>
      <c r="CN13" s="365"/>
      <c r="CO13" s="359"/>
      <c r="CP13" s="365"/>
      <c r="CQ13" s="359"/>
      <c r="CR13" s="365"/>
      <c r="CS13" s="359"/>
      <c r="CT13" s="365"/>
      <c r="CU13" s="359"/>
      <c r="CV13" s="365"/>
      <c r="CW13" s="359"/>
      <c r="CX13" s="365"/>
      <c r="CY13" s="359"/>
      <c r="CZ13" s="365"/>
      <c r="DA13" s="359"/>
      <c r="DB13" s="365"/>
      <c r="DC13" s="359"/>
      <c r="DD13" s="365"/>
      <c r="DE13" s="368"/>
    </row>
    <row r="14" spans="1:109" ht="13.5" customHeight="1" x14ac:dyDescent="0.2">
      <c r="A14" s="354" t="s">
        <v>73</v>
      </c>
      <c r="B14" s="356"/>
      <c r="C14" s="354"/>
      <c r="D14" s="354"/>
      <c r="E14" s="354"/>
      <c r="G14" s="385"/>
      <c r="H14" s="364"/>
      <c r="I14" s="364"/>
      <c r="J14" s="365"/>
      <c r="K14" s="359"/>
      <c r="L14" s="365"/>
      <c r="M14" s="359"/>
      <c r="N14" s="365"/>
      <c r="O14" s="359"/>
      <c r="P14" s="365"/>
      <c r="Q14" s="359"/>
      <c r="R14" s="365"/>
      <c r="S14" s="359"/>
      <c r="T14" s="365"/>
      <c r="U14" s="359"/>
      <c r="V14" s="365"/>
      <c r="W14" s="359"/>
      <c r="X14" s="365"/>
      <c r="Y14" s="359"/>
      <c r="Z14" s="365"/>
      <c r="AA14" s="359"/>
      <c r="AB14" s="365"/>
      <c r="AC14" s="359"/>
      <c r="AD14" s="365"/>
      <c r="AE14" s="359"/>
      <c r="AF14" s="365"/>
      <c r="AG14" s="359"/>
      <c r="AH14" s="365"/>
      <c r="AI14" s="359"/>
      <c r="AJ14" s="365"/>
      <c r="AK14" s="359"/>
      <c r="AL14" s="365"/>
      <c r="AM14" s="359"/>
      <c r="AN14" s="365"/>
      <c r="AO14" s="359"/>
      <c r="AP14" s="365"/>
      <c r="AQ14" s="359"/>
      <c r="AR14" s="365"/>
      <c r="AS14" s="359"/>
      <c r="AT14" s="365"/>
      <c r="AU14" s="359"/>
      <c r="AV14" s="365"/>
      <c r="AW14" s="359"/>
      <c r="AX14" s="365"/>
      <c r="AY14" s="359"/>
      <c r="AZ14" s="365"/>
      <c r="BA14" s="359"/>
      <c r="BB14" s="365"/>
      <c r="BC14" s="359"/>
      <c r="BD14" s="365"/>
      <c r="BE14" s="359"/>
      <c r="BF14" s="365"/>
      <c r="BG14" s="359"/>
      <c r="BH14" s="365"/>
      <c r="BI14" s="359"/>
      <c r="BJ14" s="365"/>
      <c r="BK14" s="359"/>
      <c r="BL14" s="365"/>
      <c r="BM14" s="359"/>
      <c r="BN14" s="365"/>
      <c r="BO14" s="359"/>
      <c r="BP14" s="365"/>
      <c r="BQ14" s="359"/>
      <c r="BR14" s="365"/>
      <c r="BS14" s="359"/>
      <c r="BT14" s="365"/>
      <c r="BU14" s="359"/>
      <c r="BV14" s="365"/>
      <c r="BW14" s="359"/>
      <c r="BX14" s="365"/>
      <c r="BY14" s="359"/>
      <c r="BZ14" s="365"/>
      <c r="CA14" s="359"/>
      <c r="CB14" s="365"/>
      <c r="CC14" s="359"/>
      <c r="CD14" s="365"/>
      <c r="CE14" s="359"/>
      <c r="CF14" s="365"/>
      <c r="CG14" s="359"/>
      <c r="CH14" s="365"/>
      <c r="CI14" s="359"/>
      <c r="CJ14" s="365"/>
      <c r="CK14" s="359"/>
      <c r="CL14" s="365"/>
      <c r="CM14" s="359"/>
      <c r="CN14" s="365"/>
      <c r="CO14" s="359"/>
      <c r="CP14" s="365"/>
      <c r="CQ14" s="359"/>
      <c r="CR14" s="365"/>
      <c r="CS14" s="359"/>
      <c r="CT14" s="365"/>
      <c r="CU14" s="359"/>
      <c r="CV14" s="365"/>
      <c r="CW14" s="359"/>
      <c r="CX14" s="365"/>
      <c r="CY14" s="359"/>
      <c r="CZ14" s="365"/>
      <c r="DA14" s="359"/>
      <c r="DB14" s="365"/>
      <c r="DC14" s="359"/>
      <c r="DD14" s="365"/>
      <c r="DE14" s="368"/>
    </row>
    <row r="15" spans="1:109" ht="13.5" customHeight="1" x14ac:dyDescent="0.2">
      <c r="A15" s="354" t="s">
        <v>74</v>
      </c>
      <c r="B15" s="356"/>
      <c r="C15" s="354"/>
      <c r="D15" s="354"/>
      <c r="E15" s="354"/>
      <c r="G15" s="384"/>
      <c r="H15" s="364"/>
      <c r="I15" s="364"/>
      <c r="J15" s="365"/>
      <c r="K15" s="359"/>
      <c r="L15" s="365"/>
      <c r="M15" s="359"/>
      <c r="N15" s="365"/>
      <c r="O15" s="359"/>
      <c r="P15" s="365"/>
      <c r="Q15" s="359"/>
      <c r="R15" s="365"/>
      <c r="S15" s="359"/>
      <c r="T15" s="365"/>
      <c r="U15" s="359"/>
      <c r="V15" s="365"/>
      <c r="W15" s="359"/>
      <c r="X15" s="365"/>
      <c r="Y15" s="359"/>
      <c r="Z15" s="365"/>
      <c r="AA15" s="359"/>
      <c r="AB15" s="365"/>
      <c r="AC15" s="359"/>
      <c r="AD15" s="365"/>
      <c r="AE15" s="359"/>
      <c r="AF15" s="365"/>
      <c r="AG15" s="359"/>
      <c r="AH15" s="365"/>
      <c r="AI15" s="359"/>
      <c r="AJ15" s="365"/>
      <c r="AK15" s="359"/>
      <c r="AL15" s="365"/>
      <c r="AM15" s="359"/>
      <c r="AN15" s="365"/>
      <c r="AO15" s="359"/>
      <c r="AP15" s="365"/>
      <c r="AQ15" s="359"/>
      <c r="AR15" s="365"/>
      <c r="AS15" s="359"/>
      <c r="AT15" s="365"/>
      <c r="AU15" s="359"/>
      <c r="AV15" s="365"/>
      <c r="AW15" s="359"/>
      <c r="AX15" s="365"/>
      <c r="AY15" s="359"/>
      <c r="AZ15" s="365"/>
      <c r="BA15" s="359"/>
      <c r="BB15" s="365"/>
      <c r="BC15" s="359"/>
      <c r="BD15" s="365"/>
      <c r="BE15" s="359"/>
      <c r="BF15" s="365"/>
      <c r="BG15" s="359"/>
      <c r="BH15" s="365"/>
      <c r="BI15" s="359"/>
      <c r="BJ15" s="365"/>
      <c r="BK15" s="359"/>
      <c r="BL15" s="365"/>
      <c r="BM15" s="359"/>
      <c r="BN15" s="365"/>
      <c r="BO15" s="359"/>
      <c r="BP15" s="365"/>
      <c r="BQ15" s="359"/>
      <c r="BR15" s="365"/>
      <c r="BS15" s="359"/>
      <c r="BT15" s="365"/>
      <c r="BU15" s="359"/>
      <c r="BV15" s="365"/>
      <c r="BW15" s="359"/>
      <c r="BX15" s="365"/>
      <c r="BY15" s="359"/>
      <c r="BZ15" s="365"/>
      <c r="CA15" s="359"/>
      <c r="CB15" s="365"/>
      <c r="CC15" s="359"/>
      <c r="CD15" s="365"/>
      <c r="CE15" s="359"/>
      <c r="CF15" s="365"/>
      <c r="CG15" s="359"/>
      <c r="CH15" s="365"/>
      <c r="CI15" s="359"/>
      <c r="CJ15" s="365"/>
      <c r="CK15" s="359"/>
      <c r="CL15" s="365"/>
      <c r="CM15" s="359"/>
      <c r="CN15" s="365"/>
      <c r="CO15" s="359"/>
      <c r="CP15" s="365"/>
      <c r="CQ15" s="359"/>
      <c r="CR15" s="365"/>
      <c r="CS15" s="359"/>
      <c r="CT15" s="365"/>
      <c r="CU15" s="359"/>
      <c r="CV15" s="365"/>
      <c r="CW15" s="359"/>
      <c r="CX15" s="365"/>
      <c r="CY15" s="359"/>
      <c r="CZ15" s="365"/>
      <c r="DA15" s="359"/>
      <c r="DB15" s="365"/>
      <c r="DC15" s="359"/>
      <c r="DD15" s="365"/>
      <c r="DE15" s="368"/>
    </row>
    <row r="16" spans="1:109" ht="13.5" customHeight="1" x14ac:dyDescent="0.2">
      <c r="A16" s="354" t="s">
        <v>75</v>
      </c>
      <c r="B16" s="402"/>
      <c r="C16" s="354"/>
      <c r="D16" s="354"/>
      <c r="E16" s="354"/>
      <c r="G16" s="384"/>
      <c r="H16" s="364"/>
      <c r="I16" s="364"/>
      <c r="J16" s="365"/>
      <c r="K16" s="360"/>
      <c r="L16" s="365"/>
      <c r="M16" s="359"/>
      <c r="N16" s="365"/>
      <c r="O16" s="359"/>
      <c r="P16" s="365"/>
      <c r="Q16" s="359"/>
      <c r="R16" s="365"/>
      <c r="S16" s="359"/>
      <c r="T16" s="365"/>
      <c r="U16" s="359"/>
      <c r="V16" s="365"/>
      <c r="W16" s="359"/>
      <c r="X16" s="365"/>
      <c r="Y16" s="359"/>
      <c r="Z16" s="365"/>
      <c r="AA16" s="359"/>
      <c r="AB16" s="365"/>
      <c r="AC16" s="359"/>
      <c r="AD16" s="365"/>
      <c r="AE16" s="359"/>
      <c r="AF16" s="365"/>
      <c r="AG16" s="359"/>
      <c r="AH16" s="365"/>
      <c r="AI16" s="359"/>
      <c r="AJ16" s="365"/>
      <c r="AK16" s="359"/>
      <c r="AL16" s="365"/>
      <c r="AM16" s="359"/>
      <c r="AN16" s="365"/>
      <c r="AO16" s="359"/>
      <c r="AP16" s="365"/>
      <c r="AQ16" s="359"/>
      <c r="AR16" s="365"/>
      <c r="AS16" s="359"/>
      <c r="AT16" s="365"/>
      <c r="AU16" s="359"/>
      <c r="AV16" s="365"/>
      <c r="AW16" s="359"/>
      <c r="AX16" s="365"/>
      <c r="AY16" s="359"/>
      <c r="AZ16" s="365"/>
      <c r="BA16" s="359"/>
      <c r="BB16" s="365"/>
      <c r="BC16" s="359"/>
      <c r="BD16" s="365"/>
      <c r="BE16" s="359"/>
      <c r="BF16" s="365"/>
      <c r="BG16" s="359"/>
      <c r="BH16" s="365"/>
      <c r="BI16" s="359"/>
      <c r="BJ16" s="365"/>
      <c r="BK16" s="359"/>
      <c r="BL16" s="365"/>
      <c r="BM16" s="359"/>
      <c r="BN16" s="365"/>
      <c r="BO16" s="359"/>
      <c r="BP16" s="365"/>
      <c r="BQ16" s="359"/>
      <c r="BR16" s="365"/>
      <c r="BS16" s="359"/>
      <c r="BT16" s="365"/>
      <c r="BU16" s="359"/>
      <c r="BV16" s="365"/>
      <c r="BW16" s="359"/>
      <c r="BX16" s="365"/>
      <c r="BY16" s="359"/>
      <c r="BZ16" s="365"/>
      <c r="CA16" s="359"/>
      <c r="CB16" s="365"/>
      <c r="CC16" s="359"/>
      <c r="CD16" s="365"/>
      <c r="CE16" s="359"/>
      <c r="CF16" s="365"/>
      <c r="CG16" s="359"/>
      <c r="CH16" s="365"/>
      <c r="CI16" s="359"/>
      <c r="CJ16" s="365"/>
      <c r="CK16" s="359"/>
      <c r="CL16" s="365"/>
      <c r="CM16" s="359"/>
      <c r="CN16" s="365"/>
      <c r="CO16" s="359"/>
      <c r="CP16" s="365"/>
      <c r="CQ16" s="359"/>
      <c r="CR16" s="365"/>
      <c r="CS16" s="359"/>
      <c r="CT16" s="365"/>
      <c r="CU16" s="359"/>
      <c r="CV16" s="365"/>
      <c r="CW16" s="359"/>
      <c r="CX16" s="365"/>
      <c r="CY16" s="359"/>
      <c r="CZ16" s="365"/>
      <c r="DA16" s="359"/>
      <c r="DB16" s="365"/>
      <c r="DC16" s="359"/>
      <c r="DD16" s="365"/>
      <c r="DE16" s="368"/>
    </row>
    <row r="17" spans="1:109" ht="13.5" customHeight="1" x14ac:dyDescent="0.2">
      <c r="A17" s="354" t="s">
        <v>76</v>
      </c>
      <c r="B17" s="402"/>
      <c r="C17" s="354"/>
      <c r="D17" s="354"/>
      <c r="E17" s="354"/>
      <c r="G17" s="384"/>
      <c r="H17" s="364"/>
      <c r="I17" s="364"/>
      <c r="J17" s="365"/>
      <c r="K17" s="359"/>
      <c r="L17" s="365"/>
      <c r="M17" s="359"/>
      <c r="N17" s="365"/>
      <c r="O17" s="359"/>
      <c r="P17" s="365"/>
      <c r="Q17" s="359"/>
      <c r="R17" s="365"/>
      <c r="S17" s="359"/>
      <c r="T17" s="365"/>
      <c r="U17" s="359"/>
      <c r="V17" s="365"/>
      <c r="W17" s="359"/>
      <c r="X17" s="365"/>
      <c r="Y17" s="359"/>
      <c r="Z17" s="365"/>
      <c r="AA17" s="359"/>
      <c r="AB17" s="365"/>
      <c r="AC17" s="359"/>
      <c r="AD17" s="365"/>
      <c r="AE17" s="359"/>
      <c r="AF17" s="365"/>
      <c r="AG17" s="359"/>
      <c r="AH17" s="365"/>
      <c r="AI17" s="359"/>
      <c r="AJ17" s="365"/>
      <c r="AK17" s="359"/>
      <c r="AL17" s="365"/>
      <c r="AM17" s="359"/>
      <c r="AN17" s="365"/>
      <c r="AO17" s="359"/>
      <c r="AP17" s="365"/>
      <c r="AQ17" s="359"/>
      <c r="AR17" s="365"/>
      <c r="AS17" s="359"/>
      <c r="AT17" s="365"/>
      <c r="AU17" s="359"/>
      <c r="AV17" s="365"/>
      <c r="AW17" s="359"/>
      <c r="AX17" s="365"/>
      <c r="AY17" s="359"/>
      <c r="AZ17" s="365"/>
      <c r="BA17" s="359"/>
      <c r="BB17" s="365"/>
      <c r="BC17" s="359"/>
      <c r="BD17" s="365"/>
      <c r="BE17" s="359"/>
      <c r="BF17" s="365"/>
      <c r="BG17" s="359"/>
      <c r="BH17" s="365"/>
      <c r="BI17" s="359"/>
      <c r="BJ17" s="365"/>
      <c r="BK17" s="359"/>
      <c r="BL17" s="365"/>
      <c r="BM17" s="359"/>
      <c r="BN17" s="365"/>
      <c r="BO17" s="359"/>
      <c r="BP17" s="365"/>
      <c r="BQ17" s="359"/>
      <c r="BR17" s="365"/>
      <c r="BS17" s="359"/>
      <c r="BT17" s="365"/>
      <c r="BU17" s="359"/>
      <c r="BV17" s="365"/>
      <c r="BW17" s="359"/>
      <c r="BX17" s="365"/>
      <c r="BY17" s="359"/>
      <c r="BZ17" s="365"/>
      <c r="CA17" s="359"/>
      <c r="CB17" s="365"/>
      <c r="CC17" s="359"/>
      <c r="CD17" s="365"/>
      <c r="CE17" s="359"/>
      <c r="CF17" s="365"/>
      <c r="CG17" s="359"/>
      <c r="CH17" s="365"/>
      <c r="CI17" s="359"/>
      <c r="CJ17" s="365"/>
      <c r="CK17" s="359"/>
      <c r="CL17" s="365"/>
      <c r="CM17" s="359"/>
      <c r="CN17" s="365"/>
      <c r="CO17" s="359"/>
      <c r="CP17" s="365"/>
      <c r="CQ17" s="359"/>
      <c r="CR17" s="365"/>
      <c r="CS17" s="359"/>
      <c r="CT17" s="365"/>
      <c r="CU17" s="359"/>
      <c r="CV17" s="365"/>
      <c r="CW17" s="359"/>
      <c r="CX17" s="365"/>
      <c r="CY17" s="359"/>
      <c r="CZ17" s="365"/>
      <c r="DA17" s="359"/>
      <c r="DB17" s="365"/>
      <c r="DC17" s="359"/>
      <c r="DD17" s="365"/>
      <c r="DE17" s="368"/>
    </row>
    <row r="18" spans="1:109" ht="13.5" customHeight="1" x14ac:dyDescent="0.2">
      <c r="A18" s="354" t="s">
        <v>77</v>
      </c>
      <c r="B18" s="402"/>
      <c r="C18" s="354"/>
      <c r="D18" s="354"/>
      <c r="E18" s="354"/>
      <c r="G18" s="384"/>
      <c r="H18" s="364"/>
      <c r="I18" s="364"/>
      <c r="J18" s="365"/>
      <c r="K18" s="359"/>
      <c r="L18" s="365"/>
      <c r="M18" s="359"/>
      <c r="N18" s="365"/>
      <c r="O18" s="359"/>
      <c r="P18" s="365"/>
      <c r="Q18" s="359"/>
      <c r="R18" s="365"/>
      <c r="S18" s="359"/>
      <c r="T18" s="365"/>
      <c r="U18" s="359"/>
      <c r="V18" s="365"/>
      <c r="W18" s="359"/>
      <c r="X18" s="365"/>
      <c r="Y18" s="359"/>
      <c r="Z18" s="365"/>
      <c r="AA18" s="359"/>
      <c r="AB18" s="365"/>
      <c r="AC18" s="359"/>
      <c r="AD18" s="365"/>
      <c r="AE18" s="359"/>
      <c r="AF18" s="365"/>
      <c r="AG18" s="359"/>
      <c r="AH18" s="365"/>
      <c r="AI18" s="359"/>
      <c r="AJ18" s="365"/>
      <c r="AK18" s="359"/>
      <c r="AL18" s="365"/>
      <c r="AM18" s="359"/>
      <c r="AN18" s="365"/>
      <c r="AO18" s="359"/>
      <c r="AP18" s="365"/>
      <c r="AQ18" s="359"/>
      <c r="AR18" s="365"/>
      <c r="AS18" s="359"/>
      <c r="AT18" s="365"/>
      <c r="AU18" s="359"/>
      <c r="AV18" s="365"/>
      <c r="AW18" s="359"/>
      <c r="AX18" s="365"/>
      <c r="AY18" s="359"/>
      <c r="AZ18" s="365"/>
      <c r="BA18" s="359"/>
      <c r="BB18" s="365"/>
      <c r="BC18" s="359"/>
      <c r="BD18" s="365"/>
      <c r="BE18" s="359"/>
      <c r="BF18" s="365"/>
      <c r="BG18" s="359"/>
      <c r="BH18" s="365"/>
      <c r="BI18" s="359"/>
      <c r="BJ18" s="365"/>
      <c r="BK18" s="359"/>
      <c r="BL18" s="365"/>
      <c r="BM18" s="359"/>
      <c r="BN18" s="365"/>
      <c r="BO18" s="359"/>
      <c r="BP18" s="365"/>
      <c r="BQ18" s="359"/>
      <c r="BR18" s="365"/>
      <c r="BS18" s="359"/>
      <c r="BT18" s="365"/>
      <c r="BU18" s="359"/>
      <c r="BV18" s="365"/>
      <c r="BW18" s="359"/>
      <c r="BX18" s="365"/>
      <c r="BY18" s="359"/>
      <c r="BZ18" s="365"/>
      <c r="CA18" s="359"/>
      <c r="CB18" s="365"/>
      <c r="CC18" s="359"/>
      <c r="CD18" s="365"/>
      <c r="CE18" s="359"/>
      <c r="CF18" s="365"/>
      <c r="CG18" s="359"/>
      <c r="CH18" s="365"/>
      <c r="CI18" s="359"/>
      <c r="CJ18" s="365"/>
      <c r="CK18" s="359"/>
      <c r="CL18" s="365"/>
      <c r="CM18" s="359"/>
      <c r="CN18" s="365"/>
      <c r="CO18" s="359"/>
      <c r="CP18" s="365"/>
      <c r="CQ18" s="359"/>
      <c r="CR18" s="365"/>
      <c r="CS18" s="359"/>
      <c r="CT18" s="365"/>
      <c r="CU18" s="359"/>
      <c r="CV18" s="365"/>
      <c r="CW18" s="359"/>
      <c r="CX18" s="365"/>
      <c r="CY18" s="359"/>
      <c r="CZ18" s="365"/>
      <c r="DA18" s="359"/>
      <c r="DB18" s="365"/>
      <c r="DC18" s="359"/>
      <c r="DD18" s="365"/>
      <c r="DE18" s="368"/>
    </row>
    <row r="19" spans="1:109" ht="13.5" customHeight="1" x14ac:dyDescent="0.2">
      <c r="A19" s="354" t="s">
        <v>78</v>
      </c>
      <c r="B19" s="402"/>
      <c r="C19" s="354"/>
      <c r="D19" s="354"/>
      <c r="E19" s="354"/>
      <c r="G19" s="384"/>
      <c r="H19" s="364"/>
      <c r="I19" s="364"/>
      <c r="J19" s="365"/>
      <c r="K19" s="359"/>
      <c r="L19" s="365"/>
      <c r="M19" s="359"/>
      <c r="N19" s="365"/>
      <c r="O19" s="359"/>
      <c r="P19" s="365"/>
      <c r="Q19" s="359"/>
      <c r="R19" s="365"/>
      <c r="S19" s="359"/>
      <c r="T19" s="365"/>
      <c r="U19" s="359"/>
      <c r="V19" s="365"/>
      <c r="W19" s="359"/>
      <c r="X19" s="365"/>
      <c r="Y19" s="359"/>
      <c r="Z19" s="365"/>
      <c r="AA19" s="359"/>
      <c r="AB19" s="365"/>
      <c r="AC19" s="359"/>
      <c r="AD19" s="365"/>
      <c r="AE19" s="359"/>
      <c r="AF19" s="365"/>
      <c r="AG19" s="359"/>
      <c r="AH19" s="365"/>
      <c r="AI19" s="359"/>
      <c r="AJ19" s="365"/>
      <c r="AK19" s="359"/>
      <c r="AL19" s="365"/>
      <c r="AM19" s="359"/>
      <c r="AN19" s="365"/>
      <c r="AO19" s="359"/>
      <c r="AP19" s="365"/>
      <c r="AQ19" s="359"/>
      <c r="AR19" s="365"/>
      <c r="AS19" s="359"/>
      <c r="AT19" s="365"/>
      <c r="AU19" s="359"/>
      <c r="AV19" s="365"/>
      <c r="AW19" s="359"/>
      <c r="AX19" s="365"/>
      <c r="AY19" s="359"/>
      <c r="AZ19" s="365"/>
      <c r="BA19" s="359"/>
      <c r="BB19" s="365"/>
      <c r="BC19" s="359"/>
      <c r="BD19" s="365"/>
      <c r="BE19" s="359"/>
      <c r="BF19" s="365"/>
      <c r="BG19" s="359"/>
      <c r="BH19" s="365"/>
      <c r="BI19" s="359"/>
      <c r="BJ19" s="365"/>
      <c r="BK19" s="359"/>
      <c r="BL19" s="365"/>
      <c r="BM19" s="359"/>
      <c r="BN19" s="365"/>
      <c r="BO19" s="359"/>
      <c r="BP19" s="365"/>
      <c r="BQ19" s="359"/>
      <c r="BR19" s="365"/>
      <c r="BS19" s="359"/>
      <c r="BT19" s="365"/>
      <c r="BU19" s="359"/>
      <c r="BV19" s="365"/>
      <c r="BW19" s="359"/>
      <c r="BX19" s="365"/>
      <c r="BY19" s="359"/>
      <c r="BZ19" s="365"/>
      <c r="CA19" s="359"/>
      <c r="CB19" s="365"/>
      <c r="CC19" s="359"/>
      <c r="CD19" s="365"/>
      <c r="CE19" s="359"/>
      <c r="CF19" s="365"/>
      <c r="CG19" s="359"/>
      <c r="CH19" s="365"/>
      <c r="CI19" s="359"/>
      <c r="CJ19" s="365"/>
      <c r="CK19" s="359"/>
      <c r="CL19" s="365"/>
      <c r="CM19" s="359"/>
      <c r="CN19" s="365"/>
      <c r="CO19" s="359"/>
      <c r="CP19" s="365"/>
      <c r="CQ19" s="359"/>
      <c r="CR19" s="365"/>
      <c r="CS19" s="359"/>
      <c r="CT19" s="365"/>
      <c r="CU19" s="359"/>
      <c r="CV19" s="365"/>
      <c r="CW19" s="359"/>
      <c r="CX19" s="365"/>
      <c r="CY19" s="359"/>
      <c r="CZ19" s="365"/>
      <c r="DA19" s="359"/>
      <c r="DB19" s="365"/>
      <c r="DC19" s="359"/>
      <c r="DD19" s="365"/>
      <c r="DE19" s="368"/>
    </row>
    <row r="20" spans="1:109" ht="13.5" customHeight="1" x14ac:dyDescent="0.2">
      <c r="A20" s="354" t="s">
        <v>79</v>
      </c>
      <c r="B20" s="402"/>
      <c r="C20" s="354"/>
      <c r="D20" s="354"/>
      <c r="E20" s="354"/>
      <c r="G20" s="384"/>
      <c r="H20" s="364"/>
      <c r="I20" s="364"/>
      <c r="J20" s="365"/>
      <c r="K20" s="359"/>
      <c r="L20" s="366"/>
      <c r="M20" s="359"/>
      <c r="N20" s="365"/>
      <c r="O20" s="359"/>
      <c r="P20" s="365"/>
      <c r="Q20" s="359"/>
      <c r="R20" s="365"/>
      <c r="S20" s="359"/>
      <c r="T20" s="365"/>
      <c r="U20" s="359"/>
      <c r="V20" s="365"/>
      <c r="W20" s="359"/>
      <c r="X20" s="365"/>
      <c r="Y20" s="359"/>
      <c r="Z20" s="365"/>
      <c r="AA20" s="359"/>
      <c r="AB20" s="365"/>
      <c r="AC20" s="359"/>
      <c r="AD20" s="365"/>
      <c r="AE20" s="359"/>
      <c r="AF20" s="365"/>
      <c r="AG20" s="359"/>
      <c r="AH20" s="365"/>
      <c r="AI20" s="359"/>
      <c r="AJ20" s="365"/>
      <c r="AK20" s="359"/>
      <c r="AL20" s="365"/>
      <c r="AM20" s="359"/>
      <c r="AN20" s="365"/>
      <c r="AO20" s="359"/>
      <c r="AP20" s="365"/>
      <c r="AQ20" s="359"/>
      <c r="AR20" s="365"/>
      <c r="AS20" s="359"/>
      <c r="AT20" s="365"/>
      <c r="AU20" s="359"/>
      <c r="AV20" s="365"/>
      <c r="AW20" s="359"/>
      <c r="AX20" s="365"/>
      <c r="AY20" s="359"/>
      <c r="AZ20" s="365"/>
      <c r="BA20" s="359"/>
      <c r="BB20" s="365"/>
      <c r="BC20" s="359"/>
      <c r="BD20" s="365"/>
      <c r="BE20" s="359"/>
      <c r="BF20" s="365"/>
      <c r="BG20" s="359"/>
      <c r="BH20" s="365"/>
      <c r="BI20" s="359"/>
      <c r="BJ20" s="365"/>
      <c r="BK20" s="359"/>
      <c r="BL20" s="365"/>
      <c r="BM20" s="359"/>
      <c r="BN20" s="365"/>
      <c r="BO20" s="359"/>
      <c r="BP20" s="365"/>
      <c r="BQ20" s="359"/>
      <c r="BR20" s="365"/>
      <c r="BS20" s="359"/>
      <c r="BT20" s="365"/>
      <c r="BU20" s="359"/>
      <c r="BV20" s="365"/>
      <c r="BW20" s="359"/>
      <c r="BX20" s="365"/>
      <c r="BY20" s="359"/>
      <c r="BZ20" s="365"/>
      <c r="CA20" s="359"/>
      <c r="CB20" s="365"/>
      <c r="CC20" s="359"/>
      <c r="CD20" s="365"/>
      <c r="CE20" s="359"/>
      <c r="CF20" s="365"/>
      <c r="CG20" s="359"/>
      <c r="CH20" s="365"/>
      <c r="CI20" s="359"/>
      <c r="CJ20" s="365"/>
      <c r="CK20" s="359"/>
      <c r="CL20" s="365"/>
      <c r="CM20" s="359"/>
      <c r="CN20" s="365"/>
      <c r="CO20" s="359"/>
      <c r="CP20" s="365"/>
      <c r="CQ20" s="359"/>
      <c r="CR20" s="365"/>
      <c r="CS20" s="359"/>
      <c r="CT20" s="365"/>
      <c r="CU20" s="359"/>
      <c r="CV20" s="365"/>
      <c r="CW20" s="359"/>
      <c r="CX20" s="365"/>
      <c r="CY20" s="359"/>
      <c r="CZ20" s="365"/>
      <c r="DA20" s="359"/>
      <c r="DB20" s="365"/>
      <c r="DC20" s="359"/>
      <c r="DD20" s="365"/>
      <c r="DE20" s="368"/>
    </row>
    <row r="21" spans="1:109" ht="13.5" customHeight="1" x14ac:dyDescent="0.2">
      <c r="A21" s="354" t="s">
        <v>80</v>
      </c>
      <c r="B21" s="402"/>
      <c r="C21" s="354"/>
      <c r="D21" s="354"/>
      <c r="E21" s="354"/>
      <c r="G21" s="384"/>
      <c r="H21" s="364"/>
      <c r="I21" s="364"/>
      <c r="J21" s="365"/>
      <c r="K21" s="359"/>
      <c r="L21" s="366"/>
      <c r="M21" s="359"/>
      <c r="N21" s="365"/>
      <c r="O21" s="359"/>
      <c r="P21" s="365"/>
      <c r="Q21" s="359"/>
      <c r="R21" s="365"/>
      <c r="S21" s="359"/>
      <c r="T21" s="365"/>
      <c r="U21" s="359"/>
      <c r="V21" s="365"/>
      <c r="W21" s="359"/>
      <c r="X21" s="365"/>
      <c r="Y21" s="359"/>
      <c r="Z21" s="365"/>
      <c r="AA21" s="359"/>
      <c r="AB21" s="365"/>
      <c r="AC21" s="359"/>
      <c r="AD21" s="365"/>
      <c r="AE21" s="359"/>
      <c r="AF21" s="365"/>
      <c r="AG21" s="359"/>
      <c r="AH21" s="365"/>
      <c r="AI21" s="359"/>
      <c r="AJ21" s="365"/>
      <c r="AK21" s="359"/>
      <c r="AL21" s="365"/>
      <c r="AM21" s="359"/>
      <c r="AN21" s="365"/>
      <c r="AO21" s="359"/>
      <c r="AP21" s="365"/>
      <c r="AQ21" s="359"/>
      <c r="AR21" s="365"/>
      <c r="AS21" s="359"/>
      <c r="AT21" s="365"/>
      <c r="AU21" s="359"/>
      <c r="AV21" s="365"/>
      <c r="AW21" s="359"/>
      <c r="AX21" s="365"/>
      <c r="AY21" s="359"/>
      <c r="AZ21" s="365"/>
      <c r="BA21" s="359"/>
      <c r="BB21" s="365"/>
      <c r="BC21" s="359"/>
      <c r="BD21" s="365"/>
      <c r="BE21" s="359"/>
      <c r="BF21" s="365"/>
      <c r="BG21" s="359"/>
      <c r="BH21" s="365"/>
      <c r="BI21" s="359"/>
      <c r="BJ21" s="365"/>
      <c r="BK21" s="359"/>
      <c r="BL21" s="365"/>
      <c r="BM21" s="359"/>
      <c r="BN21" s="365"/>
      <c r="BO21" s="359"/>
      <c r="BP21" s="365"/>
      <c r="BQ21" s="359"/>
      <c r="BR21" s="365"/>
      <c r="BS21" s="359"/>
      <c r="BT21" s="365"/>
      <c r="BU21" s="359"/>
      <c r="BV21" s="365"/>
      <c r="BW21" s="359"/>
      <c r="BX21" s="365"/>
      <c r="BY21" s="359"/>
      <c r="BZ21" s="365"/>
      <c r="CA21" s="359"/>
      <c r="CB21" s="365"/>
      <c r="CC21" s="359"/>
      <c r="CD21" s="365"/>
      <c r="CE21" s="359"/>
      <c r="CF21" s="365"/>
      <c r="CG21" s="359"/>
      <c r="CH21" s="365"/>
      <c r="CI21" s="359"/>
      <c r="CJ21" s="365"/>
      <c r="CK21" s="359"/>
      <c r="CL21" s="365"/>
      <c r="CM21" s="359"/>
      <c r="CN21" s="365"/>
      <c r="CO21" s="359"/>
      <c r="CP21" s="365"/>
      <c r="CQ21" s="359"/>
      <c r="CR21" s="365"/>
      <c r="CS21" s="359"/>
      <c r="CT21" s="365"/>
      <c r="CU21" s="359"/>
      <c r="CV21" s="365"/>
      <c r="CW21" s="359"/>
      <c r="CX21" s="365"/>
      <c r="CY21" s="359"/>
      <c r="CZ21" s="365"/>
      <c r="DA21" s="359"/>
      <c r="DB21" s="365"/>
      <c r="DC21" s="359"/>
      <c r="DD21" s="365"/>
      <c r="DE21" s="368"/>
    </row>
    <row r="22" spans="1:109" ht="13.5" customHeight="1" x14ac:dyDescent="0.2">
      <c r="A22" s="354" t="s">
        <v>147</v>
      </c>
      <c r="B22" s="402"/>
      <c r="C22" s="354"/>
      <c r="D22" s="354"/>
      <c r="E22" s="354"/>
      <c r="G22" s="384"/>
      <c r="H22" s="364"/>
      <c r="I22" s="364"/>
      <c r="J22" s="365"/>
      <c r="K22" s="359"/>
      <c r="L22" s="366"/>
      <c r="M22" s="359"/>
      <c r="N22" s="365"/>
      <c r="O22" s="359"/>
      <c r="P22" s="365"/>
      <c r="Q22" s="359"/>
      <c r="R22" s="365"/>
      <c r="S22" s="359"/>
      <c r="T22" s="365"/>
      <c r="U22" s="359"/>
      <c r="V22" s="365"/>
      <c r="W22" s="359"/>
      <c r="X22" s="365"/>
      <c r="Y22" s="359"/>
      <c r="Z22" s="365"/>
      <c r="AA22" s="359"/>
      <c r="AB22" s="365"/>
      <c r="AC22" s="359"/>
      <c r="AD22" s="365"/>
      <c r="AE22" s="359"/>
      <c r="AF22" s="365"/>
      <c r="AG22" s="359"/>
      <c r="AH22" s="365"/>
      <c r="AI22" s="359"/>
      <c r="AJ22" s="365"/>
      <c r="AK22" s="359"/>
      <c r="AL22" s="365"/>
      <c r="AM22" s="359"/>
      <c r="AN22" s="365"/>
      <c r="AO22" s="359"/>
      <c r="AP22" s="365"/>
      <c r="AQ22" s="359"/>
      <c r="AR22" s="365"/>
      <c r="AS22" s="359"/>
      <c r="AT22" s="365"/>
      <c r="AU22" s="359"/>
      <c r="AV22" s="365"/>
      <c r="AW22" s="359"/>
      <c r="AX22" s="365"/>
      <c r="AY22" s="359"/>
      <c r="AZ22" s="365"/>
      <c r="BA22" s="359"/>
      <c r="BB22" s="365"/>
      <c r="BC22" s="359"/>
      <c r="BD22" s="365"/>
      <c r="BE22" s="359"/>
      <c r="BF22" s="365"/>
      <c r="BG22" s="359"/>
      <c r="BH22" s="365"/>
      <c r="BI22" s="359"/>
      <c r="BJ22" s="365"/>
      <c r="BK22" s="359"/>
      <c r="BL22" s="365"/>
      <c r="BM22" s="359"/>
      <c r="BN22" s="365"/>
      <c r="BO22" s="359"/>
      <c r="BP22" s="365"/>
      <c r="BQ22" s="359"/>
      <c r="BR22" s="365"/>
      <c r="BS22" s="359"/>
      <c r="BT22" s="365"/>
      <c r="BU22" s="359"/>
      <c r="BV22" s="365"/>
      <c r="BW22" s="359"/>
      <c r="BX22" s="365"/>
      <c r="BY22" s="359"/>
      <c r="BZ22" s="365"/>
      <c r="CA22" s="359"/>
      <c r="CB22" s="365"/>
      <c r="CC22" s="359"/>
      <c r="CD22" s="365"/>
      <c r="CE22" s="359"/>
      <c r="CF22" s="365"/>
      <c r="CG22" s="359"/>
      <c r="CH22" s="365"/>
      <c r="CI22" s="359"/>
      <c r="CJ22" s="365"/>
      <c r="CK22" s="359"/>
      <c r="CL22" s="365"/>
      <c r="CM22" s="359"/>
      <c r="CN22" s="365"/>
      <c r="CO22" s="359"/>
      <c r="CP22" s="365"/>
      <c r="CQ22" s="359"/>
      <c r="CR22" s="365"/>
      <c r="CS22" s="359"/>
      <c r="CT22" s="365"/>
      <c r="CU22" s="359"/>
      <c r="CV22" s="365"/>
      <c r="CW22" s="359"/>
      <c r="CX22" s="365"/>
      <c r="CY22" s="359"/>
      <c r="CZ22" s="365"/>
      <c r="DA22" s="359"/>
      <c r="DB22" s="365"/>
      <c r="DC22" s="359"/>
      <c r="DD22" s="365"/>
      <c r="DE22" s="368"/>
    </row>
    <row r="23" spans="1:109" ht="13.5" customHeight="1" x14ac:dyDescent="0.2">
      <c r="A23" s="354" t="s">
        <v>148</v>
      </c>
      <c r="B23" s="356"/>
      <c r="C23" s="354"/>
      <c r="D23" s="354"/>
      <c r="E23" s="354"/>
      <c r="G23" s="384"/>
      <c r="H23" s="364"/>
      <c r="I23" s="364"/>
      <c r="J23" s="365"/>
      <c r="K23" s="359"/>
      <c r="L23" s="366"/>
      <c r="M23" s="359"/>
      <c r="N23" s="365"/>
      <c r="O23" s="359"/>
      <c r="P23" s="365"/>
      <c r="Q23" s="359"/>
      <c r="R23" s="365"/>
      <c r="S23" s="359"/>
      <c r="T23" s="365"/>
      <c r="U23" s="359"/>
      <c r="V23" s="365"/>
      <c r="W23" s="359"/>
      <c r="X23" s="365"/>
      <c r="Y23" s="359"/>
      <c r="Z23" s="365"/>
      <c r="AA23" s="359"/>
      <c r="AB23" s="365"/>
      <c r="AC23" s="359"/>
      <c r="AD23" s="365"/>
      <c r="AE23" s="359"/>
      <c r="AF23" s="365"/>
      <c r="AG23" s="359"/>
      <c r="AH23" s="365"/>
      <c r="AI23" s="359"/>
      <c r="AJ23" s="365"/>
      <c r="AK23" s="359"/>
      <c r="AL23" s="365"/>
      <c r="AM23" s="359"/>
      <c r="AN23" s="365"/>
      <c r="AO23" s="359"/>
      <c r="AP23" s="365"/>
      <c r="AQ23" s="359"/>
      <c r="AR23" s="365"/>
      <c r="AS23" s="359"/>
      <c r="AT23" s="365"/>
      <c r="AU23" s="359"/>
      <c r="AV23" s="365"/>
      <c r="AW23" s="359"/>
      <c r="AX23" s="365"/>
      <c r="AY23" s="359"/>
      <c r="AZ23" s="365"/>
      <c r="BA23" s="359"/>
      <c r="BB23" s="365"/>
      <c r="BC23" s="359"/>
      <c r="BD23" s="365"/>
      <c r="BE23" s="359"/>
      <c r="BF23" s="365"/>
      <c r="BG23" s="359"/>
      <c r="BH23" s="365"/>
      <c r="BI23" s="359"/>
      <c r="BJ23" s="365"/>
      <c r="BK23" s="359"/>
      <c r="BL23" s="365"/>
      <c r="BM23" s="359"/>
      <c r="BN23" s="365"/>
      <c r="BO23" s="359"/>
      <c r="BP23" s="365"/>
      <c r="BQ23" s="359"/>
      <c r="BR23" s="365"/>
      <c r="BS23" s="359"/>
      <c r="BT23" s="365"/>
      <c r="BU23" s="359"/>
      <c r="BV23" s="365"/>
      <c r="BW23" s="359"/>
      <c r="BX23" s="365"/>
      <c r="BY23" s="359"/>
      <c r="BZ23" s="365"/>
      <c r="CA23" s="359"/>
      <c r="CB23" s="365"/>
      <c r="CC23" s="359"/>
      <c r="CD23" s="365"/>
      <c r="CE23" s="359"/>
      <c r="CF23" s="365"/>
      <c r="CG23" s="359"/>
      <c r="CH23" s="365"/>
      <c r="CI23" s="359"/>
      <c r="CJ23" s="365"/>
      <c r="CK23" s="359"/>
      <c r="CL23" s="365"/>
      <c r="CM23" s="359"/>
      <c r="CN23" s="365"/>
      <c r="CO23" s="359"/>
      <c r="CP23" s="365"/>
      <c r="CQ23" s="359"/>
      <c r="CR23" s="365"/>
      <c r="CS23" s="359"/>
      <c r="CT23" s="365"/>
      <c r="CU23" s="359"/>
      <c r="CV23" s="365"/>
      <c r="CW23" s="359"/>
      <c r="CX23" s="365"/>
      <c r="CY23" s="359"/>
      <c r="CZ23" s="365"/>
      <c r="DA23" s="359"/>
      <c r="DB23" s="365"/>
      <c r="DC23" s="359"/>
      <c r="DD23" s="365"/>
      <c r="DE23" s="368"/>
    </row>
    <row r="24" spans="1:109" ht="13.5" customHeight="1" x14ac:dyDescent="0.2">
      <c r="A24" s="354" t="s">
        <v>149</v>
      </c>
      <c r="B24" s="356"/>
      <c r="C24" s="354"/>
      <c r="D24" s="354"/>
      <c r="E24" s="354"/>
      <c r="G24" s="384"/>
      <c r="H24" s="364"/>
      <c r="I24" s="364"/>
      <c r="J24" s="365"/>
      <c r="K24" s="359"/>
      <c r="L24" s="365"/>
      <c r="M24" s="359"/>
      <c r="N24" s="365"/>
      <c r="O24" s="359"/>
      <c r="P24" s="365"/>
      <c r="Q24" s="359"/>
      <c r="R24" s="365"/>
      <c r="S24" s="359"/>
      <c r="T24" s="365"/>
      <c r="U24" s="359"/>
      <c r="V24" s="365"/>
      <c r="W24" s="359"/>
      <c r="X24" s="365"/>
      <c r="Y24" s="359"/>
      <c r="Z24" s="365"/>
      <c r="AA24" s="359"/>
      <c r="AB24" s="365"/>
      <c r="AC24" s="359"/>
      <c r="AD24" s="365"/>
      <c r="AE24" s="359"/>
      <c r="AF24" s="365"/>
      <c r="AG24" s="359"/>
      <c r="AH24" s="365"/>
      <c r="AI24" s="359"/>
      <c r="AJ24" s="365"/>
      <c r="AK24" s="359"/>
      <c r="AL24" s="365"/>
      <c r="AM24" s="359"/>
      <c r="AN24" s="365"/>
      <c r="AO24" s="359"/>
      <c r="AP24" s="365"/>
      <c r="AQ24" s="359"/>
      <c r="AR24" s="365"/>
      <c r="AS24" s="359"/>
      <c r="AT24" s="365"/>
      <c r="AU24" s="359"/>
      <c r="AV24" s="365"/>
      <c r="AW24" s="359"/>
      <c r="AX24" s="365"/>
      <c r="AY24" s="359"/>
      <c r="AZ24" s="365"/>
      <c r="BA24" s="359"/>
      <c r="BB24" s="365"/>
      <c r="BC24" s="359"/>
      <c r="BD24" s="365"/>
      <c r="BE24" s="359"/>
      <c r="BF24" s="365"/>
      <c r="BG24" s="359"/>
      <c r="BH24" s="365"/>
      <c r="BI24" s="359"/>
      <c r="BJ24" s="365"/>
      <c r="BK24" s="359"/>
      <c r="BL24" s="365"/>
      <c r="BM24" s="359"/>
      <c r="BN24" s="365"/>
      <c r="BO24" s="359"/>
      <c r="BP24" s="365"/>
      <c r="BQ24" s="359"/>
      <c r="BR24" s="365"/>
      <c r="BS24" s="359"/>
      <c r="BT24" s="365"/>
      <c r="BU24" s="359"/>
      <c r="BV24" s="365"/>
      <c r="BW24" s="359"/>
      <c r="BX24" s="365"/>
      <c r="BY24" s="359"/>
      <c r="BZ24" s="365"/>
      <c r="CA24" s="359"/>
      <c r="CB24" s="365"/>
      <c r="CC24" s="359"/>
      <c r="CD24" s="365"/>
      <c r="CE24" s="359"/>
      <c r="CF24" s="365"/>
      <c r="CG24" s="359"/>
      <c r="CH24" s="365"/>
      <c r="CI24" s="359"/>
      <c r="CJ24" s="365"/>
      <c r="CK24" s="359"/>
      <c r="CL24" s="365"/>
      <c r="CM24" s="359"/>
      <c r="CN24" s="365"/>
      <c r="CO24" s="359"/>
      <c r="CP24" s="365"/>
      <c r="CQ24" s="359"/>
      <c r="CR24" s="365"/>
      <c r="CS24" s="359"/>
      <c r="CT24" s="365"/>
      <c r="CU24" s="359"/>
      <c r="CV24" s="365"/>
      <c r="CW24" s="359"/>
      <c r="CX24" s="365"/>
      <c r="CY24" s="359"/>
      <c r="CZ24" s="365"/>
      <c r="DA24" s="359"/>
      <c r="DB24" s="365"/>
      <c r="DC24" s="359"/>
      <c r="DD24" s="365"/>
      <c r="DE24" s="368"/>
    </row>
    <row r="25" spans="1:109" ht="13.5" customHeight="1" x14ac:dyDescent="0.2">
      <c r="A25" s="354" t="s">
        <v>150</v>
      </c>
      <c r="B25" s="356"/>
      <c r="C25" s="354"/>
      <c r="D25" s="354"/>
      <c r="E25" s="354"/>
      <c r="G25" s="385"/>
      <c r="H25" s="364"/>
      <c r="I25" s="364"/>
      <c r="J25" s="365"/>
      <c r="K25" s="359"/>
      <c r="L25" s="366"/>
      <c r="M25" s="359"/>
      <c r="N25" s="365"/>
      <c r="O25" s="359"/>
      <c r="P25" s="365"/>
      <c r="Q25" s="359"/>
      <c r="R25" s="365"/>
      <c r="S25" s="359"/>
      <c r="T25" s="365"/>
      <c r="U25" s="359"/>
      <c r="V25" s="365"/>
      <c r="W25" s="359"/>
      <c r="X25" s="365"/>
      <c r="Y25" s="359"/>
      <c r="Z25" s="365"/>
      <c r="AA25" s="359"/>
      <c r="AB25" s="365"/>
      <c r="AC25" s="359"/>
      <c r="AD25" s="365"/>
      <c r="AE25" s="359"/>
      <c r="AF25" s="365"/>
      <c r="AG25" s="359"/>
      <c r="AH25" s="365"/>
      <c r="AI25" s="359"/>
      <c r="AJ25" s="365"/>
      <c r="AK25" s="359"/>
      <c r="AL25" s="365"/>
      <c r="AM25" s="359"/>
      <c r="AN25" s="365"/>
      <c r="AO25" s="359"/>
      <c r="AP25" s="365"/>
      <c r="AQ25" s="359"/>
      <c r="AR25" s="365"/>
      <c r="AS25" s="359"/>
      <c r="AT25" s="365"/>
      <c r="AU25" s="359"/>
      <c r="AV25" s="365"/>
      <c r="AW25" s="359"/>
      <c r="AX25" s="365"/>
      <c r="AY25" s="359"/>
      <c r="AZ25" s="365"/>
      <c r="BA25" s="359"/>
      <c r="BB25" s="365"/>
      <c r="BC25" s="359"/>
      <c r="BD25" s="365"/>
      <c r="BE25" s="359"/>
      <c r="BF25" s="365"/>
      <c r="BG25" s="359"/>
      <c r="BH25" s="365"/>
      <c r="BI25" s="359"/>
      <c r="BJ25" s="365"/>
      <c r="BK25" s="359"/>
      <c r="BL25" s="365"/>
      <c r="BM25" s="359"/>
      <c r="BN25" s="365"/>
      <c r="BO25" s="359"/>
      <c r="BP25" s="365"/>
      <c r="BQ25" s="359"/>
      <c r="BR25" s="365"/>
      <c r="BS25" s="359"/>
      <c r="BT25" s="365"/>
      <c r="BU25" s="359"/>
      <c r="BV25" s="365"/>
      <c r="BW25" s="359"/>
      <c r="BX25" s="365"/>
      <c r="BY25" s="359"/>
      <c r="BZ25" s="365"/>
      <c r="CA25" s="359"/>
      <c r="CB25" s="365"/>
      <c r="CC25" s="359"/>
      <c r="CD25" s="365"/>
      <c r="CE25" s="359"/>
      <c r="CF25" s="365"/>
      <c r="CG25" s="359"/>
      <c r="CH25" s="365"/>
      <c r="CI25" s="359"/>
      <c r="CJ25" s="365"/>
      <c r="CK25" s="359"/>
      <c r="CL25" s="365"/>
      <c r="CM25" s="359"/>
      <c r="CN25" s="365"/>
      <c r="CO25" s="359"/>
      <c r="CP25" s="365"/>
      <c r="CQ25" s="359"/>
      <c r="CR25" s="365"/>
      <c r="CS25" s="359"/>
      <c r="CT25" s="365"/>
      <c r="CU25" s="359"/>
      <c r="CV25" s="365"/>
      <c r="CW25" s="359"/>
      <c r="CX25" s="365"/>
      <c r="CY25" s="359"/>
      <c r="CZ25" s="365"/>
      <c r="DA25" s="359"/>
      <c r="DB25" s="365"/>
      <c r="DC25" s="359"/>
      <c r="DD25" s="365"/>
      <c r="DE25" s="368"/>
    </row>
    <row r="26" spans="1:109" ht="13.5" customHeight="1" x14ac:dyDescent="0.2">
      <c r="A26" s="354" t="s">
        <v>151</v>
      </c>
      <c r="B26" s="356"/>
      <c r="C26" s="354"/>
      <c r="D26" s="354"/>
      <c r="E26" s="354"/>
      <c r="G26" s="384"/>
      <c r="H26" s="364"/>
      <c r="I26" s="364"/>
      <c r="J26" s="365"/>
      <c r="K26" s="359"/>
      <c r="L26" s="365"/>
      <c r="M26" s="359"/>
      <c r="N26" s="365"/>
      <c r="O26" s="359"/>
      <c r="P26" s="365"/>
      <c r="Q26" s="359"/>
      <c r="R26" s="365"/>
      <c r="S26" s="359"/>
      <c r="T26" s="365"/>
      <c r="U26" s="359"/>
      <c r="V26" s="365"/>
      <c r="W26" s="359"/>
      <c r="X26" s="365"/>
      <c r="Y26" s="359"/>
      <c r="Z26" s="365"/>
      <c r="AA26" s="359"/>
      <c r="AB26" s="365"/>
      <c r="AC26" s="359"/>
      <c r="AD26" s="365"/>
      <c r="AE26" s="359"/>
      <c r="AF26" s="365"/>
      <c r="AG26" s="359"/>
      <c r="AH26" s="365"/>
      <c r="AI26" s="359"/>
      <c r="AJ26" s="365"/>
      <c r="AK26" s="359"/>
      <c r="AL26" s="365"/>
      <c r="AM26" s="359"/>
      <c r="AN26" s="365"/>
      <c r="AO26" s="359"/>
      <c r="AP26" s="365"/>
      <c r="AQ26" s="359"/>
      <c r="AR26" s="365"/>
      <c r="AS26" s="359"/>
      <c r="AT26" s="365"/>
      <c r="AU26" s="359"/>
      <c r="AV26" s="365"/>
      <c r="AW26" s="359"/>
      <c r="AX26" s="365"/>
      <c r="AY26" s="359"/>
      <c r="AZ26" s="365"/>
      <c r="BA26" s="359"/>
      <c r="BB26" s="365"/>
      <c r="BC26" s="359"/>
      <c r="BD26" s="365"/>
      <c r="BE26" s="359"/>
      <c r="BF26" s="365"/>
      <c r="BG26" s="359"/>
      <c r="BH26" s="365"/>
      <c r="BI26" s="359"/>
      <c r="BJ26" s="365"/>
      <c r="BK26" s="359"/>
      <c r="BL26" s="365"/>
      <c r="BM26" s="359"/>
      <c r="BN26" s="365"/>
      <c r="BO26" s="359"/>
      <c r="BP26" s="365"/>
      <c r="BQ26" s="359"/>
      <c r="BR26" s="365"/>
      <c r="BS26" s="359"/>
      <c r="BT26" s="365"/>
      <c r="BU26" s="359"/>
      <c r="BV26" s="365"/>
      <c r="BW26" s="359"/>
      <c r="BX26" s="365"/>
      <c r="BY26" s="359"/>
      <c r="BZ26" s="365"/>
      <c r="CA26" s="359"/>
      <c r="CB26" s="365"/>
      <c r="CC26" s="359"/>
      <c r="CD26" s="365"/>
      <c r="CE26" s="359"/>
      <c r="CF26" s="365"/>
      <c r="CG26" s="359"/>
      <c r="CH26" s="365"/>
      <c r="CI26" s="359"/>
      <c r="CJ26" s="365"/>
      <c r="CK26" s="359"/>
      <c r="CL26" s="365"/>
      <c r="CM26" s="359"/>
      <c r="CN26" s="365"/>
      <c r="CO26" s="359"/>
      <c r="CP26" s="365"/>
      <c r="CQ26" s="359"/>
      <c r="CR26" s="365"/>
      <c r="CS26" s="359"/>
      <c r="CT26" s="365"/>
      <c r="CU26" s="359"/>
      <c r="CV26" s="365"/>
      <c r="CW26" s="359"/>
      <c r="CX26" s="365"/>
      <c r="CY26" s="359"/>
      <c r="CZ26" s="365"/>
      <c r="DA26" s="359"/>
      <c r="DB26" s="365"/>
      <c r="DC26" s="359"/>
      <c r="DD26" s="365"/>
      <c r="DE26" s="368"/>
    </row>
    <row r="27" spans="1:109" ht="13.5" customHeight="1" x14ac:dyDescent="0.2">
      <c r="A27" s="354" t="s">
        <v>152</v>
      </c>
      <c r="B27" s="356"/>
      <c r="C27" s="354"/>
      <c r="D27" s="354"/>
      <c r="E27" s="354"/>
      <c r="G27" s="384"/>
      <c r="H27" s="364"/>
      <c r="I27" s="364"/>
      <c r="J27" s="365"/>
      <c r="K27" s="359"/>
      <c r="L27" s="403"/>
      <c r="M27" s="359"/>
      <c r="N27" s="365"/>
      <c r="O27" s="359"/>
      <c r="P27" s="365"/>
      <c r="Q27" s="359"/>
      <c r="R27" s="365"/>
      <c r="S27" s="359"/>
      <c r="T27" s="365"/>
      <c r="U27" s="359"/>
      <c r="V27" s="365"/>
      <c r="W27" s="359"/>
      <c r="X27" s="365"/>
      <c r="Y27" s="359"/>
      <c r="Z27" s="365"/>
      <c r="AA27" s="359"/>
      <c r="AB27" s="365"/>
      <c r="AC27" s="359"/>
      <c r="AD27" s="365"/>
      <c r="AE27" s="359"/>
      <c r="AF27" s="365"/>
      <c r="AG27" s="359"/>
      <c r="AH27" s="365"/>
      <c r="AI27" s="359"/>
      <c r="AJ27" s="365"/>
      <c r="AK27" s="359"/>
      <c r="AL27" s="365"/>
      <c r="AM27" s="359"/>
      <c r="AN27" s="365"/>
      <c r="AO27" s="359"/>
      <c r="AP27" s="365"/>
      <c r="AQ27" s="359"/>
      <c r="AR27" s="365"/>
      <c r="AS27" s="359"/>
      <c r="AT27" s="365"/>
      <c r="AU27" s="359"/>
      <c r="AV27" s="365"/>
      <c r="AW27" s="359"/>
      <c r="AX27" s="365"/>
      <c r="AY27" s="359"/>
      <c r="AZ27" s="365"/>
      <c r="BA27" s="359"/>
      <c r="BB27" s="365"/>
      <c r="BC27" s="359"/>
      <c r="BD27" s="365"/>
      <c r="BE27" s="359"/>
      <c r="BF27" s="365"/>
      <c r="BG27" s="359"/>
      <c r="BH27" s="365"/>
      <c r="BI27" s="359"/>
      <c r="BJ27" s="365"/>
      <c r="BK27" s="359"/>
      <c r="BL27" s="365"/>
      <c r="BM27" s="359"/>
      <c r="BN27" s="365"/>
      <c r="BO27" s="359"/>
      <c r="BP27" s="365"/>
      <c r="BQ27" s="359"/>
      <c r="BR27" s="365"/>
      <c r="BS27" s="359"/>
      <c r="BT27" s="365"/>
      <c r="BU27" s="359"/>
      <c r="BV27" s="365"/>
      <c r="BW27" s="359"/>
      <c r="BX27" s="365"/>
      <c r="BY27" s="359"/>
      <c r="BZ27" s="365"/>
      <c r="CA27" s="359"/>
      <c r="CB27" s="365"/>
      <c r="CC27" s="359"/>
      <c r="CD27" s="365"/>
      <c r="CE27" s="359"/>
      <c r="CF27" s="365"/>
      <c r="CG27" s="359"/>
      <c r="CH27" s="365"/>
      <c r="CI27" s="359"/>
      <c r="CJ27" s="365"/>
      <c r="CK27" s="359"/>
      <c r="CL27" s="365"/>
      <c r="CM27" s="359"/>
      <c r="CN27" s="365"/>
      <c r="CO27" s="359"/>
      <c r="CP27" s="365"/>
      <c r="CQ27" s="359"/>
      <c r="CR27" s="365"/>
      <c r="CS27" s="359"/>
      <c r="CT27" s="365"/>
      <c r="CU27" s="359"/>
      <c r="CV27" s="365"/>
      <c r="CW27" s="359"/>
      <c r="CX27" s="365"/>
      <c r="CY27" s="359"/>
      <c r="CZ27" s="365"/>
      <c r="DA27" s="359"/>
      <c r="DB27" s="365"/>
      <c r="DC27" s="359"/>
      <c r="DD27" s="365"/>
      <c r="DE27" s="368"/>
    </row>
    <row r="28" spans="1:109" ht="13.5" customHeight="1" x14ac:dyDescent="0.2">
      <c r="A28" s="354" t="s">
        <v>153</v>
      </c>
      <c r="B28" s="356"/>
      <c r="C28" s="354"/>
      <c r="D28" s="354"/>
      <c r="E28" s="354"/>
      <c r="G28" s="384"/>
      <c r="H28" s="364"/>
      <c r="I28" s="364"/>
      <c r="J28" s="365"/>
      <c r="K28" s="359"/>
      <c r="L28" s="365"/>
      <c r="M28" s="359"/>
      <c r="N28" s="365"/>
      <c r="O28" s="359"/>
      <c r="P28" s="365"/>
      <c r="Q28" s="359"/>
      <c r="R28" s="365"/>
      <c r="S28" s="359"/>
      <c r="T28" s="365"/>
      <c r="U28" s="359"/>
      <c r="V28" s="365"/>
      <c r="W28" s="359"/>
      <c r="X28" s="365"/>
      <c r="Y28" s="359"/>
      <c r="Z28" s="365"/>
      <c r="AA28" s="359"/>
      <c r="AB28" s="365"/>
      <c r="AC28" s="359"/>
      <c r="AD28" s="365"/>
      <c r="AE28" s="359"/>
      <c r="AF28" s="365"/>
      <c r="AG28" s="359"/>
      <c r="AH28" s="365"/>
      <c r="AI28" s="359"/>
      <c r="AJ28" s="365"/>
      <c r="AK28" s="359"/>
      <c r="AL28" s="365"/>
      <c r="AM28" s="359"/>
      <c r="AN28" s="365"/>
      <c r="AO28" s="359"/>
      <c r="AP28" s="365"/>
      <c r="AQ28" s="359"/>
      <c r="AR28" s="365"/>
      <c r="AS28" s="359"/>
      <c r="AT28" s="365"/>
      <c r="AU28" s="359"/>
      <c r="AV28" s="365"/>
      <c r="AW28" s="359"/>
      <c r="AX28" s="365"/>
      <c r="AY28" s="359"/>
      <c r="AZ28" s="365"/>
      <c r="BA28" s="359"/>
      <c r="BB28" s="365"/>
      <c r="BC28" s="359"/>
      <c r="BD28" s="365"/>
      <c r="BE28" s="359"/>
      <c r="BF28" s="365"/>
      <c r="BG28" s="359"/>
      <c r="BH28" s="365"/>
      <c r="BI28" s="359"/>
      <c r="BJ28" s="365"/>
      <c r="BK28" s="359"/>
      <c r="BL28" s="365"/>
      <c r="BM28" s="359"/>
      <c r="BN28" s="365"/>
      <c r="BO28" s="359"/>
      <c r="BP28" s="365"/>
      <c r="BQ28" s="359"/>
      <c r="BR28" s="365"/>
      <c r="BS28" s="359"/>
      <c r="BT28" s="365"/>
      <c r="BU28" s="359"/>
      <c r="BV28" s="365"/>
      <c r="BW28" s="359"/>
      <c r="BX28" s="365"/>
      <c r="BY28" s="359"/>
      <c r="BZ28" s="365"/>
      <c r="CA28" s="359"/>
      <c r="CB28" s="365"/>
      <c r="CC28" s="359"/>
      <c r="CD28" s="365"/>
      <c r="CE28" s="359"/>
      <c r="CF28" s="365"/>
      <c r="CG28" s="359"/>
      <c r="CH28" s="365"/>
      <c r="CI28" s="359"/>
      <c r="CJ28" s="365"/>
      <c r="CK28" s="359"/>
      <c r="CL28" s="365"/>
      <c r="CM28" s="359"/>
      <c r="CN28" s="365"/>
      <c r="CO28" s="359"/>
      <c r="CP28" s="365"/>
      <c r="CQ28" s="359"/>
      <c r="CR28" s="365"/>
      <c r="CS28" s="359"/>
      <c r="CT28" s="365"/>
      <c r="CU28" s="359"/>
      <c r="CV28" s="365"/>
      <c r="CW28" s="359"/>
      <c r="CX28" s="365"/>
      <c r="CY28" s="359"/>
      <c r="CZ28" s="365"/>
      <c r="DA28" s="359"/>
      <c r="DB28" s="365"/>
      <c r="DC28" s="359"/>
      <c r="DD28" s="365"/>
      <c r="DE28" s="368"/>
    </row>
    <row r="29" spans="1:109" ht="13.5" customHeight="1" x14ac:dyDescent="0.2">
      <c r="A29" s="354" t="s">
        <v>154</v>
      </c>
      <c r="B29" s="356"/>
      <c r="C29" s="354"/>
      <c r="D29" s="354"/>
      <c r="E29" s="354"/>
      <c r="G29" s="384"/>
      <c r="H29" s="364"/>
      <c r="I29" s="364"/>
      <c r="J29" s="365"/>
      <c r="K29" s="359"/>
      <c r="L29" s="366"/>
      <c r="M29" s="359"/>
      <c r="N29" s="365"/>
      <c r="O29" s="359"/>
      <c r="P29" s="365"/>
      <c r="Q29" s="359"/>
      <c r="R29" s="365"/>
      <c r="S29" s="359"/>
      <c r="T29" s="365"/>
      <c r="U29" s="359"/>
      <c r="V29" s="365"/>
      <c r="W29" s="359"/>
      <c r="X29" s="365"/>
      <c r="Y29" s="359"/>
      <c r="Z29" s="365"/>
      <c r="AA29" s="359"/>
      <c r="AB29" s="365"/>
      <c r="AC29" s="359"/>
      <c r="AD29" s="365"/>
      <c r="AE29" s="359"/>
      <c r="AF29" s="365"/>
      <c r="AG29" s="359"/>
      <c r="AH29" s="365"/>
      <c r="AI29" s="359"/>
      <c r="AJ29" s="365"/>
      <c r="AK29" s="359"/>
      <c r="AL29" s="365"/>
      <c r="AM29" s="359"/>
      <c r="AN29" s="365"/>
      <c r="AO29" s="359"/>
      <c r="AP29" s="365"/>
      <c r="AQ29" s="359"/>
      <c r="AR29" s="365"/>
      <c r="AS29" s="359"/>
      <c r="AT29" s="365"/>
      <c r="AU29" s="359"/>
      <c r="AV29" s="365"/>
      <c r="AW29" s="359"/>
      <c r="AX29" s="365"/>
      <c r="AY29" s="359"/>
      <c r="AZ29" s="365"/>
      <c r="BA29" s="359"/>
      <c r="BB29" s="365"/>
      <c r="BC29" s="359"/>
      <c r="BD29" s="365"/>
      <c r="BE29" s="359"/>
      <c r="BF29" s="365"/>
      <c r="BG29" s="359"/>
      <c r="BH29" s="365"/>
      <c r="BI29" s="359"/>
      <c r="BJ29" s="365"/>
      <c r="BK29" s="359"/>
      <c r="BL29" s="365"/>
      <c r="BM29" s="359"/>
      <c r="BN29" s="365"/>
      <c r="BO29" s="359"/>
      <c r="BP29" s="365"/>
      <c r="BQ29" s="359"/>
      <c r="BR29" s="365"/>
      <c r="BS29" s="359"/>
      <c r="BT29" s="365"/>
      <c r="BU29" s="359"/>
      <c r="BV29" s="365"/>
      <c r="BW29" s="359"/>
      <c r="BX29" s="365"/>
      <c r="BY29" s="359"/>
      <c r="BZ29" s="365"/>
      <c r="CA29" s="359"/>
      <c r="CB29" s="365"/>
      <c r="CC29" s="359"/>
      <c r="CD29" s="365"/>
      <c r="CE29" s="359"/>
      <c r="CF29" s="365"/>
      <c r="CG29" s="359"/>
      <c r="CH29" s="365"/>
      <c r="CI29" s="359"/>
      <c r="CJ29" s="365"/>
      <c r="CK29" s="359"/>
      <c r="CL29" s="365"/>
      <c r="CM29" s="359"/>
      <c r="CN29" s="365"/>
      <c r="CO29" s="359"/>
      <c r="CP29" s="365"/>
      <c r="CQ29" s="359"/>
      <c r="CR29" s="365"/>
      <c r="CS29" s="359"/>
      <c r="CT29" s="365"/>
      <c r="CU29" s="359"/>
      <c r="CV29" s="365"/>
      <c r="CW29" s="359"/>
      <c r="CX29" s="365"/>
      <c r="CY29" s="359"/>
      <c r="CZ29" s="365"/>
      <c r="DA29" s="359"/>
      <c r="DB29" s="365"/>
      <c r="DC29" s="359"/>
      <c r="DD29" s="365"/>
      <c r="DE29" s="368"/>
    </row>
    <row r="30" spans="1:109" ht="13.5" customHeight="1" x14ac:dyDescent="0.2">
      <c r="A30" s="354" t="s">
        <v>155</v>
      </c>
      <c r="B30" s="356"/>
      <c r="C30" s="354"/>
      <c r="D30" s="354"/>
      <c r="E30" s="354"/>
      <c r="G30" s="384"/>
      <c r="H30" s="364"/>
      <c r="I30" s="364"/>
      <c r="J30" s="365"/>
      <c r="K30" s="359"/>
      <c r="L30" s="365"/>
      <c r="M30" s="359"/>
      <c r="N30" s="365"/>
      <c r="O30" s="359"/>
      <c r="P30" s="365"/>
      <c r="Q30" s="359"/>
      <c r="R30" s="365"/>
      <c r="S30" s="359"/>
      <c r="T30" s="365"/>
      <c r="U30" s="359"/>
      <c r="V30" s="365"/>
      <c r="W30" s="359"/>
      <c r="X30" s="365"/>
      <c r="Y30" s="359"/>
      <c r="Z30" s="365"/>
      <c r="AA30" s="359"/>
      <c r="AB30" s="365"/>
      <c r="AC30" s="359"/>
      <c r="AD30" s="365"/>
      <c r="AE30" s="359"/>
      <c r="AF30" s="365"/>
      <c r="AG30" s="359"/>
      <c r="AH30" s="365"/>
      <c r="AI30" s="359"/>
      <c r="AJ30" s="365"/>
      <c r="AK30" s="359"/>
      <c r="AL30" s="365"/>
      <c r="AM30" s="359"/>
      <c r="AN30" s="365"/>
      <c r="AO30" s="359"/>
      <c r="AP30" s="365"/>
      <c r="AQ30" s="359"/>
      <c r="AR30" s="365"/>
      <c r="AS30" s="359"/>
      <c r="AT30" s="365"/>
      <c r="AU30" s="359"/>
      <c r="AV30" s="365"/>
      <c r="AW30" s="359"/>
      <c r="AX30" s="365"/>
      <c r="AY30" s="359"/>
      <c r="AZ30" s="365"/>
      <c r="BA30" s="359"/>
      <c r="BB30" s="365"/>
      <c r="BC30" s="359"/>
      <c r="BD30" s="365"/>
      <c r="BE30" s="359"/>
      <c r="BF30" s="365"/>
      <c r="BG30" s="359"/>
      <c r="BH30" s="365"/>
      <c r="BI30" s="359"/>
      <c r="BJ30" s="365"/>
      <c r="BK30" s="359"/>
      <c r="BL30" s="365"/>
      <c r="BM30" s="359"/>
      <c r="BN30" s="365"/>
      <c r="BO30" s="359"/>
      <c r="BP30" s="365"/>
      <c r="BQ30" s="359"/>
      <c r="BR30" s="365"/>
      <c r="BS30" s="359"/>
      <c r="BT30" s="365"/>
      <c r="BU30" s="359"/>
      <c r="BV30" s="365"/>
      <c r="BW30" s="359"/>
      <c r="BX30" s="365"/>
      <c r="BY30" s="359"/>
      <c r="BZ30" s="365"/>
      <c r="CA30" s="359"/>
      <c r="CB30" s="365"/>
      <c r="CC30" s="359"/>
      <c r="CD30" s="365"/>
      <c r="CE30" s="359"/>
      <c r="CF30" s="365"/>
      <c r="CG30" s="359"/>
      <c r="CH30" s="365"/>
      <c r="CI30" s="359"/>
      <c r="CJ30" s="365"/>
      <c r="CK30" s="359"/>
      <c r="CL30" s="365"/>
      <c r="CM30" s="359"/>
      <c r="CN30" s="365"/>
      <c r="CO30" s="359"/>
      <c r="CP30" s="365"/>
      <c r="CQ30" s="359"/>
      <c r="CR30" s="365"/>
      <c r="CS30" s="359"/>
      <c r="CT30" s="365"/>
      <c r="CU30" s="359"/>
      <c r="CV30" s="365"/>
      <c r="CW30" s="359"/>
      <c r="CX30" s="365"/>
      <c r="CY30" s="359"/>
      <c r="CZ30" s="365"/>
      <c r="DA30" s="359"/>
      <c r="DB30" s="365"/>
      <c r="DC30" s="359"/>
      <c r="DD30" s="365"/>
      <c r="DE30" s="368"/>
    </row>
    <row r="31" spans="1:109" ht="13.5" customHeight="1" x14ac:dyDescent="0.2">
      <c r="A31" s="354" t="s">
        <v>156</v>
      </c>
      <c r="B31" s="356"/>
      <c r="C31" s="354"/>
      <c r="D31" s="354"/>
      <c r="E31" s="354"/>
      <c r="G31" s="384"/>
      <c r="H31" s="364"/>
      <c r="I31" s="364"/>
      <c r="J31" s="365"/>
      <c r="K31" s="359"/>
      <c r="L31" s="366"/>
      <c r="M31" s="359"/>
      <c r="N31" s="365"/>
      <c r="O31" s="359"/>
      <c r="P31" s="365"/>
      <c r="Q31" s="359"/>
      <c r="R31" s="365"/>
      <c r="S31" s="359"/>
      <c r="T31" s="365"/>
      <c r="U31" s="359"/>
      <c r="V31" s="365"/>
      <c r="W31" s="359"/>
      <c r="X31" s="365"/>
      <c r="Y31" s="359"/>
      <c r="Z31" s="365"/>
      <c r="AA31" s="359"/>
      <c r="AB31" s="365"/>
      <c r="AC31" s="359"/>
      <c r="AD31" s="365"/>
      <c r="AE31" s="359"/>
      <c r="AF31" s="365"/>
      <c r="AG31" s="359"/>
      <c r="AH31" s="365"/>
      <c r="AI31" s="359"/>
      <c r="AJ31" s="365"/>
      <c r="AK31" s="359"/>
      <c r="AL31" s="365"/>
      <c r="AM31" s="359"/>
      <c r="AN31" s="365"/>
      <c r="AO31" s="359"/>
      <c r="AP31" s="365"/>
      <c r="AQ31" s="359"/>
      <c r="AR31" s="365"/>
      <c r="AS31" s="359"/>
      <c r="AT31" s="365"/>
      <c r="AU31" s="359"/>
      <c r="AV31" s="365"/>
      <c r="AW31" s="359"/>
      <c r="AX31" s="365"/>
      <c r="AY31" s="359"/>
      <c r="AZ31" s="365"/>
      <c r="BA31" s="359"/>
      <c r="BB31" s="365"/>
      <c r="BC31" s="359"/>
      <c r="BD31" s="365"/>
      <c r="BE31" s="359"/>
      <c r="BF31" s="365"/>
      <c r="BG31" s="359"/>
      <c r="BH31" s="365"/>
      <c r="BI31" s="359"/>
      <c r="BJ31" s="365"/>
      <c r="BK31" s="359"/>
      <c r="BL31" s="365"/>
      <c r="BM31" s="359"/>
      <c r="BN31" s="365"/>
      <c r="BO31" s="359"/>
      <c r="BP31" s="365"/>
      <c r="BQ31" s="359"/>
      <c r="BR31" s="365"/>
      <c r="BS31" s="359"/>
      <c r="BT31" s="365"/>
      <c r="BU31" s="359"/>
      <c r="BV31" s="365"/>
      <c r="BW31" s="359"/>
      <c r="BX31" s="365"/>
      <c r="BY31" s="359"/>
      <c r="BZ31" s="365"/>
      <c r="CA31" s="359"/>
      <c r="CB31" s="365"/>
      <c r="CC31" s="359"/>
      <c r="CD31" s="365"/>
      <c r="CE31" s="359"/>
      <c r="CF31" s="365"/>
      <c r="CG31" s="359"/>
      <c r="CH31" s="365"/>
      <c r="CI31" s="359"/>
      <c r="CJ31" s="365"/>
      <c r="CK31" s="359"/>
      <c r="CL31" s="365"/>
      <c r="CM31" s="359"/>
      <c r="CN31" s="365"/>
      <c r="CO31" s="359"/>
      <c r="CP31" s="365"/>
      <c r="CQ31" s="359"/>
      <c r="CR31" s="365"/>
      <c r="CS31" s="359"/>
      <c r="CT31" s="365"/>
      <c r="CU31" s="359"/>
      <c r="CV31" s="365"/>
      <c r="CW31" s="359"/>
      <c r="CX31" s="365"/>
      <c r="CY31" s="359"/>
      <c r="CZ31" s="365"/>
      <c r="DA31" s="359"/>
      <c r="DB31" s="365"/>
      <c r="DC31" s="359"/>
      <c r="DD31" s="365"/>
      <c r="DE31" s="368"/>
    </row>
    <row r="32" spans="1:109" ht="13.5" customHeight="1" x14ac:dyDescent="0.2">
      <c r="A32" s="354" t="s">
        <v>157</v>
      </c>
      <c r="B32" s="355"/>
      <c r="C32" s="367"/>
      <c r="D32" s="367"/>
      <c r="E32" s="367"/>
      <c r="G32" s="384"/>
      <c r="H32" s="364"/>
      <c r="I32" s="364"/>
      <c r="J32" s="365"/>
      <c r="K32" s="359"/>
      <c r="L32" s="365"/>
      <c r="M32" s="359"/>
      <c r="N32" s="365"/>
      <c r="O32" s="359"/>
      <c r="P32" s="365"/>
      <c r="Q32" s="359"/>
      <c r="R32" s="365"/>
      <c r="S32" s="359"/>
      <c r="T32" s="365"/>
      <c r="U32" s="359"/>
      <c r="V32" s="365"/>
      <c r="W32" s="359"/>
      <c r="X32" s="365"/>
      <c r="Y32" s="359"/>
      <c r="Z32" s="365"/>
      <c r="AA32" s="359"/>
      <c r="AB32" s="365"/>
      <c r="AC32" s="359"/>
      <c r="AD32" s="365"/>
      <c r="AE32" s="359"/>
      <c r="AF32" s="365"/>
      <c r="AG32" s="359"/>
      <c r="AH32" s="365"/>
      <c r="AI32" s="359"/>
      <c r="AJ32" s="365"/>
      <c r="AK32" s="359"/>
      <c r="AL32" s="365"/>
      <c r="AM32" s="359"/>
      <c r="AN32" s="365"/>
      <c r="AO32" s="359"/>
      <c r="AP32" s="365"/>
      <c r="AQ32" s="359"/>
      <c r="AR32" s="365"/>
      <c r="AS32" s="359"/>
      <c r="AT32" s="365"/>
      <c r="AU32" s="359"/>
      <c r="AV32" s="365"/>
      <c r="AW32" s="359"/>
      <c r="AX32" s="365"/>
      <c r="AY32" s="359"/>
      <c r="AZ32" s="365"/>
      <c r="BA32" s="359"/>
      <c r="BB32" s="365"/>
      <c r="BC32" s="359"/>
      <c r="BD32" s="365"/>
      <c r="BE32" s="359"/>
      <c r="BF32" s="365"/>
      <c r="BG32" s="359"/>
      <c r="BH32" s="365"/>
      <c r="BI32" s="359"/>
      <c r="BJ32" s="365"/>
      <c r="BK32" s="359"/>
      <c r="BL32" s="365"/>
      <c r="BM32" s="359"/>
      <c r="BN32" s="365"/>
      <c r="BO32" s="359"/>
      <c r="BP32" s="365"/>
      <c r="BQ32" s="359"/>
      <c r="BR32" s="365"/>
      <c r="BS32" s="359"/>
      <c r="BT32" s="365"/>
      <c r="BU32" s="359"/>
      <c r="BV32" s="365"/>
      <c r="BW32" s="359"/>
      <c r="BX32" s="365"/>
      <c r="BY32" s="359"/>
      <c r="BZ32" s="365"/>
      <c r="CA32" s="359"/>
      <c r="CB32" s="365"/>
      <c r="CC32" s="359"/>
      <c r="CD32" s="365"/>
      <c r="CE32" s="359"/>
      <c r="CF32" s="365"/>
      <c r="CG32" s="359"/>
      <c r="CH32" s="365"/>
      <c r="CI32" s="359"/>
      <c r="CJ32" s="365"/>
      <c r="CK32" s="359"/>
      <c r="CL32" s="365"/>
      <c r="CM32" s="359"/>
      <c r="CN32" s="365"/>
      <c r="CO32" s="359"/>
      <c r="CP32" s="365"/>
      <c r="CQ32" s="359"/>
      <c r="CR32" s="365"/>
      <c r="CS32" s="359"/>
      <c r="CT32" s="365"/>
      <c r="CU32" s="359"/>
      <c r="CV32" s="365"/>
      <c r="CW32" s="359"/>
      <c r="CX32" s="365"/>
      <c r="CY32" s="359"/>
      <c r="CZ32" s="365"/>
      <c r="DA32" s="359"/>
      <c r="DB32" s="365"/>
      <c r="DC32" s="359"/>
      <c r="DD32" s="365"/>
      <c r="DE32" s="368"/>
    </row>
    <row r="33" spans="1:109" ht="13.5" customHeight="1" x14ac:dyDescent="0.2">
      <c r="A33" s="354" t="s">
        <v>158</v>
      </c>
      <c r="B33" s="356"/>
      <c r="C33" s="354"/>
      <c r="D33" s="354"/>
      <c r="E33" s="354"/>
      <c r="G33" s="384"/>
      <c r="H33" s="364"/>
      <c r="I33" s="364"/>
      <c r="J33" s="365"/>
      <c r="K33" s="359"/>
      <c r="L33" s="366"/>
      <c r="M33" s="359"/>
      <c r="N33" s="365"/>
      <c r="O33" s="359"/>
      <c r="P33" s="365"/>
      <c r="Q33" s="359"/>
      <c r="R33" s="365"/>
      <c r="S33" s="359"/>
      <c r="T33" s="365"/>
      <c r="U33" s="359"/>
      <c r="V33" s="365"/>
      <c r="W33" s="359"/>
      <c r="X33" s="365"/>
      <c r="Y33" s="359"/>
      <c r="Z33" s="365"/>
      <c r="AA33" s="359"/>
      <c r="AB33" s="365"/>
      <c r="AC33" s="359"/>
      <c r="AD33" s="365"/>
      <c r="AE33" s="359"/>
      <c r="AF33" s="365"/>
      <c r="AG33" s="359"/>
      <c r="AH33" s="365"/>
      <c r="AI33" s="359"/>
      <c r="AJ33" s="365"/>
      <c r="AK33" s="359"/>
      <c r="AL33" s="365"/>
      <c r="AM33" s="359"/>
      <c r="AN33" s="365"/>
      <c r="AO33" s="359"/>
      <c r="AP33" s="365"/>
      <c r="AQ33" s="359"/>
      <c r="AR33" s="365"/>
      <c r="AS33" s="359"/>
      <c r="AT33" s="365"/>
      <c r="AU33" s="359"/>
      <c r="AV33" s="365"/>
      <c r="AW33" s="359"/>
      <c r="AX33" s="365"/>
      <c r="AY33" s="359"/>
      <c r="AZ33" s="365"/>
      <c r="BA33" s="359"/>
      <c r="BB33" s="365"/>
      <c r="BC33" s="359"/>
      <c r="BD33" s="365"/>
      <c r="BE33" s="359"/>
      <c r="BF33" s="365"/>
      <c r="BG33" s="359"/>
      <c r="BH33" s="365"/>
      <c r="BI33" s="359"/>
      <c r="BJ33" s="365"/>
      <c r="BK33" s="359"/>
      <c r="BL33" s="365"/>
      <c r="BM33" s="359"/>
      <c r="BN33" s="365"/>
      <c r="BO33" s="359"/>
      <c r="BP33" s="365"/>
      <c r="BQ33" s="359"/>
      <c r="BR33" s="365"/>
      <c r="BS33" s="359"/>
      <c r="BT33" s="365"/>
      <c r="BU33" s="359"/>
      <c r="BV33" s="365"/>
      <c r="BW33" s="359"/>
      <c r="BX33" s="365"/>
      <c r="BY33" s="359"/>
      <c r="BZ33" s="365"/>
      <c r="CA33" s="359"/>
      <c r="CB33" s="365"/>
      <c r="CC33" s="359"/>
      <c r="CD33" s="365"/>
      <c r="CE33" s="359"/>
      <c r="CF33" s="365"/>
      <c r="CG33" s="359"/>
      <c r="CH33" s="365"/>
      <c r="CI33" s="359"/>
      <c r="CJ33" s="365"/>
      <c r="CK33" s="359"/>
      <c r="CL33" s="365"/>
      <c r="CM33" s="359"/>
      <c r="CN33" s="365"/>
      <c r="CO33" s="359"/>
      <c r="CP33" s="365"/>
      <c r="CQ33" s="359"/>
      <c r="CR33" s="365"/>
      <c r="CS33" s="359"/>
      <c r="CT33" s="365"/>
      <c r="CU33" s="359"/>
      <c r="CV33" s="365"/>
      <c r="CW33" s="359"/>
      <c r="CX33" s="365"/>
      <c r="CY33" s="359"/>
      <c r="CZ33" s="365"/>
      <c r="DA33" s="359"/>
      <c r="DB33" s="365"/>
      <c r="DC33" s="359"/>
      <c r="DD33" s="365"/>
      <c r="DE33" s="368"/>
    </row>
    <row r="34" spans="1:109" ht="13.5" customHeight="1" x14ac:dyDescent="0.2">
      <c r="A34" s="354" t="s">
        <v>159</v>
      </c>
      <c r="B34" s="356"/>
      <c r="C34" s="354"/>
      <c r="D34" s="354"/>
      <c r="E34" s="354"/>
      <c r="G34" s="384"/>
      <c r="H34" s="364"/>
      <c r="I34" s="364"/>
      <c r="J34" s="365"/>
      <c r="K34" s="359"/>
      <c r="L34" s="365"/>
      <c r="M34" s="359"/>
      <c r="N34" s="365"/>
      <c r="O34" s="359"/>
      <c r="P34" s="365"/>
      <c r="Q34" s="359"/>
      <c r="R34" s="365"/>
      <c r="S34" s="359"/>
      <c r="T34" s="365"/>
      <c r="U34" s="359"/>
      <c r="V34" s="365"/>
      <c r="W34" s="359"/>
      <c r="X34" s="365"/>
      <c r="Y34" s="359"/>
      <c r="Z34" s="365"/>
      <c r="AA34" s="359"/>
      <c r="AB34" s="365"/>
      <c r="AC34" s="359"/>
      <c r="AD34" s="365"/>
      <c r="AE34" s="359"/>
      <c r="AF34" s="365"/>
      <c r="AG34" s="359"/>
      <c r="AH34" s="365"/>
      <c r="AI34" s="359"/>
      <c r="AJ34" s="365"/>
      <c r="AK34" s="359"/>
      <c r="AL34" s="365"/>
      <c r="AM34" s="359"/>
      <c r="AN34" s="365"/>
      <c r="AO34" s="359"/>
      <c r="AP34" s="365"/>
      <c r="AQ34" s="359"/>
      <c r="AR34" s="365"/>
      <c r="AS34" s="359"/>
      <c r="AT34" s="365"/>
      <c r="AU34" s="359"/>
      <c r="AV34" s="365"/>
      <c r="AW34" s="359"/>
      <c r="AX34" s="365"/>
      <c r="AY34" s="359"/>
      <c r="AZ34" s="365"/>
      <c r="BA34" s="359"/>
      <c r="BB34" s="365"/>
      <c r="BC34" s="359"/>
      <c r="BD34" s="365"/>
      <c r="BE34" s="359"/>
      <c r="BF34" s="365"/>
      <c r="BG34" s="359"/>
      <c r="BH34" s="365"/>
      <c r="BI34" s="359"/>
      <c r="BJ34" s="365"/>
      <c r="BK34" s="359"/>
      <c r="BL34" s="365"/>
      <c r="BM34" s="359"/>
      <c r="BN34" s="365"/>
      <c r="BO34" s="359"/>
      <c r="BP34" s="365"/>
      <c r="BQ34" s="359"/>
      <c r="BR34" s="365"/>
      <c r="BS34" s="359"/>
      <c r="BT34" s="365"/>
      <c r="BU34" s="359"/>
      <c r="BV34" s="365"/>
      <c r="BW34" s="359"/>
      <c r="BX34" s="365"/>
      <c r="BY34" s="359"/>
      <c r="BZ34" s="365"/>
      <c r="CA34" s="359"/>
      <c r="CB34" s="365"/>
      <c r="CC34" s="359"/>
      <c r="CD34" s="365"/>
      <c r="CE34" s="359"/>
      <c r="CF34" s="365"/>
      <c r="CG34" s="359"/>
      <c r="CH34" s="365"/>
      <c r="CI34" s="359"/>
      <c r="CJ34" s="365"/>
      <c r="CK34" s="359"/>
      <c r="CL34" s="365"/>
      <c r="CM34" s="359"/>
      <c r="CN34" s="365"/>
      <c r="CO34" s="359"/>
      <c r="CP34" s="365"/>
      <c r="CQ34" s="359"/>
      <c r="CR34" s="365"/>
      <c r="CS34" s="359"/>
      <c r="CT34" s="365"/>
      <c r="CU34" s="359"/>
      <c r="CV34" s="365"/>
      <c r="CW34" s="359"/>
      <c r="CX34" s="365"/>
      <c r="CY34" s="359"/>
      <c r="CZ34" s="365"/>
      <c r="DA34" s="359"/>
      <c r="DB34" s="365"/>
      <c r="DC34" s="359"/>
      <c r="DD34" s="365"/>
      <c r="DE34" s="368"/>
    </row>
    <row r="35" spans="1:109" ht="13.5" customHeight="1" x14ac:dyDescent="0.2">
      <c r="A35" s="354" t="s">
        <v>160</v>
      </c>
      <c r="B35" s="356"/>
      <c r="C35" s="354"/>
      <c r="D35" s="354"/>
      <c r="E35" s="354"/>
      <c r="G35" s="384"/>
      <c r="H35" s="364"/>
      <c r="I35" s="364"/>
      <c r="J35" s="365"/>
      <c r="K35" s="359"/>
      <c r="L35" s="366"/>
      <c r="M35" s="359"/>
      <c r="N35" s="365"/>
      <c r="O35" s="359"/>
      <c r="P35" s="365"/>
      <c r="Q35" s="359"/>
      <c r="R35" s="365"/>
      <c r="S35" s="359"/>
      <c r="T35" s="365"/>
      <c r="U35" s="359"/>
      <c r="V35" s="365"/>
      <c r="W35" s="359"/>
      <c r="X35" s="365"/>
      <c r="Y35" s="359"/>
      <c r="Z35" s="365"/>
      <c r="AA35" s="359"/>
      <c r="AB35" s="365"/>
      <c r="AC35" s="359"/>
      <c r="AD35" s="365"/>
      <c r="AE35" s="359"/>
      <c r="AF35" s="365"/>
      <c r="AG35" s="359"/>
      <c r="AH35" s="365"/>
      <c r="AI35" s="359"/>
      <c r="AJ35" s="365"/>
      <c r="AK35" s="359"/>
      <c r="AL35" s="365"/>
      <c r="AM35" s="359"/>
      <c r="AN35" s="365"/>
      <c r="AO35" s="359"/>
      <c r="AP35" s="365"/>
      <c r="AQ35" s="359"/>
      <c r="AR35" s="365"/>
      <c r="AS35" s="359"/>
      <c r="AT35" s="365"/>
      <c r="AU35" s="359"/>
      <c r="AV35" s="365"/>
      <c r="AW35" s="359"/>
      <c r="AX35" s="365"/>
      <c r="AY35" s="359"/>
      <c r="AZ35" s="365"/>
      <c r="BA35" s="359"/>
      <c r="BB35" s="365"/>
      <c r="BC35" s="359"/>
      <c r="BD35" s="365"/>
      <c r="BE35" s="359"/>
      <c r="BF35" s="365"/>
      <c r="BG35" s="359"/>
      <c r="BH35" s="365"/>
      <c r="BI35" s="359"/>
      <c r="BJ35" s="365"/>
      <c r="BK35" s="359"/>
      <c r="BL35" s="365"/>
      <c r="BM35" s="359"/>
      <c r="BN35" s="365"/>
      <c r="BO35" s="359"/>
      <c r="BP35" s="365"/>
      <c r="BQ35" s="359"/>
      <c r="BR35" s="365"/>
      <c r="BS35" s="359"/>
      <c r="BT35" s="365"/>
      <c r="BU35" s="359"/>
      <c r="BV35" s="365"/>
      <c r="BW35" s="359"/>
      <c r="BX35" s="365"/>
      <c r="BY35" s="359"/>
      <c r="BZ35" s="365"/>
      <c r="CA35" s="359"/>
      <c r="CB35" s="365"/>
      <c r="CC35" s="359"/>
      <c r="CD35" s="365"/>
      <c r="CE35" s="359"/>
      <c r="CF35" s="365"/>
      <c r="CG35" s="359"/>
      <c r="CH35" s="365"/>
      <c r="CI35" s="359"/>
      <c r="CJ35" s="365"/>
      <c r="CK35" s="359"/>
      <c r="CL35" s="365"/>
      <c r="CM35" s="359"/>
      <c r="CN35" s="365"/>
      <c r="CO35" s="359"/>
      <c r="CP35" s="365"/>
      <c r="CQ35" s="359"/>
      <c r="CR35" s="365"/>
      <c r="CS35" s="359"/>
      <c r="CT35" s="365"/>
      <c r="CU35" s="359"/>
      <c r="CV35" s="365"/>
      <c r="CW35" s="359"/>
      <c r="CX35" s="365"/>
      <c r="CY35" s="359"/>
      <c r="CZ35" s="365"/>
      <c r="DA35" s="359"/>
      <c r="DB35" s="365"/>
      <c r="DC35" s="359"/>
      <c r="DD35" s="365"/>
      <c r="DE35" s="368"/>
    </row>
    <row r="36" spans="1:109" ht="13.5" customHeight="1" x14ac:dyDescent="0.2">
      <c r="A36" s="354" t="s">
        <v>161</v>
      </c>
      <c r="B36" s="356"/>
      <c r="C36" s="354"/>
      <c r="D36" s="354"/>
      <c r="E36" s="354"/>
      <c r="G36" s="384"/>
      <c r="H36" s="364"/>
      <c r="I36" s="364"/>
      <c r="J36" s="365"/>
      <c r="K36" s="359"/>
      <c r="L36" s="365"/>
      <c r="M36" s="359"/>
      <c r="N36" s="365"/>
      <c r="O36" s="359"/>
      <c r="P36" s="365"/>
      <c r="Q36" s="359"/>
      <c r="R36" s="365"/>
      <c r="S36" s="359"/>
      <c r="T36" s="365"/>
      <c r="U36" s="359"/>
      <c r="V36" s="365"/>
      <c r="W36" s="359"/>
      <c r="X36" s="365"/>
      <c r="Y36" s="359"/>
      <c r="Z36" s="365"/>
      <c r="AA36" s="359"/>
      <c r="AB36" s="365"/>
      <c r="AC36" s="359"/>
      <c r="AD36" s="365"/>
      <c r="AE36" s="359"/>
      <c r="AF36" s="365"/>
      <c r="AG36" s="359"/>
      <c r="AH36" s="365"/>
      <c r="AI36" s="359"/>
      <c r="AJ36" s="365"/>
      <c r="AK36" s="359"/>
      <c r="AL36" s="365"/>
      <c r="AM36" s="359"/>
      <c r="AN36" s="365"/>
      <c r="AO36" s="359"/>
      <c r="AP36" s="365"/>
      <c r="AQ36" s="359"/>
      <c r="AR36" s="365"/>
      <c r="AS36" s="359"/>
      <c r="AT36" s="365"/>
      <c r="AU36" s="359"/>
      <c r="AV36" s="365"/>
      <c r="AW36" s="359"/>
      <c r="AX36" s="365"/>
      <c r="AY36" s="359"/>
      <c r="AZ36" s="365"/>
      <c r="BA36" s="359"/>
      <c r="BB36" s="365"/>
      <c r="BC36" s="359"/>
      <c r="BD36" s="365"/>
      <c r="BE36" s="359"/>
      <c r="BF36" s="365"/>
      <c r="BG36" s="359"/>
      <c r="BH36" s="365"/>
      <c r="BI36" s="359"/>
      <c r="BJ36" s="365"/>
      <c r="BK36" s="359"/>
      <c r="BL36" s="365"/>
      <c r="BM36" s="359"/>
      <c r="BN36" s="365"/>
      <c r="BO36" s="359"/>
      <c r="BP36" s="365"/>
      <c r="BQ36" s="359"/>
      <c r="BR36" s="365"/>
      <c r="BS36" s="359"/>
      <c r="BT36" s="365"/>
      <c r="BU36" s="359"/>
      <c r="BV36" s="365"/>
      <c r="BW36" s="359"/>
      <c r="BX36" s="365"/>
      <c r="BY36" s="359"/>
      <c r="BZ36" s="365"/>
      <c r="CA36" s="359"/>
      <c r="CB36" s="365"/>
      <c r="CC36" s="359"/>
      <c r="CD36" s="365"/>
      <c r="CE36" s="359"/>
      <c r="CF36" s="365"/>
      <c r="CG36" s="359"/>
      <c r="CH36" s="365"/>
      <c r="CI36" s="359"/>
      <c r="CJ36" s="365"/>
      <c r="CK36" s="359"/>
      <c r="CL36" s="365"/>
      <c r="CM36" s="359"/>
      <c r="CN36" s="365"/>
      <c r="CO36" s="359"/>
      <c r="CP36" s="365"/>
      <c r="CQ36" s="359"/>
      <c r="CR36" s="365"/>
      <c r="CS36" s="359"/>
      <c r="CT36" s="365"/>
      <c r="CU36" s="359"/>
      <c r="CV36" s="365"/>
      <c r="CW36" s="359"/>
      <c r="CX36" s="365"/>
      <c r="CY36" s="359"/>
      <c r="CZ36" s="365"/>
      <c r="DA36" s="359"/>
      <c r="DB36" s="365"/>
      <c r="DC36" s="359"/>
      <c r="DD36" s="365"/>
      <c r="DE36" s="368"/>
    </row>
    <row r="37" spans="1:109" ht="13.5" customHeight="1" x14ac:dyDescent="0.2">
      <c r="A37" s="354" t="s">
        <v>162</v>
      </c>
      <c r="B37" s="356"/>
      <c r="C37" s="354"/>
      <c r="D37" s="354"/>
      <c r="E37" s="354"/>
      <c r="G37" s="386"/>
      <c r="H37" s="364"/>
      <c r="I37" s="364"/>
      <c r="J37" s="366"/>
      <c r="K37" s="360"/>
      <c r="L37" s="366"/>
      <c r="M37" s="360"/>
      <c r="N37" s="365"/>
      <c r="O37" s="359"/>
      <c r="P37" s="365"/>
      <c r="Q37" s="359"/>
      <c r="R37" s="365"/>
      <c r="S37" s="359"/>
      <c r="T37" s="365"/>
      <c r="U37" s="359"/>
      <c r="V37" s="365"/>
      <c r="W37" s="359"/>
      <c r="X37" s="365"/>
      <c r="Y37" s="359"/>
      <c r="Z37" s="365"/>
      <c r="AA37" s="359"/>
      <c r="AB37" s="365"/>
      <c r="AC37" s="359"/>
      <c r="AD37" s="365"/>
      <c r="AE37" s="359"/>
      <c r="AF37" s="365"/>
      <c r="AG37" s="359"/>
      <c r="AH37" s="365"/>
      <c r="AI37" s="359"/>
      <c r="AJ37" s="365"/>
      <c r="AK37" s="359"/>
      <c r="AL37" s="365"/>
      <c r="AM37" s="359"/>
      <c r="AN37" s="365"/>
      <c r="AO37" s="359"/>
      <c r="AP37" s="365"/>
      <c r="AQ37" s="359"/>
      <c r="AR37" s="365"/>
      <c r="AS37" s="359"/>
      <c r="AT37" s="365"/>
      <c r="AU37" s="359"/>
      <c r="AV37" s="365"/>
      <c r="AW37" s="359"/>
      <c r="AX37" s="365"/>
      <c r="AY37" s="359"/>
      <c r="AZ37" s="365"/>
      <c r="BA37" s="359"/>
      <c r="BB37" s="365"/>
      <c r="BC37" s="359"/>
      <c r="BD37" s="365"/>
      <c r="BE37" s="359"/>
      <c r="BF37" s="365"/>
      <c r="BG37" s="359"/>
      <c r="BH37" s="365"/>
      <c r="BI37" s="359"/>
      <c r="BJ37" s="365"/>
      <c r="BK37" s="359"/>
      <c r="BL37" s="365"/>
      <c r="BM37" s="359"/>
      <c r="BN37" s="365"/>
      <c r="BO37" s="359"/>
      <c r="BP37" s="365"/>
      <c r="BQ37" s="359"/>
      <c r="BR37" s="365"/>
      <c r="BS37" s="359"/>
      <c r="BT37" s="365"/>
      <c r="BU37" s="359"/>
      <c r="BV37" s="365"/>
      <c r="BW37" s="359"/>
      <c r="BX37" s="365"/>
      <c r="BY37" s="359"/>
      <c r="BZ37" s="365"/>
      <c r="CA37" s="359"/>
      <c r="CB37" s="365"/>
      <c r="CC37" s="359"/>
      <c r="CD37" s="365"/>
      <c r="CE37" s="359"/>
      <c r="CF37" s="365"/>
      <c r="CG37" s="359"/>
      <c r="CH37" s="365"/>
      <c r="CI37" s="359"/>
      <c r="CJ37" s="365"/>
      <c r="CK37" s="359"/>
      <c r="CL37" s="365"/>
      <c r="CM37" s="359"/>
      <c r="CN37" s="365"/>
      <c r="CO37" s="359"/>
      <c r="CP37" s="365"/>
      <c r="CQ37" s="359"/>
      <c r="CR37" s="365"/>
      <c r="CS37" s="359"/>
      <c r="CT37" s="365"/>
      <c r="CU37" s="359"/>
      <c r="CV37" s="365"/>
      <c r="CW37" s="359"/>
      <c r="CX37" s="365"/>
      <c r="CY37" s="359"/>
      <c r="CZ37" s="365"/>
      <c r="DA37" s="359"/>
      <c r="DB37" s="365"/>
      <c r="DC37" s="359"/>
      <c r="DD37" s="365"/>
      <c r="DE37" s="368"/>
    </row>
    <row r="38" spans="1:109" ht="13.5" customHeight="1" x14ac:dyDescent="0.2">
      <c r="A38" s="354" t="s">
        <v>163</v>
      </c>
      <c r="B38" s="356"/>
      <c r="C38" s="354"/>
      <c r="D38" s="354"/>
      <c r="E38" s="354"/>
      <c r="G38" s="386"/>
      <c r="H38" s="364"/>
      <c r="I38" s="364"/>
      <c r="J38" s="366"/>
      <c r="K38" s="360"/>
      <c r="L38" s="366"/>
      <c r="M38" s="359"/>
      <c r="N38" s="365"/>
      <c r="O38" s="359"/>
      <c r="P38" s="365"/>
      <c r="Q38" s="359"/>
      <c r="R38" s="365"/>
      <c r="S38" s="359"/>
      <c r="T38" s="365"/>
      <c r="U38" s="359"/>
      <c r="V38" s="365"/>
      <c r="W38" s="359"/>
      <c r="X38" s="365"/>
      <c r="Y38" s="359"/>
      <c r="Z38" s="365"/>
      <c r="AA38" s="359"/>
      <c r="AB38" s="365"/>
      <c r="AC38" s="359"/>
      <c r="AD38" s="365"/>
      <c r="AE38" s="359"/>
      <c r="AF38" s="365"/>
      <c r="AG38" s="359"/>
      <c r="AH38" s="365"/>
      <c r="AI38" s="359"/>
      <c r="AJ38" s="365"/>
      <c r="AK38" s="359"/>
      <c r="AL38" s="365"/>
      <c r="AM38" s="359"/>
      <c r="AN38" s="365"/>
      <c r="AO38" s="359"/>
      <c r="AP38" s="365"/>
      <c r="AQ38" s="359"/>
      <c r="AR38" s="365"/>
      <c r="AS38" s="359"/>
      <c r="AT38" s="365"/>
      <c r="AU38" s="359"/>
      <c r="AV38" s="365"/>
      <c r="AW38" s="359"/>
      <c r="AX38" s="365"/>
      <c r="AY38" s="359"/>
      <c r="AZ38" s="365"/>
      <c r="BA38" s="359"/>
      <c r="BB38" s="365"/>
      <c r="BC38" s="359"/>
      <c r="BD38" s="365"/>
      <c r="BE38" s="359"/>
      <c r="BF38" s="365"/>
      <c r="BG38" s="359"/>
      <c r="BH38" s="365"/>
      <c r="BI38" s="359"/>
      <c r="BJ38" s="365"/>
      <c r="BK38" s="359"/>
      <c r="BL38" s="365"/>
      <c r="BM38" s="359"/>
      <c r="BN38" s="365"/>
      <c r="BO38" s="359"/>
      <c r="BP38" s="365"/>
      <c r="BQ38" s="359"/>
      <c r="BR38" s="365"/>
      <c r="BS38" s="359"/>
      <c r="BT38" s="365"/>
      <c r="BU38" s="359"/>
      <c r="BV38" s="365"/>
      <c r="BW38" s="359"/>
      <c r="BX38" s="365"/>
      <c r="BY38" s="359"/>
      <c r="BZ38" s="365"/>
      <c r="CA38" s="359"/>
      <c r="CB38" s="365"/>
      <c r="CC38" s="359"/>
      <c r="CD38" s="365"/>
      <c r="CE38" s="359"/>
      <c r="CF38" s="365"/>
      <c r="CG38" s="359"/>
      <c r="CH38" s="365"/>
      <c r="CI38" s="359"/>
      <c r="CJ38" s="365"/>
      <c r="CK38" s="359"/>
      <c r="CL38" s="365"/>
      <c r="CM38" s="359"/>
      <c r="CN38" s="365"/>
      <c r="CO38" s="359"/>
      <c r="CP38" s="365"/>
      <c r="CQ38" s="359"/>
      <c r="CR38" s="365"/>
      <c r="CS38" s="359"/>
      <c r="CT38" s="365"/>
      <c r="CU38" s="359"/>
      <c r="CV38" s="365"/>
      <c r="CW38" s="359"/>
      <c r="CX38" s="365"/>
      <c r="CY38" s="359"/>
      <c r="CZ38" s="365"/>
      <c r="DA38" s="359"/>
      <c r="DB38" s="365"/>
      <c r="DC38" s="359"/>
      <c r="DD38" s="365"/>
      <c r="DE38" s="368"/>
    </row>
    <row r="39" spans="1:109" ht="13.5" customHeight="1" x14ac:dyDescent="0.2">
      <c r="A39" s="354" t="s">
        <v>164</v>
      </c>
      <c r="B39" s="356"/>
      <c r="C39" s="354"/>
      <c r="D39" s="354"/>
      <c r="E39" s="354"/>
      <c r="G39" s="386"/>
      <c r="H39" s="364"/>
      <c r="I39" s="364"/>
      <c r="J39" s="366"/>
      <c r="K39" s="360"/>
      <c r="L39" s="366"/>
      <c r="M39" s="360"/>
      <c r="N39" s="365"/>
      <c r="O39" s="359"/>
      <c r="P39" s="365"/>
      <c r="Q39" s="359"/>
      <c r="R39" s="365"/>
      <c r="S39" s="359"/>
      <c r="T39" s="365"/>
      <c r="U39" s="359"/>
      <c r="V39" s="365"/>
      <c r="W39" s="359"/>
      <c r="X39" s="365"/>
      <c r="Y39" s="359"/>
      <c r="Z39" s="365"/>
      <c r="AA39" s="359"/>
      <c r="AB39" s="365"/>
      <c r="AC39" s="359"/>
      <c r="AD39" s="365"/>
      <c r="AE39" s="359"/>
      <c r="AF39" s="365"/>
      <c r="AG39" s="359"/>
      <c r="AH39" s="365"/>
      <c r="AI39" s="359"/>
      <c r="AJ39" s="365"/>
      <c r="AK39" s="359"/>
      <c r="AL39" s="365"/>
      <c r="AM39" s="359"/>
      <c r="AN39" s="365"/>
      <c r="AO39" s="359"/>
      <c r="AP39" s="365"/>
      <c r="AQ39" s="359"/>
      <c r="AR39" s="365"/>
      <c r="AS39" s="359"/>
      <c r="AT39" s="365"/>
      <c r="AU39" s="359"/>
      <c r="AV39" s="365"/>
      <c r="AW39" s="359"/>
      <c r="AX39" s="365"/>
      <c r="AY39" s="359"/>
      <c r="AZ39" s="365"/>
      <c r="BA39" s="359"/>
      <c r="BB39" s="365"/>
      <c r="BC39" s="359"/>
      <c r="BD39" s="365"/>
      <c r="BE39" s="359"/>
      <c r="BF39" s="365"/>
      <c r="BG39" s="359"/>
      <c r="BH39" s="365"/>
      <c r="BI39" s="359"/>
      <c r="BJ39" s="365"/>
      <c r="BK39" s="359"/>
      <c r="BL39" s="365"/>
      <c r="BM39" s="359"/>
      <c r="BN39" s="365"/>
      <c r="BO39" s="359"/>
      <c r="BP39" s="365"/>
      <c r="BQ39" s="359"/>
      <c r="BR39" s="365"/>
      <c r="BS39" s="359"/>
      <c r="BT39" s="365"/>
      <c r="BU39" s="359"/>
      <c r="BV39" s="365"/>
      <c r="BW39" s="359"/>
      <c r="BX39" s="365"/>
      <c r="BY39" s="359"/>
      <c r="BZ39" s="365"/>
      <c r="CA39" s="359"/>
      <c r="CB39" s="365"/>
      <c r="CC39" s="359"/>
      <c r="CD39" s="365"/>
      <c r="CE39" s="359"/>
      <c r="CF39" s="365"/>
      <c r="CG39" s="359"/>
      <c r="CH39" s="365"/>
      <c r="CI39" s="359"/>
      <c r="CJ39" s="365"/>
      <c r="CK39" s="359"/>
      <c r="CL39" s="365"/>
      <c r="CM39" s="359"/>
      <c r="CN39" s="365"/>
      <c r="CO39" s="359"/>
      <c r="CP39" s="365"/>
      <c r="CQ39" s="359"/>
      <c r="CR39" s="365"/>
      <c r="CS39" s="359"/>
      <c r="CT39" s="365"/>
      <c r="CU39" s="359"/>
      <c r="CV39" s="365"/>
      <c r="CW39" s="359"/>
      <c r="CX39" s="365"/>
      <c r="CY39" s="359"/>
      <c r="CZ39" s="365"/>
      <c r="DA39" s="359"/>
      <c r="DB39" s="365"/>
      <c r="DC39" s="359"/>
      <c r="DD39" s="365"/>
      <c r="DE39" s="368"/>
    </row>
    <row r="40" spans="1:109" ht="13.5" customHeight="1" x14ac:dyDescent="0.2">
      <c r="A40" s="354" t="s">
        <v>165</v>
      </c>
      <c r="B40" s="356"/>
      <c r="C40" s="354"/>
      <c r="D40" s="354"/>
      <c r="E40" s="354"/>
      <c r="G40" s="386"/>
      <c r="H40" s="364"/>
      <c r="I40" s="364"/>
      <c r="J40" s="366"/>
      <c r="K40" s="360"/>
      <c r="L40" s="366"/>
      <c r="M40" s="360"/>
      <c r="N40" s="365"/>
      <c r="O40" s="359"/>
      <c r="P40" s="365"/>
      <c r="Q40" s="359"/>
      <c r="R40" s="365"/>
      <c r="S40" s="359"/>
      <c r="T40" s="365"/>
      <c r="U40" s="359"/>
      <c r="V40" s="365"/>
      <c r="W40" s="359"/>
      <c r="X40" s="365"/>
      <c r="Y40" s="359"/>
      <c r="Z40" s="365"/>
      <c r="AA40" s="359"/>
      <c r="AB40" s="365"/>
      <c r="AC40" s="359"/>
      <c r="AD40" s="365"/>
      <c r="AE40" s="359"/>
      <c r="AF40" s="365"/>
      <c r="AG40" s="359"/>
      <c r="AH40" s="365"/>
      <c r="AI40" s="359"/>
      <c r="AJ40" s="365"/>
      <c r="AK40" s="359"/>
      <c r="AL40" s="365"/>
      <c r="AM40" s="359"/>
      <c r="AN40" s="365"/>
      <c r="AO40" s="359"/>
      <c r="AP40" s="365"/>
      <c r="AQ40" s="359"/>
      <c r="AR40" s="365"/>
      <c r="AS40" s="359"/>
      <c r="AT40" s="365"/>
      <c r="AU40" s="359"/>
      <c r="AV40" s="365"/>
      <c r="AW40" s="359"/>
      <c r="AX40" s="365"/>
      <c r="AY40" s="359"/>
      <c r="AZ40" s="365"/>
      <c r="BA40" s="359"/>
      <c r="BB40" s="365"/>
      <c r="BC40" s="359"/>
      <c r="BD40" s="365"/>
      <c r="BE40" s="359"/>
      <c r="BF40" s="365"/>
      <c r="BG40" s="359"/>
      <c r="BH40" s="365"/>
      <c r="BI40" s="359"/>
      <c r="BJ40" s="365"/>
      <c r="BK40" s="359"/>
      <c r="BL40" s="365"/>
      <c r="BM40" s="359"/>
      <c r="BN40" s="365"/>
      <c r="BO40" s="359"/>
      <c r="BP40" s="365"/>
      <c r="BQ40" s="359"/>
      <c r="BR40" s="365"/>
      <c r="BS40" s="359"/>
      <c r="BT40" s="365"/>
      <c r="BU40" s="359"/>
      <c r="BV40" s="365"/>
      <c r="BW40" s="359"/>
      <c r="BX40" s="365"/>
      <c r="BY40" s="359"/>
      <c r="BZ40" s="365"/>
      <c r="CA40" s="359"/>
      <c r="CB40" s="365"/>
      <c r="CC40" s="359"/>
      <c r="CD40" s="365"/>
      <c r="CE40" s="359"/>
      <c r="CF40" s="365"/>
      <c r="CG40" s="359"/>
      <c r="CH40" s="365"/>
      <c r="CI40" s="359"/>
      <c r="CJ40" s="365"/>
      <c r="CK40" s="359"/>
      <c r="CL40" s="365"/>
      <c r="CM40" s="359"/>
      <c r="CN40" s="365"/>
      <c r="CO40" s="359"/>
      <c r="CP40" s="365"/>
      <c r="CQ40" s="359"/>
      <c r="CR40" s="365"/>
      <c r="CS40" s="359"/>
      <c r="CT40" s="365"/>
      <c r="CU40" s="359"/>
      <c r="CV40" s="365"/>
      <c r="CW40" s="359"/>
      <c r="CX40" s="365"/>
      <c r="CY40" s="359"/>
      <c r="CZ40" s="365"/>
      <c r="DA40" s="359"/>
      <c r="DB40" s="365"/>
      <c r="DC40" s="359"/>
      <c r="DD40" s="365"/>
      <c r="DE40" s="368"/>
    </row>
    <row r="41" spans="1:109" ht="13.5" customHeight="1" x14ac:dyDescent="0.2">
      <c r="A41" s="354" t="s">
        <v>166</v>
      </c>
      <c r="B41" s="356"/>
      <c r="C41" s="354"/>
      <c r="D41" s="354"/>
      <c r="E41" s="354"/>
      <c r="G41" s="386"/>
      <c r="H41" s="364"/>
      <c r="I41" s="364"/>
      <c r="J41" s="366"/>
      <c r="K41" s="360"/>
      <c r="L41" s="366"/>
      <c r="M41" s="360"/>
      <c r="N41" s="365"/>
      <c r="O41" s="359"/>
      <c r="P41" s="365"/>
      <c r="Q41" s="359"/>
      <c r="R41" s="365"/>
      <c r="S41" s="359"/>
      <c r="T41" s="365"/>
      <c r="U41" s="359"/>
      <c r="V41" s="365"/>
      <c r="W41" s="359"/>
      <c r="X41" s="365"/>
      <c r="Y41" s="359"/>
      <c r="Z41" s="365"/>
      <c r="AA41" s="359"/>
      <c r="AB41" s="365"/>
      <c r="AC41" s="359"/>
      <c r="AD41" s="365"/>
      <c r="AE41" s="359"/>
      <c r="AF41" s="365"/>
      <c r="AG41" s="359"/>
      <c r="AH41" s="365"/>
      <c r="AI41" s="359"/>
      <c r="AJ41" s="365"/>
      <c r="AK41" s="359"/>
      <c r="AL41" s="365"/>
      <c r="AM41" s="359"/>
      <c r="AN41" s="365"/>
      <c r="AO41" s="359"/>
      <c r="AP41" s="365"/>
      <c r="AQ41" s="359"/>
      <c r="AR41" s="365"/>
      <c r="AS41" s="359"/>
      <c r="AT41" s="365"/>
      <c r="AU41" s="359"/>
      <c r="AV41" s="365"/>
      <c r="AW41" s="359"/>
      <c r="AX41" s="365"/>
      <c r="AY41" s="359"/>
      <c r="AZ41" s="365"/>
      <c r="BA41" s="359"/>
      <c r="BB41" s="365"/>
      <c r="BC41" s="359"/>
      <c r="BD41" s="365"/>
      <c r="BE41" s="359"/>
      <c r="BF41" s="365"/>
      <c r="BG41" s="359"/>
      <c r="BH41" s="365"/>
      <c r="BI41" s="359"/>
      <c r="BJ41" s="365"/>
      <c r="BK41" s="359"/>
      <c r="BL41" s="365"/>
      <c r="BM41" s="359"/>
      <c r="BN41" s="365"/>
      <c r="BO41" s="359"/>
      <c r="BP41" s="365"/>
      <c r="BQ41" s="359"/>
      <c r="BR41" s="365"/>
      <c r="BS41" s="359"/>
      <c r="BT41" s="365"/>
      <c r="BU41" s="359"/>
      <c r="BV41" s="365"/>
      <c r="BW41" s="359"/>
      <c r="BX41" s="365"/>
      <c r="BY41" s="359"/>
      <c r="BZ41" s="365"/>
      <c r="CA41" s="359"/>
      <c r="CB41" s="365"/>
      <c r="CC41" s="359"/>
      <c r="CD41" s="365"/>
      <c r="CE41" s="359"/>
      <c r="CF41" s="365"/>
      <c r="CG41" s="359"/>
      <c r="CH41" s="365"/>
      <c r="CI41" s="359"/>
      <c r="CJ41" s="365"/>
      <c r="CK41" s="359"/>
      <c r="CL41" s="365"/>
      <c r="CM41" s="359"/>
      <c r="CN41" s="365"/>
      <c r="CO41" s="359"/>
      <c r="CP41" s="365"/>
      <c r="CQ41" s="359"/>
      <c r="CR41" s="365"/>
      <c r="CS41" s="359"/>
      <c r="CT41" s="365"/>
      <c r="CU41" s="359"/>
      <c r="CV41" s="365"/>
      <c r="CW41" s="359"/>
      <c r="CX41" s="365"/>
      <c r="CY41" s="359"/>
      <c r="CZ41" s="365"/>
      <c r="DA41" s="359"/>
      <c r="DB41" s="365"/>
      <c r="DC41" s="359"/>
      <c r="DD41" s="365"/>
      <c r="DE41" s="368"/>
    </row>
    <row r="42" spans="1:109" ht="13.5" customHeight="1" x14ac:dyDescent="0.2">
      <c r="A42" s="354" t="s">
        <v>167</v>
      </c>
      <c r="B42" s="356"/>
      <c r="C42" s="354"/>
      <c r="D42" s="354"/>
      <c r="E42" s="354"/>
      <c r="G42" s="386"/>
      <c r="H42" s="364"/>
      <c r="I42" s="364"/>
      <c r="J42" s="366"/>
      <c r="K42" s="360"/>
      <c r="L42" s="365"/>
      <c r="M42" s="359"/>
      <c r="N42" s="365"/>
      <c r="O42" s="359"/>
      <c r="P42" s="365"/>
      <c r="Q42" s="359"/>
      <c r="R42" s="365"/>
      <c r="S42" s="359"/>
      <c r="T42" s="365"/>
      <c r="U42" s="359"/>
      <c r="V42" s="365"/>
      <c r="W42" s="359"/>
      <c r="X42" s="365"/>
      <c r="Y42" s="359"/>
      <c r="Z42" s="365"/>
      <c r="AA42" s="359"/>
      <c r="AB42" s="365"/>
      <c r="AC42" s="359"/>
      <c r="AD42" s="365"/>
      <c r="AE42" s="359"/>
      <c r="AF42" s="365"/>
      <c r="AG42" s="359"/>
      <c r="AH42" s="365"/>
      <c r="AI42" s="359"/>
      <c r="AJ42" s="365"/>
      <c r="AK42" s="359"/>
      <c r="AL42" s="365"/>
      <c r="AM42" s="359"/>
      <c r="AN42" s="365"/>
      <c r="AO42" s="359"/>
      <c r="AP42" s="365"/>
      <c r="AQ42" s="359"/>
      <c r="AR42" s="365"/>
      <c r="AS42" s="359"/>
      <c r="AT42" s="365"/>
      <c r="AU42" s="359"/>
      <c r="AV42" s="365"/>
      <c r="AW42" s="359"/>
      <c r="AX42" s="365"/>
      <c r="AY42" s="359"/>
      <c r="AZ42" s="365"/>
      <c r="BA42" s="359"/>
      <c r="BB42" s="365"/>
      <c r="BC42" s="359"/>
      <c r="BD42" s="365"/>
      <c r="BE42" s="359"/>
      <c r="BF42" s="365"/>
      <c r="BG42" s="359"/>
      <c r="BH42" s="365"/>
      <c r="BI42" s="359"/>
      <c r="BJ42" s="365"/>
      <c r="BK42" s="359"/>
      <c r="BL42" s="365"/>
      <c r="BM42" s="359"/>
      <c r="BN42" s="365"/>
      <c r="BO42" s="359"/>
      <c r="BP42" s="365"/>
      <c r="BQ42" s="359"/>
      <c r="BR42" s="365"/>
      <c r="BS42" s="359"/>
      <c r="BT42" s="365"/>
      <c r="BU42" s="359"/>
      <c r="BV42" s="365"/>
      <c r="BW42" s="359"/>
      <c r="BX42" s="365"/>
      <c r="BY42" s="359"/>
      <c r="BZ42" s="365"/>
      <c r="CA42" s="359"/>
      <c r="CB42" s="365"/>
      <c r="CC42" s="359"/>
      <c r="CD42" s="365"/>
      <c r="CE42" s="359"/>
      <c r="CF42" s="365"/>
      <c r="CG42" s="359"/>
      <c r="CH42" s="365"/>
      <c r="CI42" s="359"/>
      <c r="CJ42" s="365"/>
      <c r="CK42" s="359"/>
      <c r="CL42" s="365"/>
      <c r="CM42" s="359"/>
      <c r="CN42" s="365"/>
      <c r="CO42" s="359"/>
      <c r="CP42" s="365"/>
      <c r="CQ42" s="359"/>
      <c r="CR42" s="365"/>
      <c r="CS42" s="359"/>
      <c r="CT42" s="365"/>
      <c r="CU42" s="359"/>
      <c r="CV42" s="365"/>
      <c r="CW42" s="359"/>
      <c r="CX42" s="365"/>
      <c r="CY42" s="359"/>
      <c r="CZ42" s="365"/>
      <c r="DA42" s="359"/>
      <c r="DB42" s="365"/>
      <c r="DC42" s="359"/>
      <c r="DD42" s="365"/>
      <c r="DE42" s="368"/>
    </row>
    <row r="43" spans="1:109" ht="13.5" customHeight="1" x14ac:dyDescent="0.2">
      <c r="A43" s="354" t="s">
        <v>168</v>
      </c>
      <c r="B43" s="356"/>
      <c r="C43" s="354"/>
      <c r="D43" s="354"/>
      <c r="E43" s="354"/>
      <c r="G43" s="386"/>
      <c r="H43" s="364"/>
      <c r="I43" s="364"/>
      <c r="J43" s="366"/>
      <c r="K43" s="360"/>
      <c r="L43" s="366"/>
      <c r="M43" s="360"/>
      <c r="N43" s="365"/>
      <c r="O43" s="359"/>
      <c r="P43" s="365"/>
      <c r="Q43" s="359"/>
      <c r="R43" s="365"/>
      <c r="S43" s="359"/>
      <c r="T43" s="365"/>
      <c r="U43" s="359"/>
      <c r="V43" s="365"/>
      <c r="W43" s="359"/>
      <c r="X43" s="365"/>
      <c r="Y43" s="359"/>
      <c r="Z43" s="365"/>
      <c r="AA43" s="359"/>
      <c r="AB43" s="365"/>
      <c r="AC43" s="359"/>
      <c r="AD43" s="365"/>
      <c r="AE43" s="359"/>
      <c r="AF43" s="365"/>
      <c r="AG43" s="359"/>
      <c r="AH43" s="365"/>
      <c r="AI43" s="359"/>
      <c r="AJ43" s="365"/>
      <c r="AK43" s="359"/>
      <c r="AL43" s="365"/>
      <c r="AM43" s="359"/>
      <c r="AN43" s="365"/>
      <c r="AO43" s="359"/>
      <c r="AP43" s="365"/>
      <c r="AQ43" s="359"/>
      <c r="AR43" s="365"/>
      <c r="AS43" s="359"/>
      <c r="AT43" s="365"/>
      <c r="AU43" s="359"/>
      <c r="AV43" s="365"/>
      <c r="AW43" s="359"/>
      <c r="AX43" s="365"/>
      <c r="AY43" s="359"/>
      <c r="AZ43" s="365"/>
      <c r="BA43" s="359"/>
      <c r="BB43" s="365"/>
      <c r="BC43" s="359"/>
      <c r="BD43" s="365"/>
      <c r="BE43" s="359"/>
      <c r="BF43" s="365"/>
      <c r="BG43" s="359"/>
      <c r="BH43" s="365"/>
      <c r="BI43" s="359"/>
      <c r="BJ43" s="365"/>
      <c r="BK43" s="359"/>
      <c r="BL43" s="365"/>
      <c r="BM43" s="359"/>
      <c r="BN43" s="365"/>
      <c r="BO43" s="359"/>
      <c r="BP43" s="365"/>
      <c r="BQ43" s="359"/>
      <c r="BR43" s="365"/>
      <c r="BS43" s="359"/>
      <c r="BT43" s="365"/>
      <c r="BU43" s="359"/>
      <c r="BV43" s="365"/>
      <c r="BW43" s="359"/>
      <c r="BX43" s="365"/>
      <c r="BY43" s="359"/>
      <c r="BZ43" s="365"/>
      <c r="CA43" s="359"/>
      <c r="CB43" s="365"/>
      <c r="CC43" s="359"/>
      <c r="CD43" s="365"/>
      <c r="CE43" s="359"/>
      <c r="CF43" s="365"/>
      <c r="CG43" s="359"/>
      <c r="CH43" s="365"/>
      <c r="CI43" s="359"/>
      <c r="CJ43" s="365"/>
      <c r="CK43" s="359"/>
      <c r="CL43" s="365"/>
      <c r="CM43" s="359"/>
      <c r="CN43" s="365"/>
      <c r="CO43" s="359"/>
      <c r="CP43" s="365"/>
      <c r="CQ43" s="359"/>
      <c r="CR43" s="365"/>
      <c r="CS43" s="359"/>
      <c r="CT43" s="365"/>
      <c r="CU43" s="359"/>
      <c r="CV43" s="365"/>
      <c r="CW43" s="359"/>
      <c r="CX43" s="365"/>
      <c r="CY43" s="359"/>
      <c r="CZ43" s="365"/>
      <c r="DA43" s="359"/>
      <c r="DB43" s="365"/>
      <c r="DC43" s="359"/>
      <c r="DD43" s="365"/>
      <c r="DE43" s="368"/>
    </row>
    <row r="44" spans="1:109" ht="13.5" customHeight="1" x14ac:dyDescent="0.2">
      <c r="A44" s="354" t="s">
        <v>169</v>
      </c>
      <c r="B44" s="356"/>
      <c r="C44" s="354"/>
      <c r="D44" s="354"/>
      <c r="E44" s="354"/>
      <c r="G44" s="386"/>
      <c r="H44" s="364"/>
      <c r="I44" s="364"/>
      <c r="J44" s="366"/>
      <c r="K44" s="360"/>
      <c r="L44" s="366"/>
      <c r="M44" s="359"/>
      <c r="N44" s="365"/>
      <c r="O44" s="359"/>
      <c r="P44" s="365"/>
      <c r="Q44" s="359"/>
      <c r="R44" s="365"/>
      <c r="S44" s="359"/>
      <c r="T44" s="365"/>
      <c r="U44" s="359"/>
      <c r="V44" s="365"/>
      <c r="W44" s="359"/>
      <c r="X44" s="365"/>
      <c r="Y44" s="359"/>
      <c r="Z44" s="365"/>
      <c r="AA44" s="359"/>
      <c r="AB44" s="365"/>
      <c r="AC44" s="359"/>
      <c r="AD44" s="365"/>
      <c r="AE44" s="359"/>
      <c r="AF44" s="365"/>
      <c r="AG44" s="359"/>
      <c r="AH44" s="365"/>
      <c r="AI44" s="359"/>
      <c r="AJ44" s="365"/>
      <c r="AK44" s="359"/>
      <c r="AL44" s="365"/>
      <c r="AM44" s="359"/>
      <c r="AN44" s="365"/>
      <c r="AO44" s="359"/>
      <c r="AP44" s="365"/>
      <c r="AQ44" s="359"/>
      <c r="AR44" s="365"/>
      <c r="AS44" s="359"/>
      <c r="AT44" s="365"/>
      <c r="AU44" s="359"/>
      <c r="AV44" s="365"/>
      <c r="AW44" s="359"/>
      <c r="AX44" s="365"/>
      <c r="AY44" s="359"/>
      <c r="AZ44" s="365"/>
      <c r="BA44" s="359"/>
      <c r="BB44" s="365"/>
      <c r="BC44" s="359"/>
      <c r="BD44" s="365"/>
      <c r="BE44" s="359"/>
      <c r="BF44" s="365"/>
      <c r="BG44" s="359"/>
      <c r="BH44" s="365"/>
      <c r="BI44" s="359"/>
      <c r="BJ44" s="365"/>
      <c r="BK44" s="359"/>
      <c r="BL44" s="365"/>
      <c r="BM44" s="359"/>
      <c r="BN44" s="365"/>
      <c r="BO44" s="359"/>
      <c r="BP44" s="365"/>
      <c r="BQ44" s="359"/>
      <c r="BR44" s="365"/>
      <c r="BS44" s="359"/>
      <c r="BT44" s="365"/>
      <c r="BU44" s="359"/>
      <c r="BV44" s="365"/>
      <c r="BW44" s="359"/>
      <c r="BX44" s="365"/>
      <c r="BY44" s="359"/>
      <c r="BZ44" s="365"/>
      <c r="CA44" s="359"/>
      <c r="CB44" s="365"/>
      <c r="CC44" s="359"/>
      <c r="CD44" s="365"/>
      <c r="CE44" s="359"/>
      <c r="CF44" s="365"/>
      <c r="CG44" s="359"/>
      <c r="CH44" s="365"/>
      <c r="CI44" s="359"/>
      <c r="CJ44" s="365"/>
      <c r="CK44" s="359"/>
      <c r="CL44" s="365"/>
      <c r="CM44" s="359"/>
      <c r="CN44" s="365"/>
      <c r="CO44" s="359"/>
      <c r="CP44" s="365"/>
      <c r="CQ44" s="359"/>
      <c r="CR44" s="365"/>
      <c r="CS44" s="359"/>
      <c r="CT44" s="365"/>
      <c r="CU44" s="359"/>
      <c r="CV44" s="365"/>
      <c r="CW44" s="359"/>
      <c r="CX44" s="365"/>
      <c r="CY44" s="359"/>
      <c r="CZ44" s="365"/>
      <c r="DA44" s="359"/>
      <c r="DB44" s="365"/>
      <c r="DC44" s="359"/>
      <c r="DD44" s="365"/>
      <c r="DE44" s="368"/>
    </row>
    <row r="45" spans="1:109" ht="13.5" customHeight="1" x14ac:dyDescent="0.2">
      <c r="A45" s="354" t="s">
        <v>170</v>
      </c>
      <c r="B45" s="356"/>
      <c r="C45" s="354"/>
      <c r="D45" s="354"/>
      <c r="E45" s="354"/>
      <c r="G45" s="386"/>
      <c r="H45" s="364"/>
      <c r="I45" s="364"/>
      <c r="J45" s="366"/>
      <c r="K45" s="360"/>
      <c r="L45" s="366"/>
      <c r="M45" s="360"/>
      <c r="N45" s="365"/>
      <c r="O45" s="359"/>
      <c r="P45" s="365"/>
      <c r="Q45" s="359"/>
      <c r="R45" s="365"/>
      <c r="S45" s="359"/>
      <c r="T45" s="365"/>
      <c r="U45" s="359"/>
      <c r="V45" s="365"/>
      <c r="W45" s="359"/>
      <c r="X45" s="365"/>
      <c r="Y45" s="359"/>
      <c r="Z45" s="365"/>
      <c r="AA45" s="359"/>
      <c r="AB45" s="365"/>
      <c r="AC45" s="359"/>
      <c r="AD45" s="365"/>
      <c r="AE45" s="359"/>
      <c r="AF45" s="365"/>
      <c r="AG45" s="359"/>
      <c r="AH45" s="365"/>
      <c r="AI45" s="359"/>
      <c r="AJ45" s="365"/>
      <c r="AK45" s="359"/>
      <c r="AL45" s="365"/>
      <c r="AM45" s="359"/>
      <c r="AN45" s="365"/>
      <c r="AO45" s="359"/>
      <c r="AP45" s="365"/>
      <c r="AQ45" s="359"/>
      <c r="AR45" s="365"/>
      <c r="AS45" s="359"/>
      <c r="AT45" s="365"/>
      <c r="AU45" s="359"/>
      <c r="AV45" s="365"/>
      <c r="AW45" s="359"/>
      <c r="AX45" s="365"/>
      <c r="AY45" s="359"/>
      <c r="AZ45" s="365"/>
      <c r="BA45" s="359"/>
      <c r="BB45" s="365"/>
      <c r="BC45" s="359"/>
      <c r="BD45" s="365"/>
      <c r="BE45" s="359"/>
      <c r="BF45" s="365"/>
      <c r="BG45" s="359"/>
      <c r="BH45" s="365"/>
      <c r="BI45" s="359"/>
      <c r="BJ45" s="365"/>
      <c r="BK45" s="359"/>
      <c r="BL45" s="365"/>
      <c r="BM45" s="359"/>
      <c r="BN45" s="365"/>
      <c r="BO45" s="359"/>
      <c r="BP45" s="365"/>
      <c r="BQ45" s="359"/>
      <c r="BR45" s="365"/>
      <c r="BS45" s="359"/>
      <c r="BT45" s="365"/>
      <c r="BU45" s="359"/>
      <c r="BV45" s="365"/>
      <c r="BW45" s="359"/>
      <c r="BX45" s="365"/>
      <c r="BY45" s="359"/>
      <c r="BZ45" s="365"/>
      <c r="CA45" s="359"/>
      <c r="CB45" s="365"/>
      <c r="CC45" s="359"/>
      <c r="CD45" s="365"/>
      <c r="CE45" s="359"/>
      <c r="CF45" s="365"/>
      <c r="CG45" s="359"/>
      <c r="CH45" s="365"/>
      <c r="CI45" s="359"/>
      <c r="CJ45" s="365"/>
      <c r="CK45" s="359"/>
      <c r="CL45" s="365"/>
      <c r="CM45" s="359"/>
      <c r="CN45" s="365"/>
      <c r="CO45" s="359"/>
      <c r="CP45" s="365"/>
      <c r="CQ45" s="359"/>
      <c r="CR45" s="365"/>
      <c r="CS45" s="359"/>
      <c r="CT45" s="365"/>
      <c r="CU45" s="359"/>
      <c r="CV45" s="365"/>
      <c r="CW45" s="359"/>
      <c r="CX45" s="365"/>
      <c r="CY45" s="359"/>
      <c r="CZ45" s="365"/>
      <c r="DA45" s="359"/>
      <c r="DB45" s="365"/>
      <c r="DC45" s="359"/>
      <c r="DD45" s="365"/>
      <c r="DE45" s="368"/>
    </row>
    <row r="46" spans="1:109" ht="13.5" customHeight="1" x14ac:dyDescent="0.2">
      <c r="A46" s="354" t="s">
        <v>171</v>
      </c>
      <c r="B46" s="356"/>
      <c r="C46" s="354"/>
      <c r="D46" s="354"/>
      <c r="E46" s="354"/>
      <c r="G46" s="386"/>
      <c r="H46" s="364"/>
      <c r="I46" s="364"/>
      <c r="J46" s="366"/>
      <c r="K46" s="360"/>
      <c r="L46" s="366"/>
      <c r="M46" s="360"/>
      <c r="N46" s="365"/>
      <c r="O46" s="359"/>
      <c r="P46" s="365"/>
      <c r="Q46" s="359"/>
      <c r="R46" s="365"/>
      <c r="S46" s="359"/>
      <c r="T46" s="365"/>
      <c r="U46" s="359"/>
      <c r="V46" s="365"/>
      <c r="W46" s="359"/>
      <c r="X46" s="365"/>
      <c r="Y46" s="359"/>
      <c r="Z46" s="365"/>
      <c r="AA46" s="359"/>
      <c r="AB46" s="365"/>
      <c r="AC46" s="359"/>
      <c r="AD46" s="365"/>
      <c r="AE46" s="359"/>
      <c r="AF46" s="365"/>
      <c r="AG46" s="359"/>
      <c r="AH46" s="365"/>
      <c r="AI46" s="359"/>
      <c r="AJ46" s="365"/>
      <c r="AK46" s="359"/>
      <c r="AL46" s="365"/>
      <c r="AM46" s="359"/>
      <c r="AN46" s="365"/>
      <c r="AO46" s="359"/>
      <c r="AP46" s="365"/>
      <c r="AQ46" s="359"/>
      <c r="AR46" s="365"/>
      <c r="AS46" s="359"/>
      <c r="AT46" s="365"/>
      <c r="AU46" s="359"/>
      <c r="AV46" s="365"/>
      <c r="AW46" s="359"/>
      <c r="AX46" s="365"/>
      <c r="AY46" s="359"/>
      <c r="AZ46" s="365"/>
      <c r="BA46" s="359"/>
      <c r="BB46" s="365"/>
      <c r="BC46" s="359"/>
      <c r="BD46" s="365"/>
      <c r="BE46" s="359"/>
      <c r="BF46" s="365"/>
      <c r="BG46" s="359"/>
      <c r="BH46" s="365"/>
      <c r="BI46" s="359"/>
      <c r="BJ46" s="365"/>
      <c r="BK46" s="359"/>
      <c r="BL46" s="365"/>
      <c r="BM46" s="359"/>
      <c r="BN46" s="365"/>
      <c r="BO46" s="359"/>
      <c r="BP46" s="365"/>
      <c r="BQ46" s="359"/>
      <c r="BR46" s="365"/>
      <c r="BS46" s="359"/>
      <c r="BT46" s="365"/>
      <c r="BU46" s="359"/>
      <c r="BV46" s="365"/>
      <c r="BW46" s="359"/>
      <c r="BX46" s="365"/>
      <c r="BY46" s="359"/>
      <c r="BZ46" s="365"/>
      <c r="CA46" s="359"/>
      <c r="CB46" s="365"/>
      <c r="CC46" s="359"/>
      <c r="CD46" s="365"/>
      <c r="CE46" s="359"/>
      <c r="CF46" s="365"/>
      <c r="CG46" s="359"/>
      <c r="CH46" s="365"/>
      <c r="CI46" s="359"/>
      <c r="CJ46" s="365"/>
      <c r="CK46" s="359"/>
      <c r="CL46" s="365"/>
      <c r="CM46" s="359"/>
      <c r="CN46" s="365"/>
      <c r="CO46" s="359"/>
      <c r="CP46" s="365"/>
      <c r="CQ46" s="359"/>
      <c r="CR46" s="365"/>
      <c r="CS46" s="359"/>
      <c r="CT46" s="365"/>
      <c r="CU46" s="359"/>
      <c r="CV46" s="365"/>
      <c r="CW46" s="359"/>
      <c r="CX46" s="365"/>
      <c r="CY46" s="359"/>
      <c r="CZ46" s="365"/>
      <c r="DA46" s="359"/>
      <c r="DB46" s="365"/>
      <c r="DC46" s="359"/>
      <c r="DD46" s="365"/>
      <c r="DE46" s="368"/>
    </row>
    <row r="47" spans="1:109" ht="13.5" customHeight="1" x14ac:dyDescent="0.2">
      <c r="A47" s="354" t="s">
        <v>172</v>
      </c>
      <c r="B47" s="356"/>
      <c r="C47" s="354"/>
      <c r="D47" s="354"/>
      <c r="E47" s="354"/>
      <c r="G47" s="386"/>
      <c r="H47" s="364"/>
      <c r="I47" s="364"/>
      <c r="J47" s="366"/>
      <c r="K47" s="360"/>
      <c r="L47" s="366"/>
      <c r="M47" s="360"/>
      <c r="N47" s="365"/>
      <c r="O47" s="359"/>
      <c r="P47" s="365"/>
      <c r="Q47" s="359"/>
      <c r="R47" s="365"/>
      <c r="S47" s="359"/>
      <c r="T47" s="365"/>
      <c r="U47" s="359"/>
      <c r="V47" s="365"/>
      <c r="W47" s="359"/>
      <c r="X47" s="365"/>
      <c r="Y47" s="359"/>
      <c r="Z47" s="365"/>
      <c r="AA47" s="359"/>
      <c r="AB47" s="365"/>
      <c r="AC47" s="359"/>
      <c r="AD47" s="365"/>
      <c r="AE47" s="359"/>
      <c r="AF47" s="365"/>
      <c r="AG47" s="359"/>
      <c r="AH47" s="365"/>
      <c r="AI47" s="359"/>
      <c r="AJ47" s="365"/>
      <c r="AK47" s="359"/>
      <c r="AL47" s="365"/>
      <c r="AM47" s="359"/>
      <c r="AN47" s="365"/>
      <c r="AO47" s="359"/>
      <c r="AP47" s="365"/>
      <c r="AQ47" s="359"/>
      <c r="AR47" s="365"/>
      <c r="AS47" s="359"/>
      <c r="AT47" s="365"/>
      <c r="AU47" s="359"/>
      <c r="AV47" s="365"/>
      <c r="AW47" s="359"/>
      <c r="AX47" s="365"/>
      <c r="AY47" s="359"/>
      <c r="AZ47" s="365"/>
      <c r="BA47" s="359"/>
      <c r="BB47" s="365"/>
      <c r="BC47" s="359"/>
      <c r="BD47" s="365"/>
      <c r="BE47" s="359"/>
      <c r="BF47" s="365"/>
      <c r="BG47" s="359"/>
      <c r="BH47" s="365"/>
      <c r="BI47" s="359"/>
      <c r="BJ47" s="365"/>
      <c r="BK47" s="359"/>
      <c r="BL47" s="365"/>
      <c r="BM47" s="359"/>
      <c r="BN47" s="365"/>
      <c r="BO47" s="359"/>
      <c r="BP47" s="365"/>
      <c r="BQ47" s="359"/>
      <c r="BR47" s="365"/>
      <c r="BS47" s="359"/>
      <c r="BT47" s="365"/>
      <c r="BU47" s="359"/>
      <c r="BV47" s="365"/>
      <c r="BW47" s="359"/>
      <c r="BX47" s="365"/>
      <c r="BY47" s="359"/>
      <c r="BZ47" s="365"/>
      <c r="CA47" s="359"/>
      <c r="CB47" s="365"/>
      <c r="CC47" s="359"/>
      <c r="CD47" s="365"/>
      <c r="CE47" s="359"/>
      <c r="CF47" s="365"/>
      <c r="CG47" s="359"/>
      <c r="CH47" s="365"/>
      <c r="CI47" s="359"/>
      <c r="CJ47" s="365"/>
      <c r="CK47" s="359"/>
      <c r="CL47" s="365"/>
      <c r="CM47" s="359"/>
      <c r="CN47" s="365"/>
      <c r="CO47" s="359"/>
      <c r="CP47" s="365"/>
      <c r="CQ47" s="359"/>
      <c r="CR47" s="365"/>
      <c r="CS47" s="359"/>
      <c r="CT47" s="365"/>
      <c r="CU47" s="359"/>
      <c r="CV47" s="365"/>
      <c r="CW47" s="359"/>
      <c r="CX47" s="365"/>
      <c r="CY47" s="359"/>
      <c r="CZ47" s="365"/>
      <c r="DA47" s="359"/>
      <c r="DB47" s="365"/>
      <c r="DC47" s="359"/>
      <c r="DD47" s="365"/>
      <c r="DE47" s="368"/>
    </row>
    <row r="48" spans="1:109" ht="13.5" customHeight="1" x14ac:dyDescent="0.2">
      <c r="A48" s="354" t="s">
        <v>173</v>
      </c>
      <c r="B48" s="356"/>
      <c r="C48" s="354"/>
      <c r="D48" s="354"/>
      <c r="E48" s="354"/>
      <c r="G48" s="386"/>
      <c r="H48" s="364"/>
      <c r="I48" s="364"/>
      <c r="J48" s="366"/>
      <c r="K48" s="360"/>
      <c r="L48" s="365"/>
      <c r="M48" s="359"/>
      <c r="N48" s="365"/>
      <c r="O48" s="359"/>
      <c r="P48" s="365"/>
      <c r="Q48" s="359"/>
      <c r="R48" s="365"/>
      <c r="S48" s="359"/>
      <c r="T48" s="365"/>
      <c r="U48" s="359"/>
      <c r="V48" s="365"/>
      <c r="W48" s="359"/>
      <c r="X48" s="365"/>
      <c r="Y48" s="359"/>
      <c r="Z48" s="365"/>
      <c r="AA48" s="359"/>
      <c r="AB48" s="365"/>
      <c r="AC48" s="359"/>
      <c r="AD48" s="365"/>
      <c r="AE48" s="359"/>
      <c r="AF48" s="365"/>
      <c r="AG48" s="359"/>
      <c r="AH48" s="365"/>
      <c r="AI48" s="359"/>
      <c r="AJ48" s="365"/>
      <c r="AK48" s="359"/>
      <c r="AL48" s="365"/>
      <c r="AM48" s="359"/>
      <c r="AN48" s="365"/>
      <c r="AO48" s="359"/>
      <c r="AP48" s="365"/>
      <c r="AQ48" s="359"/>
      <c r="AR48" s="365"/>
      <c r="AS48" s="359"/>
      <c r="AT48" s="365"/>
      <c r="AU48" s="359"/>
      <c r="AV48" s="365"/>
      <c r="AW48" s="359"/>
      <c r="AX48" s="365"/>
      <c r="AY48" s="359"/>
      <c r="AZ48" s="365"/>
      <c r="BA48" s="359"/>
      <c r="BB48" s="365"/>
      <c r="BC48" s="359"/>
      <c r="BD48" s="365"/>
      <c r="BE48" s="359"/>
      <c r="BF48" s="365"/>
      <c r="BG48" s="359"/>
      <c r="BH48" s="365"/>
      <c r="BI48" s="359"/>
      <c r="BJ48" s="365"/>
      <c r="BK48" s="359"/>
      <c r="BL48" s="365"/>
      <c r="BM48" s="359"/>
      <c r="BN48" s="365"/>
      <c r="BO48" s="359"/>
      <c r="BP48" s="365"/>
      <c r="BQ48" s="359"/>
      <c r="BR48" s="365"/>
      <c r="BS48" s="359"/>
      <c r="BT48" s="365"/>
      <c r="BU48" s="359"/>
      <c r="BV48" s="365"/>
      <c r="BW48" s="359"/>
      <c r="BX48" s="365"/>
      <c r="BY48" s="359"/>
      <c r="BZ48" s="365"/>
      <c r="CA48" s="359"/>
      <c r="CB48" s="365"/>
      <c r="CC48" s="359"/>
      <c r="CD48" s="365"/>
      <c r="CE48" s="359"/>
      <c r="CF48" s="365"/>
      <c r="CG48" s="359"/>
      <c r="CH48" s="365"/>
      <c r="CI48" s="359"/>
      <c r="CJ48" s="365"/>
      <c r="CK48" s="359"/>
      <c r="CL48" s="365"/>
      <c r="CM48" s="359"/>
      <c r="CN48" s="365"/>
      <c r="CO48" s="359"/>
      <c r="CP48" s="365"/>
      <c r="CQ48" s="359"/>
      <c r="CR48" s="365"/>
      <c r="CS48" s="359"/>
      <c r="CT48" s="365"/>
      <c r="CU48" s="359"/>
      <c r="CV48" s="365"/>
      <c r="CW48" s="359"/>
      <c r="CX48" s="365"/>
      <c r="CY48" s="359"/>
      <c r="CZ48" s="365"/>
      <c r="DA48" s="359"/>
      <c r="DB48" s="365"/>
      <c r="DC48" s="359"/>
      <c r="DD48" s="365"/>
      <c r="DE48" s="368"/>
    </row>
    <row r="49" spans="1:109" ht="13.5" customHeight="1" x14ac:dyDescent="0.2">
      <c r="A49" s="354" t="s">
        <v>174</v>
      </c>
      <c r="B49" s="356"/>
      <c r="C49" s="354"/>
      <c r="D49" s="354"/>
      <c r="E49" s="354"/>
      <c r="G49" s="386"/>
      <c r="H49" s="364"/>
      <c r="I49" s="364"/>
      <c r="J49" s="366"/>
      <c r="K49" s="360"/>
      <c r="L49" s="366"/>
      <c r="M49" s="360"/>
      <c r="N49" s="365"/>
      <c r="O49" s="359"/>
      <c r="P49" s="365"/>
      <c r="Q49" s="359"/>
      <c r="R49" s="365"/>
      <c r="S49" s="359"/>
      <c r="T49" s="365"/>
      <c r="U49" s="359"/>
      <c r="V49" s="365"/>
      <c r="W49" s="359"/>
      <c r="X49" s="365"/>
      <c r="Y49" s="359"/>
      <c r="Z49" s="365"/>
      <c r="AA49" s="359"/>
      <c r="AB49" s="365"/>
      <c r="AC49" s="359"/>
      <c r="AD49" s="365"/>
      <c r="AE49" s="359"/>
      <c r="AF49" s="365"/>
      <c r="AG49" s="359"/>
      <c r="AH49" s="365"/>
      <c r="AI49" s="359"/>
      <c r="AJ49" s="365"/>
      <c r="AK49" s="359"/>
      <c r="AL49" s="365"/>
      <c r="AM49" s="359"/>
      <c r="AN49" s="365"/>
      <c r="AO49" s="359"/>
      <c r="AP49" s="365"/>
      <c r="AQ49" s="359"/>
      <c r="AR49" s="365"/>
      <c r="AS49" s="359"/>
      <c r="AT49" s="365"/>
      <c r="AU49" s="359"/>
      <c r="AV49" s="365"/>
      <c r="AW49" s="359"/>
      <c r="AX49" s="365"/>
      <c r="AY49" s="359"/>
      <c r="AZ49" s="365"/>
      <c r="BA49" s="359"/>
      <c r="BB49" s="365"/>
      <c r="BC49" s="359"/>
      <c r="BD49" s="365"/>
      <c r="BE49" s="359"/>
      <c r="BF49" s="365"/>
      <c r="BG49" s="359"/>
      <c r="BH49" s="365"/>
      <c r="BI49" s="359"/>
      <c r="BJ49" s="365"/>
      <c r="BK49" s="359"/>
      <c r="BL49" s="365"/>
      <c r="BM49" s="359"/>
      <c r="BN49" s="365"/>
      <c r="BO49" s="359"/>
      <c r="BP49" s="365"/>
      <c r="BQ49" s="359"/>
      <c r="BR49" s="365"/>
      <c r="BS49" s="359"/>
      <c r="BT49" s="365"/>
      <c r="BU49" s="359"/>
      <c r="BV49" s="365"/>
      <c r="BW49" s="359"/>
      <c r="BX49" s="365"/>
      <c r="BY49" s="359"/>
      <c r="BZ49" s="365"/>
      <c r="CA49" s="359"/>
      <c r="CB49" s="365"/>
      <c r="CC49" s="359"/>
      <c r="CD49" s="365"/>
      <c r="CE49" s="359"/>
      <c r="CF49" s="365"/>
      <c r="CG49" s="359"/>
      <c r="CH49" s="365"/>
      <c r="CI49" s="359"/>
      <c r="CJ49" s="365"/>
      <c r="CK49" s="359"/>
      <c r="CL49" s="365"/>
      <c r="CM49" s="359"/>
      <c r="CN49" s="365"/>
      <c r="CO49" s="359"/>
      <c r="CP49" s="365"/>
      <c r="CQ49" s="359"/>
      <c r="CR49" s="365"/>
      <c r="CS49" s="359"/>
      <c r="CT49" s="365"/>
      <c r="CU49" s="359"/>
      <c r="CV49" s="365"/>
      <c r="CW49" s="359"/>
      <c r="CX49" s="365"/>
      <c r="CY49" s="359"/>
      <c r="CZ49" s="365"/>
      <c r="DA49" s="359"/>
      <c r="DB49" s="365"/>
      <c r="DC49" s="359"/>
      <c r="DD49" s="365"/>
      <c r="DE49" s="368"/>
    </row>
    <row r="50" spans="1:109" ht="13.5" customHeight="1" x14ac:dyDescent="0.2">
      <c r="A50" s="354" t="s">
        <v>175</v>
      </c>
      <c r="B50" s="356"/>
      <c r="C50" s="354"/>
      <c r="D50" s="354"/>
      <c r="E50" s="354"/>
      <c r="G50" s="386"/>
      <c r="H50" s="364"/>
      <c r="I50" s="364"/>
      <c r="J50" s="366"/>
      <c r="K50" s="360"/>
      <c r="L50" s="365"/>
      <c r="M50" s="359"/>
      <c r="N50" s="365"/>
      <c r="O50" s="359"/>
      <c r="P50" s="365"/>
      <c r="Q50" s="359"/>
      <c r="R50" s="365"/>
      <c r="S50" s="359"/>
      <c r="T50" s="365"/>
      <c r="U50" s="359"/>
      <c r="V50" s="365"/>
      <c r="W50" s="359"/>
      <c r="X50" s="365"/>
      <c r="Y50" s="359"/>
      <c r="Z50" s="365"/>
      <c r="AA50" s="359"/>
      <c r="AB50" s="365"/>
      <c r="AC50" s="359"/>
      <c r="AD50" s="365"/>
      <c r="AE50" s="359"/>
      <c r="AF50" s="365"/>
      <c r="AG50" s="359"/>
      <c r="AH50" s="365"/>
      <c r="AI50" s="359"/>
      <c r="AJ50" s="365"/>
      <c r="AK50" s="359"/>
      <c r="AL50" s="365"/>
      <c r="AM50" s="359"/>
      <c r="AN50" s="365"/>
      <c r="AO50" s="359"/>
      <c r="AP50" s="365"/>
      <c r="AQ50" s="359"/>
      <c r="AR50" s="365"/>
      <c r="AS50" s="359"/>
      <c r="AT50" s="365"/>
      <c r="AU50" s="359"/>
      <c r="AV50" s="365"/>
      <c r="AW50" s="359"/>
      <c r="AX50" s="365"/>
      <c r="AY50" s="359"/>
      <c r="AZ50" s="365"/>
      <c r="BA50" s="359"/>
      <c r="BB50" s="365"/>
      <c r="BC50" s="359"/>
      <c r="BD50" s="365"/>
      <c r="BE50" s="359"/>
      <c r="BF50" s="365"/>
      <c r="BG50" s="359"/>
      <c r="BH50" s="365"/>
      <c r="BI50" s="359"/>
      <c r="BJ50" s="365"/>
      <c r="BK50" s="359"/>
      <c r="BL50" s="365"/>
      <c r="BM50" s="359"/>
      <c r="BN50" s="365"/>
      <c r="BO50" s="359"/>
      <c r="BP50" s="365"/>
      <c r="BQ50" s="359"/>
      <c r="BR50" s="365"/>
      <c r="BS50" s="359"/>
      <c r="BT50" s="365"/>
      <c r="BU50" s="359"/>
      <c r="BV50" s="365"/>
      <c r="BW50" s="359"/>
      <c r="BX50" s="365"/>
      <c r="BY50" s="359"/>
      <c r="BZ50" s="365"/>
      <c r="CA50" s="359"/>
      <c r="CB50" s="365"/>
      <c r="CC50" s="359"/>
      <c r="CD50" s="365"/>
      <c r="CE50" s="359"/>
      <c r="CF50" s="365"/>
      <c r="CG50" s="359"/>
      <c r="CH50" s="365"/>
      <c r="CI50" s="359"/>
      <c r="CJ50" s="365"/>
      <c r="CK50" s="359"/>
      <c r="CL50" s="365"/>
      <c r="CM50" s="359"/>
      <c r="CN50" s="365"/>
      <c r="CO50" s="359"/>
      <c r="CP50" s="365"/>
      <c r="CQ50" s="359"/>
      <c r="CR50" s="365"/>
      <c r="CS50" s="359"/>
      <c r="CT50" s="365"/>
      <c r="CU50" s="359"/>
      <c r="CV50" s="365"/>
      <c r="CW50" s="359"/>
      <c r="CX50" s="365"/>
      <c r="CY50" s="359"/>
      <c r="CZ50" s="365"/>
      <c r="DA50" s="359"/>
      <c r="DB50" s="365"/>
      <c r="DC50" s="359"/>
      <c r="DD50" s="365"/>
      <c r="DE50" s="368"/>
    </row>
    <row r="51" spans="1:109" ht="13.5" customHeight="1" x14ac:dyDescent="0.2">
      <c r="A51" s="354" t="s">
        <v>176</v>
      </c>
      <c r="B51" s="356"/>
      <c r="C51" s="354"/>
      <c r="D51" s="354"/>
      <c r="E51" s="354"/>
      <c r="G51" s="386"/>
      <c r="H51" s="364"/>
      <c r="I51" s="364"/>
      <c r="J51" s="366"/>
      <c r="K51" s="360"/>
      <c r="L51" s="366"/>
      <c r="M51" s="360"/>
      <c r="N51" s="365"/>
      <c r="O51" s="359"/>
      <c r="P51" s="365"/>
      <c r="Q51" s="359"/>
      <c r="R51" s="365"/>
      <c r="S51" s="359"/>
      <c r="T51" s="365"/>
      <c r="U51" s="359"/>
      <c r="V51" s="365"/>
      <c r="W51" s="359"/>
      <c r="X51" s="365"/>
      <c r="Y51" s="359"/>
      <c r="Z51" s="365"/>
      <c r="AA51" s="359"/>
      <c r="AB51" s="365"/>
      <c r="AC51" s="359"/>
      <c r="AD51" s="365"/>
      <c r="AE51" s="359"/>
      <c r="AF51" s="365"/>
      <c r="AG51" s="359"/>
      <c r="AH51" s="365"/>
      <c r="AI51" s="359"/>
      <c r="AJ51" s="365"/>
      <c r="AK51" s="359"/>
      <c r="AL51" s="365"/>
      <c r="AM51" s="359"/>
      <c r="AN51" s="365"/>
      <c r="AO51" s="359"/>
      <c r="AP51" s="365"/>
      <c r="AQ51" s="359"/>
      <c r="AR51" s="365"/>
      <c r="AS51" s="359"/>
      <c r="AT51" s="365"/>
      <c r="AU51" s="359"/>
      <c r="AV51" s="365"/>
      <c r="AW51" s="359"/>
      <c r="AX51" s="365"/>
      <c r="AY51" s="359"/>
      <c r="AZ51" s="365"/>
      <c r="BA51" s="359"/>
      <c r="BB51" s="365"/>
      <c r="BC51" s="359"/>
      <c r="BD51" s="365"/>
      <c r="BE51" s="359"/>
      <c r="BF51" s="365"/>
      <c r="BG51" s="359"/>
      <c r="BH51" s="365"/>
      <c r="BI51" s="359"/>
      <c r="BJ51" s="365"/>
      <c r="BK51" s="359"/>
      <c r="BL51" s="365"/>
      <c r="BM51" s="359"/>
      <c r="BN51" s="365"/>
      <c r="BO51" s="359"/>
      <c r="BP51" s="365"/>
      <c r="BQ51" s="359"/>
      <c r="BR51" s="365"/>
      <c r="BS51" s="359"/>
      <c r="BT51" s="365"/>
      <c r="BU51" s="359"/>
      <c r="BV51" s="365"/>
      <c r="BW51" s="359"/>
      <c r="BX51" s="365"/>
      <c r="BY51" s="359"/>
      <c r="BZ51" s="365"/>
      <c r="CA51" s="359"/>
      <c r="CB51" s="365"/>
      <c r="CC51" s="359"/>
      <c r="CD51" s="365"/>
      <c r="CE51" s="359"/>
      <c r="CF51" s="365"/>
      <c r="CG51" s="359"/>
      <c r="CH51" s="365"/>
      <c r="CI51" s="359"/>
      <c r="CJ51" s="365"/>
      <c r="CK51" s="359"/>
      <c r="CL51" s="365"/>
      <c r="CM51" s="359"/>
      <c r="CN51" s="365"/>
      <c r="CO51" s="359"/>
      <c r="CP51" s="365"/>
      <c r="CQ51" s="359"/>
      <c r="CR51" s="365"/>
      <c r="CS51" s="359"/>
      <c r="CT51" s="365"/>
      <c r="CU51" s="359"/>
      <c r="CV51" s="365"/>
      <c r="CW51" s="359"/>
      <c r="CX51" s="365"/>
      <c r="CY51" s="359"/>
      <c r="CZ51" s="365"/>
      <c r="DA51" s="359"/>
      <c r="DB51" s="365"/>
      <c r="DC51" s="359"/>
      <c r="DD51" s="365"/>
      <c r="DE51" s="368"/>
    </row>
    <row r="52" spans="1:109" ht="13.5" customHeight="1" x14ac:dyDescent="0.2">
      <c r="A52" s="354" t="s">
        <v>177</v>
      </c>
      <c r="B52" s="356"/>
      <c r="C52" s="354"/>
      <c r="D52" s="354"/>
      <c r="E52" s="354"/>
      <c r="G52" s="386"/>
      <c r="H52" s="364"/>
      <c r="I52" s="364"/>
      <c r="J52" s="366"/>
      <c r="K52" s="360"/>
      <c r="L52" s="366"/>
      <c r="M52" s="360"/>
      <c r="N52" s="365"/>
      <c r="O52" s="359"/>
      <c r="P52" s="365"/>
      <c r="Q52" s="359"/>
      <c r="R52" s="365"/>
      <c r="S52" s="359"/>
      <c r="T52" s="365"/>
      <c r="U52" s="359"/>
      <c r="V52" s="365"/>
      <c r="W52" s="359"/>
      <c r="X52" s="365"/>
      <c r="Y52" s="359"/>
      <c r="Z52" s="365"/>
      <c r="AA52" s="359"/>
      <c r="AB52" s="365"/>
      <c r="AC52" s="359"/>
      <c r="AD52" s="365"/>
      <c r="AE52" s="359"/>
      <c r="AF52" s="365"/>
      <c r="AG52" s="359"/>
      <c r="AH52" s="365"/>
      <c r="AI52" s="359"/>
      <c r="AJ52" s="365"/>
      <c r="AK52" s="359"/>
      <c r="AL52" s="365"/>
      <c r="AM52" s="359"/>
      <c r="AN52" s="365"/>
      <c r="AO52" s="359"/>
      <c r="AP52" s="365"/>
      <c r="AQ52" s="359"/>
      <c r="AR52" s="365"/>
      <c r="AS52" s="359"/>
      <c r="AT52" s="365"/>
      <c r="AU52" s="359"/>
      <c r="AV52" s="365"/>
      <c r="AW52" s="359"/>
      <c r="AX52" s="365"/>
      <c r="AY52" s="359"/>
      <c r="AZ52" s="365"/>
      <c r="BA52" s="359"/>
      <c r="BB52" s="365"/>
      <c r="BC52" s="359"/>
      <c r="BD52" s="365"/>
      <c r="BE52" s="359"/>
      <c r="BF52" s="365"/>
      <c r="BG52" s="359"/>
      <c r="BH52" s="365"/>
      <c r="BI52" s="359"/>
      <c r="BJ52" s="365"/>
      <c r="BK52" s="359"/>
      <c r="BL52" s="365"/>
      <c r="BM52" s="359"/>
      <c r="BN52" s="365"/>
      <c r="BO52" s="359"/>
      <c r="BP52" s="365"/>
      <c r="BQ52" s="359"/>
      <c r="BR52" s="365"/>
      <c r="BS52" s="359"/>
      <c r="BT52" s="365"/>
      <c r="BU52" s="359"/>
      <c r="BV52" s="365"/>
      <c r="BW52" s="359"/>
      <c r="BX52" s="365"/>
      <c r="BY52" s="359"/>
      <c r="BZ52" s="365"/>
      <c r="CA52" s="359"/>
      <c r="CB52" s="365"/>
      <c r="CC52" s="359"/>
      <c r="CD52" s="365"/>
      <c r="CE52" s="359"/>
      <c r="CF52" s="365"/>
      <c r="CG52" s="359"/>
      <c r="CH52" s="365"/>
      <c r="CI52" s="359"/>
      <c r="CJ52" s="365"/>
      <c r="CK52" s="359"/>
      <c r="CL52" s="365"/>
      <c r="CM52" s="359"/>
      <c r="CN52" s="365"/>
      <c r="CO52" s="359"/>
      <c r="CP52" s="365"/>
      <c r="CQ52" s="359"/>
      <c r="CR52" s="365"/>
      <c r="CS52" s="359"/>
      <c r="CT52" s="365"/>
      <c r="CU52" s="359"/>
      <c r="CV52" s="365"/>
      <c r="CW52" s="359"/>
      <c r="CX52" s="365"/>
      <c r="CY52" s="359"/>
      <c r="CZ52" s="365"/>
      <c r="DA52" s="359"/>
      <c r="DB52" s="365"/>
      <c r="DC52" s="359"/>
      <c r="DD52" s="365"/>
      <c r="DE52" s="368"/>
    </row>
    <row r="53" spans="1:109" ht="13.5" customHeight="1" x14ac:dyDescent="0.2">
      <c r="A53" s="354" t="s">
        <v>178</v>
      </c>
      <c r="B53" s="356"/>
      <c r="C53" s="354"/>
      <c r="D53" s="354"/>
      <c r="E53" s="354"/>
      <c r="G53" s="386"/>
      <c r="H53" s="364"/>
      <c r="I53" s="364"/>
      <c r="J53" s="366"/>
      <c r="K53" s="360"/>
      <c r="L53" s="366"/>
      <c r="M53" s="360"/>
      <c r="N53" s="365"/>
      <c r="O53" s="359"/>
      <c r="P53" s="365"/>
      <c r="Q53" s="359"/>
      <c r="R53" s="365"/>
      <c r="S53" s="359"/>
      <c r="T53" s="365"/>
      <c r="U53" s="359"/>
      <c r="V53" s="365"/>
      <c r="W53" s="359"/>
      <c r="X53" s="365"/>
      <c r="Y53" s="359"/>
      <c r="Z53" s="365"/>
      <c r="AA53" s="359"/>
      <c r="AB53" s="365"/>
      <c r="AC53" s="359"/>
      <c r="AD53" s="365"/>
      <c r="AE53" s="359"/>
      <c r="AF53" s="365"/>
      <c r="AG53" s="359"/>
      <c r="AH53" s="365"/>
      <c r="AI53" s="359"/>
      <c r="AJ53" s="365"/>
      <c r="AK53" s="359"/>
      <c r="AL53" s="365"/>
      <c r="AM53" s="359"/>
      <c r="AN53" s="365"/>
      <c r="AO53" s="359"/>
      <c r="AP53" s="365"/>
      <c r="AQ53" s="359"/>
      <c r="AR53" s="365"/>
      <c r="AS53" s="359"/>
      <c r="AT53" s="365"/>
      <c r="AU53" s="359"/>
      <c r="AV53" s="365"/>
      <c r="AW53" s="359"/>
      <c r="AX53" s="365"/>
      <c r="AY53" s="359"/>
      <c r="AZ53" s="365"/>
      <c r="BA53" s="359"/>
      <c r="BB53" s="365"/>
      <c r="BC53" s="359"/>
      <c r="BD53" s="365"/>
      <c r="BE53" s="359"/>
      <c r="BF53" s="365"/>
      <c r="BG53" s="359"/>
      <c r="BH53" s="365"/>
      <c r="BI53" s="359"/>
      <c r="BJ53" s="365"/>
      <c r="BK53" s="359"/>
      <c r="BL53" s="365"/>
      <c r="BM53" s="359"/>
      <c r="BN53" s="365"/>
      <c r="BO53" s="359"/>
      <c r="BP53" s="365"/>
      <c r="BQ53" s="359"/>
      <c r="BR53" s="365"/>
      <c r="BS53" s="359"/>
      <c r="BT53" s="365"/>
      <c r="BU53" s="359"/>
      <c r="BV53" s="365"/>
      <c r="BW53" s="359"/>
      <c r="BX53" s="365"/>
      <c r="BY53" s="359"/>
      <c r="BZ53" s="365"/>
      <c r="CA53" s="359"/>
      <c r="CB53" s="365"/>
      <c r="CC53" s="359"/>
      <c r="CD53" s="365"/>
      <c r="CE53" s="359"/>
      <c r="CF53" s="365"/>
      <c r="CG53" s="359"/>
      <c r="CH53" s="365"/>
      <c r="CI53" s="359"/>
      <c r="CJ53" s="365"/>
      <c r="CK53" s="359"/>
      <c r="CL53" s="365"/>
      <c r="CM53" s="359"/>
      <c r="CN53" s="365"/>
      <c r="CO53" s="359"/>
      <c r="CP53" s="365"/>
      <c r="CQ53" s="359"/>
      <c r="CR53" s="365"/>
      <c r="CS53" s="359"/>
      <c r="CT53" s="365"/>
      <c r="CU53" s="359"/>
      <c r="CV53" s="365"/>
      <c r="CW53" s="359"/>
      <c r="CX53" s="365"/>
      <c r="CY53" s="359"/>
      <c r="CZ53" s="365"/>
      <c r="DA53" s="359"/>
      <c r="DB53" s="365"/>
      <c r="DC53" s="359"/>
      <c r="DD53" s="365"/>
      <c r="DE53" s="368"/>
    </row>
    <row r="54" spans="1:109" ht="13.5" customHeight="1" x14ac:dyDescent="0.2">
      <c r="A54" s="354" t="s">
        <v>179</v>
      </c>
      <c r="B54" s="356"/>
      <c r="C54" s="354"/>
      <c r="D54" s="354"/>
      <c r="E54" s="354"/>
      <c r="G54" s="386"/>
      <c r="H54" s="364"/>
      <c r="I54" s="364"/>
      <c r="J54" s="366"/>
      <c r="K54" s="360"/>
      <c r="L54" s="365"/>
      <c r="M54" s="359"/>
      <c r="N54" s="365"/>
      <c r="O54" s="359"/>
      <c r="P54" s="365"/>
      <c r="Q54" s="359"/>
      <c r="R54" s="365"/>
      <c r="S54" s="359"/>
      <c r="T54" s="365"/>
      <c r="U54" s="359"/>
      <c r="V54" s="365"/>
      <c r="W54" s="359"/>
      <c r="X54" s="365"/>
      <c r="Y54" s="359"/>
      <c r="Z54" s="365"/>
      <c r="AA54" s="359"/>
      <c r="AB54" s="365"/>
      <c r="AC54" s="359"/>
      <c r="AD54" s="365"/>
      <c r="AE54" s="359"/>
      <c r="AF54" s="365"/>
      <c r="AG54" s="359"/>
      <c r="AH54" s="365"/>
      <c r="AI54" s="359"/>
      <c r="AJ54" s="365"/>
      <c r="AK54" s="359"/>
      <c r="AL54" s="365"/>
      <c r="AM54" s="359"/>
      <c r="AN54" s="365"/>
      <c r="AO54" s="359"/>
      <c r="AP54" s="365"/>
      <c r="AQ54" s="359"/>
      <c r="AR54" s="365"/>
      <c r="AS54" s="359"/>
      <c r="AT54" s="365"/>
      <c r="AU54" s="359"/>
      <c r="AV54" s="365"/>
      <c r="AW54" s="359"/>
      <c r="AX54" s="365"/>
      <c r="AY54" s="359"/>
      <c r="AZ54" s="365"/>
      <c r="BA54" s="359"/>
      <c r="BB54" s="365"/>
      <c r="BC54" s="359"/>
      <c r="BD54" s="365"/>
      <c r="BE54" s="359"/>
      <c r="BF54" s="365"/>
      <c r="BG54" s="359"/>
      <c r="BH54" s="365"/>
      <c r="BI54" s="359"/>
      <c r="BJ54" s="365"/>
      <c r="BK54" s="359"/>
      <c r="BL54" s="365"/>
      <c r="BM54" s="359"/>
      <c r="BN54" s="365"/>
      <c r="BO54" s="359"/>
      <c r="BP54" s="365"/>
      <c r="BQ54" s="359"/>
      <c r="BR54" s="365"/>
      <c r="BS54" s="359"/>
      <c r="BT54" s="365"/>
      <c r="BU54" s="359"/>
      <c r="BV54" s="365"/>
      <c r="BW54" s="359"/>
      <c r="BX54" s="365"/>
      <c r="BY54" s="359"/>
      <c r="BZ54" s="365"/>
      <c r="CA54" s="359"/>
      <c r="CB54" s="365"/>
      <c r="CC54" s="359"/>
      <c r="CD54" s="365"/>
      <c r="CE54" s="359"/>
      <c r="CF54" s="365"/>
      <c r="CG54" s="359"/>
      <c r="CH54" s="365"/>
      <c r="CI54" s="359"/>
      <c r="CJ54" s="365"/>
      <c r="CK54" s="359"/>
      <c r="CL54" s="365"/>
      <c r="CM54" s="359"/>
      <c r="CN54" s="365"/>
      <c r="CO54" s="359"/>
      <c r="CP54" s="365"/>
      <c r="CQ54" s="359"/>
      <c r="CR54" s="365"/>
      <c r="CS54" s="359"/>
      <c r="CT54" s="365"/>
      <c r="CU54" s="359"/>
      <c r="CV54" s="365"/>
      <c r="CW54" s="359"/>
      <c r="CX54" s="365"/>
      <c r="CY54" s="359"/>
      <c r="CZ54" s="365"/>
      <c r="DA54" s="359"/>
      <c r="DB54" s="365"/>
      <c r="DC54" s="359"/>
      <c r="DD54" s="365"/>
      <c r="DE54" s="368"/>
    </row>
    <row r="55" spans="1:109" ht="13.5" customHeight="1" x14ac:dyDescent="0.2">
      <c r="A55" s="354" t="s">
        <v>180</v>
      </c>
      <c r="B55" s="356"/>
      <c r="C55" s="354"/>
      <c r="D55" s="354"/>
      <c r="E55" s="354"/>
      <c r="G55" s="386"/>
      <c r="H55" s="364"/>
      <c r="I55" s="364"/>
      <c r="J55" s="366"/>
      <c r="K55" s="360"/>
      <c r="L55" s="366"/>
      <c r="M55" s="360"/>
      <c r="N55" s="365"/>
      <c r="O55" s="359"/>
      <c r="P55" s="365"/>
      <c r="Q55" s="359"/>
      <c r="R55" s="365"/>
      <c r="S55" s="359"/>
      <c r="T55" s="365"/>
      <c r="U55" s="359"/>
      <c r="V55" s="365"/>
      <c r="W55" s="359"/>
      <c r="X55" s="365"/>
      <c r="Y55" s="359"/>
      <c r="Z55" s="365"/>
      <c r="AA55" s="359"/>
      <c r="AB55" s="365"/>
      <c r="AC55" s="359"/>
      <c r="AD55" s="365"/>
      <c r="AE55" s="359"/>
      <c r="AF55" s="365"/>
      <c r="AG55" s="359"/>
      <c r="AH55" s="365"/>
      <c r="AI55" s="359"/>
      <c r="AJ55" s="365"/>
      <c r="AK55" s="359"/>
      <c r="AL55" s="365"/>
      <c r="AM55" s="359"/>
      <c r="AN55" s="365"/>
      <c r="AO55" s="359"/>
      <c r="AP55" s="365"/>
      <c r="AQ55" s="359"/>
      <c r="AR55" s="365"/>
      <c r="AS55" s="359"/>
      <c r="AT55" s="365"/>
      <c r="AU55" s="359"/>
      <c r="AV55" s="365"/>
      <c r="AW55" s="359"/>
      <c r="AX55" s="365"/>
      <c r="AY55" s="359"/>
      <c r="AZ55" s="365"/>
      <c r="BA55" s="359"/>
      <c r="BB55" s="365"/>
      <c r="BC55" s="359"/>
      <c r="BD55" s="365"/>
      <c r="BE55" s="359"/>
      <c r="BF55" s="365"/>
      <c r="BG55" s="359"/>
      <c r="BH55" s="365"/>
      <c r="BI55" s="359"/>
      <c r="BJ55" s="365"/>
      <c r="BK55" s="359"/>
      <c r="BL55" s="365"/>
      <c r="BM55" s="359"/>
      <c r="BN55" s="365"/>
      <c r="BO55" s="359"/>
      <c r="BP55" s="365"/>
      <c r="BQ55" s="359"/>
      <c r="BR55" s="365"/>
      <c r="BS55" s="359"/>
      <c r="BT55" s="365"/>
      <c r="BU55" s="359"/>
      <c r="BV55" s="365"/>
      <c r="BW55" s="359"/>
      <c r="BX55" s="365"/>
      <c r="BY55" s="359"/>
      <c r="BZ55" s="365"/>
      <c r="CA55" s="359"/>
      <c r="CB55" s="365"/>
      <c r="CC55" s="359"/>
      <c r="CD55" s="365"/>
      <c r="CE55" s="359"/>
      <c r="CF55" s="365"/>
      <c r="CG55" s="359"/>
      <c r="CH55" s="365"/>
      <c r="CI55" s="359"/>
      <c r="CJ55" s="365"/>
      <c r="CK55" s="359"/>
      <c r="CL55" s="365"/>
      <c r="CM55" s="359"/>
      <c r="CN55" s="365"/>
      <c r="CO55" s="359"/>
      <c r="CP55" s="365"/>
      <c r="CQ55" s="359"/>
      <c r="CR55" s="365"/>
      <c r="CS55" s="359"/>
      <c r="CT55" s="365"/>
      <c r="CU55" s="359"/>
      <c r="CV55" s="365"/>
      <c r="CW55" s="359"/>
      <c r="CX55" s="365"/>
      <c r="CY55" s="359"/>
      <c r="CZ55" s="365"/>
      <c r="DA55" s="359"/>
      <c r="DB55" s="365"/>
      <c r="DC55" s="359"/>
      <c r="DD55" s="365"/>
      <c r="DE55" s="368"/>
    </row>
    <row r="56" spans="1:109" ht="13.5" customHeight="1" x14ac:dyDescent="0.2">
      <c r="A56" s="354" t="s">
        <v>181</v>
      </c>
      <c r="B56" s="356"/>
      <c r="C56" s="354"/>
      <c r="D56" s="354"/>
      <c r="E56" s="354"/>
      <c r="G56" s="386"/>
      <c r="H56" s="364"/>
      <c r="I56" s="364"/>
      <c r="J56" s="366"/>
      <c r="K56" s="360"/>
      <c r="L56" s="365"/>
      <c r="M56" s="359"/>
      <c r="N56" s="365"/>
      <c r="O56" s="359"/>
      <c r="P56" s="365"/>
      <c r="Q56" s="359"/>
      <c r="R56" s="365"/>
      <c r="S56" s="359"/>
      <c r="T56" s="365"/>
      <c r="U56" s="359"/>
      <c r="V56" s="365"/>
      <c r="W56" s="359"/>
      <c r="X56" s="365"/>
      <c r="Y56" s="359"/>
      <c r="Z56" s="365"/>
      <c r="AA56" s="359"/>
      <c r="AB56" s="365"/>
      <c r="AC56" s="359"/>
      <c r="AD56" s="365"/>
      <c r="AE56" s="359"/>
      <c r="AF56" s="365"/>
      <c r="AG56" s="359"/>
      <c r="AH56" s="365"/>
      <c r="AI56" s="359"/>
      <c r="AJ56" s="365"/>
      <c r="AK56" s="359"/>
      <c r="AL56" s="365"/>
      <c r="AM56" s="359"/>
      <c r="AN56" s="365"/>
      <c r="AO56" s="359"/>
      <c r="AP56" s="365"/>
      <c r="AQ56" s="359"/>
      <c r="AR56" s="365"/>
      <c r="AS56" s="359"/>
      <c r="AT56" s="365"/>
      <c r="AU56" s="359"/>
      <c r="AV56" s="365"/>
      <c r="AW56" s="359"/>
      <c r="AX56" s="365"/>
      <c r="AY56" s="359"/>
      <c r="AZ56" s="365"/>
      <c r="BA56" s="359"/>
      <c r="BB56" s="365"/>
      <c r="BC56" s="359"/>
      <c r="BD56" s="365"/>
      <c r="BE56" s="359"/>
      <c r="BF56" s="365"/>
      <c r="BG56" s="359"/>
      <c r="BH56" s="365"/>
      <c r="BI56" s="359"/>
      <c r="BJ56" s="365"/>
      <c r="BK56" s="359"/>
      <c r="BL56" s="365"/>
      <c r="BM56" s="359"/>
      <c r="BN56" s="365"/>
      <c r="BO56" s="359"/>
      <c r="BP56" s="365"/>
      <c r="BQ56" s="359"/>
      <c r="BR56" s="365"/>
      <c r="BS56" s="359"/>
      <c r="BT56" s="365"/>
      <c r="BU56" s="359"/>
      <c r="BV56" s="365"/>
      <c r="BW56" s="359"/>
      <c r="BX56" s="365"/>
      <c r="BY56" s="359"/>
      <c r="BZ56" s="365"/>
      <c r="CA56" s="359"/>
      <c r="CB56" s="365"/>
      <c r="CC56" s="359"/>
      <c r="CD56" s="365"/>
      <c r="CE56" s="359"/>
      <c r="CF56" s="365"/>
      <c r="CG56" s="359"/>
      <c r="CH56" s="365"/>
      <c r="CI56" s="359"/>
      <c r="CJ56" s="365"/>
      <c r="CK56" s="359"/>
      <c r="CL56" s="365"/>
      <c r="CM56" s="359"/>
      <c r="CN56" s="365"/>
      <c r="CO56" s="359"/>
      <c r="CP56" s="365"/>
      <c r="CQ56" s="359"/>
      <c r="CR56" s="365"/>
      <c r="CS56" s="359"/>
      <c r="CT56" s="365"/>
      <c r="CU56" s="359"/>
      <c r="CV56" s="365"/>
      <c r="CW56" s="359"/>
      <c r="CX56" s="365"/>
      <c r="CY56" s="359"/>
      <c r="CZ56" s="365"/>
      <c r="DA56" s="359"/>
      <c r="DB56" s="365"/>
      <c r="DC56" s="359"/>
      <c r="DD56" s="365"/>
      <c r="DE56" s="368"/>
    </row>
    <row r="57" spans="1:109" ht="13.5" customHeight="1" x14ac:dyDescent="0.2">
      <c r="A57" s="354" t="s">
        <v>182</v>
      </c>
      <c r="B57" s="355"/>
      <c r="C57" s="367"/>
      <c r="D57" s="367"/>
      <c r="E57" s="367"/>
      <c r="G57" s="386"/>
      <c r="H57" s="364"/>
      <c r="I57" s="364"/>
      <c r="J57" s="366"/>
      <c r="K57" s="360"/>
      <c r="L57" s="366"/>
      <c r="M57" s="360"/>
      <c r="N57" s="365"/>
      <c r="O57" s="359"/>
      <c r="P57" s="365"/>
      <c r="Q57" s="359"/>
      <c r="R57" s="365"/>
      <c r="S57" s="359"/>
      <c r="T57" s="365"/>
      <c r="U57" s="359"/>
      <c r="V57" s="365"/>
      <c r="W57" s="359"/>
      <c r="X57" s="365"/>
      <c r="Y57" s="359"/>
      <c r="Z57" s="365"/>
      <c r="AA57" s="359"/>
      <c r="AB57" s="365"/>
      <c r="AC57" s="359"/>
      <c r="AD57" s="365"/>
      <c r="AE57" s="359"/>
      <c r="AF57" s="365"/>
      <c r="AG57" s="359"/>
      <c r="AH57" s="365"/>
      <c r="AI57" s="359"/>
      <c r="AJ57" s="365"/>
      <c r="AK57" s="359"/>
      <c r="AL57" s="365"/>
      <c r="AM57" s="359"/>
      <c r="AN57" s="365"/>
      <c r="AO57" s="359"/>
      <c r="AP57" s="365"/>
      <c r="AQ57" s="359"/>
      <c r="AR57" s="365"/>
      <c r="AS57" s="359"/>
      <c r="AT57" s="365"/>
      <c r="AU57" s="359"/>
      <c r="AV57" s="365"/>
      <c r="AW57" s="359"/>
      <c r="AX57" s="365"/>
      <c r="AY57" s="359"/>
      <c r="AZ57" s="365"/>
      <c r="BA57" s="359"/>
      <c r="BB57" s="365"/>
      <c r="BC57" s="359"/>
      <c r="BD57" s="365"/>
      <c r="BE57" s="359"/>
      <c r="BF57" s="365"/>
      <c r="BG57" s="359"/>
      <c r="BH57" s="365"/>
      <c r="BI57" s="359"/>
      <c r="BJ57" s="365"/>
      <c r="BK57" s="359"/>
      <c r="BL57" s="365"/>
      <c r="BM57" s="359"/>
      <c r="BN57" s="365"/>
      <c r="BO57" s="359"/>
      <c r="BP57" s="365"/>
      <c r="BQ57" s="359"/>
      <c r="BR57" s="365"/>
      <c r="BS57" s="359"/>
      <c r="BT57" s="365"/>
      <c r="BU57" s="359"/>
      <c r="BV57" s="365"/>
      <c r="BW57" s="359"/>
      <c r="BX57" s="365"/>
      <c r="BY57" s="359"/>
      <c r="BZ57" s="365"/>
      <c r="CA57" s="359"/>
      <c r="CB57" s="365"/>
      <c r="CC57" s="359"/>
      <c r="CD57" s="365"/>
      <c r="CE57" s="359"/>
      <c r="CF57" s="365"/>
      <c r="CG57" s="359"/>
      <c r="CH57" s="365"/>
      <c r="CI57" s="359"/>
      <c r="CJ57" s="365"/>
      <c r="CK57" s="359"/>
      <c r="CL57" s="365"/>
      <c r="CM57" s="359"/>
      <c r="CN57" s="365"/>
      <c r="CO57" s="359"/>
      <c r="CP57" s="365"/>
      <c r="CQ57" s="359"/>
      <c r="CR57" s="365"/>
      <c r="CS57" s="359"/>
      <c r="CT57" s="365"/>
      <c r="CU57" s="359"/>
      <c r="CV57" s="365"/>
      <c r="CW57" s="359"/>
      <c r="CX57" s="365"/>
      <c r="CY57" s="359"/>
      <c r="CZ57" s="365"/>
      <c r="DA57" s="359"/>
      <c r="DB57" s="365"/>
      <c r="DC57" s="359"/>
      <c r="DD57" s="365"/>
      <c r="DE57" s="368"/>
    </row>
    <row r="58" spans="1:109" ht="13.5" customHeight="1" x14ac:dyDescent="0.2">
      <c r="A58" s="354" t="s">
        <v>183</v>
      </c>
      <c r="B58" s="356"/>
      <c r="C58" s="354"/>
      <c r="D58" s="354"/>
      <c r="E58" s="354"/>
      <c r="G58" s="386"/>
      <c r="H58" s="364"/>
      <c r="I58" s="364"/>
      <c r="J58" s="366"/>
      <c r="K58" s="360"/>
      <c r="L58" s="366"/>
      <c r="M58" s="360"/>
      <c r="N58" s="365"/>
      <c r="O58" s="359"/>
      <c r="P58" s="365"/>
      <c r="Q58" s="359"/>
      <c r="R58" s="365"/>
      <c r="S58" s="359"/>
      <c r="T58" s="365"/>
      <c r="U58" s="359"/>
      <c r="V58" s="365"/>
      <c r="W58" s="359"/>
      <c r="X58" s="365"/>
      <c r="Y58" s="359"/>
      <c r="Z58" s="365"/>
      <c r="AA58" s="359"/>
      <c r="AB58" s="365"/>
      <c r="AC58" s="359"/>
      <c r="AD58" s="365"/>
      <c r="AE58" s="359"/>
      <c r="AF58" s="365"/>
      <c r="AG58" s="359"/>
      <c r="AH58" s="365"/>
      <c r="AI58" s="359"/>
      <c r="AJ58" s="365"/>
      <c r="AK58" s="359"/>
      <c r="AL58" s="365"/>
      <c r="AM58" s="359"/>
      <c r="AN58" s="365"/>
      <c r="AO58" s="359"/>
      <c r="AP58" s="365"/>
      <c r="AQ58" s="359"/>
      <c r="AR58" s="365"/>
      <c r="AS58" s="359"/>
      <c r="AT58" s="365"/>
      <c r="AU58" s="359"/>
      <c r="AV58" s="365"/>
      <c r="AW58" s="359"/>
      <c r="AX58" s="365"/>
      <c r="AY58" s="359"/>
      <c r="AZ58" s="365"/>
      <c r="BA58" s="359"/>
      <c r="BB58" s="365"/>
      <c r="BC58" s="359"/>
      <c r="BD58" s="365"/>
      <c r="BE58" s="359"/>
      <c r="BF58" s="365"/>
      <c r="BG58" s="359"/>
      <c r="BH58" s="365"/>
      <c r="BI58" s="359"/>
      <c r="BJ58" s="365"/>
      <c r="BK58" s="359"/>
      <c r="BL58" s="365"/>
      <c r="BM58" s="359"/>
      <c r="BN58" s="365"/>
      <c r="BO58" s="359"/>
      <c r="BP58" s="365"/>
      <c r="BQ58" s="359"/>
      <c r="BR58" s="365"/>
      <c r="BS58" s="359"/>
      <c r="BT58" s="365"/>
      <c r="BU58" s="359"/>
      <c r="BV58" s="365"/>
      <c r="BW58" s="359"/>
      <c r="BX58" s="365"/>
      <c r="BY58" s="359"/>
      <c r="BZ58" s="365"/>
      <c r="CA58" s="359"/>
      <c r="CB58" s="365"/>
      <c r="CC58" s="359"/>
      <c r="CD58" s="365"/>
      <c r="CE58" s="359"/>
      <c r="CF58" s="365"/>
      <c r="CG58" s="359"/>
      <c r="CH58" s="365"/>
      <c r="CI58" s="359"/>
      <c r="CJ58" s="365"/>
      <c r="CK58" s="359"/>
      <c r="CL58" s="365"/>
      <c r="CM58" s="359"/>
      <c r="CN58" s="365"/>
      <c r="CO58" s="359"/>
      <c r="CP58" s="365"/>
      <c r="CQ58" s="359"/>
      <c r="CR58" s="365"/>
      <c r="CS58" s="359"/>
      <c r="CT58" s="365"/>
      <c r="CU58" s="359"/>
      <c r="CV58" s="365"/>
      <c r="CW58" s="359"/>
      <c r="CX58" s="365"/>
      <c r="CY58" s="359"/>
      <c r="CZ58" s="365"/>
      <c r="DA58" s="359"/>
      <c r="DB58" s="365"/>
      <c r="DC58" s="359"/>
      <c r="DD58" s="365"/>
      <c r="DE58" s="368"/>
    </row>
    <row r="59" spans="1:109" ht="13.5" customHeight="1" x14ac:dyDescent="0.2">
      <c r="A59" s="354" t="s">
        <v>184</v>
      </c>
      <c r="B59" s="356"/>
      <c r="C59" s="354"/>
      <c r="D59" s="354"/>
      <c r="E59" s="354"/>
      <c r="G59" s="386"/>
      <c r="H59" s="364"/>
      <c r="I59" s="364"/>
      <c r="J59" s="366"/>
      <c r="K59" s="360"/>
      <c r="L59" s="366"/>
      <c r="M59" s="360"/>
      <c r="N59" s="365"/>
      <c r="O59" s="359"/>
      <c r="P59" s="365"/>
      <c r="Q59" s="359"/>
      <c r="R59" s="365"/>
      <c r="S59" s="359"/>
      <c r="T59" s="365"/>
      <c r="U59" s="359"/>
      <c r="V59" s="365"/>
      <c r="W59" s="359"/>
      <c r="X59" s="365"/>
      <c r="Y59" s="359"/>
      <c r="Z59" s="365"/>
      <c r="AA59" s="359"/>
      <c r="AB59" s="365"/>
      <c r="AC59" s="359"/>
      <c r="AD59" s="365"/>
      <c r="AE59" s="359"/>
      <c r="AF59" s="365"/>
      <c r="AG59" s="359"/>
      <c r="AH59" s="365"/>
      <c r="AI59" s="359"/>
      <c r="AJ59" s="365"/>
      <c r="AK59" s="359"/>
      <c r="AL59" s="365"/>
      <c r="AM59" s="359"/>
      <c r="AN59" s="365"/>
      <c r="AO59" s="359"/>
      <c r="AP59" s="365"/>
      <c r="AQ59" s="359"/>
      <c r="AR59" s="365"/>
      <c r="AS59" s="359"/>
      <c r="AT59" s="365"/>
      <c r="AU59" s="359"/>
      <c r="AV59" s="365"/>
      <c r="AW59" s="359"/>
      <c r="AX59" s="365"/>
      <c r="AY59" s="359"/>
      <c r="AZ59" s="365"/>
      <c r="BA59" s="359"/>
      <c r="BB59" s="365"/>
      <c r="BC59" s="359"/>
      <c r="BD59" s="365"/>
      <c r="BE59" s="359"/>
      <c r="BF59" s="365"/>
      <c r="BG59" s="359"/>
      <c r="BH59" s="365"/>
      <c r="BI59" s="359"/>
      <c r="BJ59" s="365"/>
      <c r="BK59" s="359"/>
      <c r="BL59" s="365"/>
      <c r="BM59" s="359"/>
      <c r="BN59" s="365"/>
      <c r="BO59" s="359"/>
      <c r="BP59" s="365"/>
      <c r="BQ59" s="359"/>
      <c r="BR59" s="365"/>
      <c r="BS59" s="359"/>
      <c r="BT59" s="365"/>
      <c r="BU59" s="359"/>
      <c r="BV59" s="365"/>
      <c r="BW59" s="359"/>
      <c r="BX59" s="365"/>
      <c r="BY59" s="359"/>
      <c r="BZ59" s="365"/>
      <c r="CA59" s="359"/>
      <c r="CB59" s="365"/>
      <c r="CC59" s="359"/>
      <c r="CD59" s="365"/>
      <c r="CE59" s="359"/>
      <c r="CF59" s="365"/>
      <c r="CG59" s="359"/>
      <c r="CH59" s="365"/>
      <c r="CI59" s="359"/>
      <c r="CJ59" s="365"/>
      <c r="CK59" s="359"/>
      <c r="CL59" s="365"/>
      <c r="CM59" s="359"/>
      <c r="CN59" s="365"/>
      <c r="CO59" s="359"/>
      <c r="CP59" s="365"/>
      <c r="CQ59" s="359"/>
      <c r="CR59" s="365"/>
      <c r="CS59" s="359"/>
      <c r="CT59" s="365"/>
      <c r="CU59" s="359"/>
      <c r="CV59" s="365"/>
      <c r="CW59" s="359"/>
      <c r="CX59" s="365"/>
      <c r="CY59" s="359"/>
      <c r="CZ59" s="365"/>
      <c r="DA59" s="359"/>
      <c r="DB59" s="365"/>
      <c r="DC59" s="359"/>
      <c r="DD59" s="365"/>
      <c r="DE59" s="368"/>
    </row>
    <row r="60" spans="1:109" ht="13.5" customHeight="1" x14ac:dyDescent="0.2">
      <c r="A60" s="354" t="s">
        <v>185</v>
      </c>
      <c r="B60" s="356"/>
      <c r="C60" s="354"/>
      <c r="D60" s="354"/>
      <c r="E60" s="354"/>
      <c r="G60" s="386"/>
      <c r="H60" s="364"/>
      <c r="I60" s="364"/>
      <c r="J60" s="366"/>
      <c r="K60" s="360"/>
      <c r="L60" s="365"/>
      <c r="M60" s="359"/>
      <c r="N60" s="365"/>
      <c r="O60" s="359"/>
      <c r="P60" s="365"/>
      <c r="Q60" s="359"/>
      <c r="R60" s="365"/>
      <c r="S60" s="359"/>
      <c r="T60" s="365"/>
      <c r="U60" s="359"/>
      <c r="V60" s="365"/>
      <c r="W60" s="359"/>
      <c r="X60" s="365"/>
      <c r="Y60" s="359"/>
      <c r="Z60" s="365"/>
      <c r="AA60" s="359"/>
      <c r="AB60" s="365"/>
      <c r="AC60" s="359"/>
      <c r="AD60" s="365"/>
      <c r="AE60" s="359"/>
      <c r="AF60" s="365"/>
      <c r="AG60" s="359"/>
      <c r="AH60" s="365"/>
      <c r="AI60" s="359"/>
      <c r="AJ60" s="365"/>
      <c r="AK60" s="359"/>
      <c r="AL60" s="365"/>
      <c r="AM60" s="359"/>
      <c r="AN60" s="365"/>
      <c r="AO60" s="359"/>
      <c r="AP60" s="365"/>
      <c r="AQ60" s="359"/>
      <c r="AR60" s="365"/>
      <c r="AS60" s="359"/>
      <c r="AT60" s="365"/>
      <c r="AU60" s="359"/>
      <c r="AV60" s="365"/>
      <c r="AW60" s="359"/>
      <c r="AX60" s="365"/>
      <c r="AY60" s="359"/>
      <c r="AZ60" s="365"/>
      <c r="BA60" s="359"/>
      <c r="BB60" s="365"/>
      <c r="BC60" s="359"/>
      <c r="BD60" s="365"/>
      <c r="BE60" s="359"/>
      <c r="BF60" s="365"/>
      <c r="BG60" s="359"/>
      <c r="BH60" s="365"/>
      <c r="BI60" s="359"/>
      <c r="BJ60" s="365"/>
      <c r="BK60" s="359"/>
      <c r="BL60" s="365"/>
      <c r="BM60" s="359"/>
      <c r="BN60" s="365"/>
      <c r="BO60" s="359"/>
      <c r="BP60" s="365"/>
      <c r="BQ60" s="359"/>
      <c r="BR60" s="365"/>
      <c r="BS60" s="359"/>
      <c r="BT60" s="365"/>
      <c r="BU60" s="359"/>
      <c r="BV60" s="365"/>
      <c r="BW60" s="359"/>
      <c r="BX60" s="365"/>
      <c r="BY60" s="359"/>
      <c r="BZ60" s="365"/>
      <c r="CA60" s="359"/>
      <c r="CB60" s="365"/>
      <c r="CC60" s="359"/>
      <c r="CD60" s="365"/>
      <c r="CE60" s="359"/>
      <c r="CF60" s="365"/>
      <c r="CG60" s="359"/>
      <c r="CH60" s="365"/>
      <c r="CI60" s="359"/>
      <c r="CJ60" s="365"/>
      <c r="CK60" s="359"/>
      <c r="CL60" s="365"/>
      <c r="CM60" s="359"/>
      <c r="CN60" s="365"/>
      <c r="CO60" s="359"/>
      <c r="CP60" s="365"/>
      <c r="CQ60" s="359"/>
      <c r="CR60" s="365"/>
      <c r="CS60" s="359"/>
      <c r="CT60" s="365"/>
      <c r="CU60" s="359"/>
      <c r="CV60" s="365"/>
      <c r="CW60" s="359"/>
      <c r="CX60" s="365"/>
      <c r="CY60" s="359"/>
      <c r="CZ60" s="365"/>
      <c r="DA60" s="359"/>
      <c r="DB60" s="365"/>
      <c r="DC60" s="359"/>
      <c r="DD60" s="365"/>
      <c r="DE60" s="368"/>
    </row>
    <row r="61" spans="1:109" ht="13.5" customHeight="1" x14ac:dyDescent="0.2">
      <c r="A61" s="354" t="s">
        <v>186</v>
      </c>
      <c r="B61" s="356"/>
      <c r="C61" s="354"/>
      <c r="D61" s="354"/>
      <c r="E61" s="354"/>
      <c r="G61" s="386"/>
      <c r="H61" s="364"/>
      <c r="I61" s="364"/>
      <c r="J61" s="366"/>
      <c r="K61" s="360"/>
      <c r="L61" s="366"/>
      <c r="M61" s="360"/>
      <c r="N61" s="365"/>
      <c r="O61" s="359"/>
      <c r="P61" s="365"/>
      <c r="Q61" s="359"/>
      <c r="R61" s="365"/>
      <c r="S61" s="359"/>
      <c r="T61" s="365"/>
      <c r="U61" s="359"/>
      <c r="V61" s="365"/>
      <c r="W61" s="359"/>
      <c r="X61" s="365"/>
      <c r="Y61" s="359"/>
      <c r="Z61" s="365"/>
      <c r="AA61" s="359"/>
      <c r="AB61" s="365"/>
      <c r="AC61" s="359"/>
      <c r="AD61" s="365"/>
      <c r="AE61" s="359"/>
      <c r="AF61" s="365"/>
      <c r="AG61" s="359"/>
      <c r="AH61" s="365"/>
      <c r="AI61" s="359"/>
      <c r="AJ61" s="365"/>
      <c r="AK61" s="359"/>
      <c r="AL61" s="365"/>
      <c r="AM61" s="359"/>
      <c r="AN61" s="365"/>
      <c r="AO61" s="359"/>
      <c r="AP61" s="365"/>
      <c r="AQ61" s="359"/>
      <c r="AR61" s="365"/>
      <c r="AS61" s="359"/>
      <c r="AT61" s="365"/>
      <c r="AU61" s="359"/>
      <c r="AV61" s="365"/>
      <c r="AW61" s="359"/>
      <c r="AX61" s="365"/>
      <c r="AY61" s="359"/>
      <c r="AZ61" s="365"/>
      <c r="BA61" s="359"/>
      <c r="BB61" s="365"/>
      <c r="BC61" s="359"/>
      <c r="BD61" s="365"/>
      <c r="BE61" s="359"/>
      <c r="BF61" s="365"/>
      <c r="BG61" s="359"/>
      <c r="BH61" s="365"/>
      <c r="BI61" s="359"/>
      <c r="BJ61" s="365"/>
      <c r="BK61" s="359"/>
      <c r="BL61" s="365"/>
      <c r="BM61" s="359"/>
      <c r="BN61" s="365"/>
      <c r="BO61" s="359"/>
      <c r="BP61" s="365"/>
      <c r="BQ61" s="359"/>
      <c r="BR61" s="365"/>
      <c r="BS61" s="359"/>
      <c r="BT61" s="365"/>
      <c r="BU61" s="359"/>
      <c r="BV61" s="365"/>
      <c r="BW61" s="359"/>
      <c r="BX61" s="365"/>
      <c r="BY61" s="359"/>
      <c r="BZ61" s="365"/>
      <c r="CA61" s="359"/>
      <c r="CB61" s="365"/>
      <c r="CC61" s="359"/>
      <c r="CD61" s="365"/>
      <c r="CE61" s="359"/>
      <c r="CF61" s="365"/>
      <c r="CG61" s="359"/>
      <c r="CH61" s="365"/>
      <c r="CI61" s="359"/>
      <c r="CJ61" s="365"/>
      <c r="CK61" s="359"/>
      <c r="CL61" s="365"/>
      <c r="CM61" s="359"/>
      <c r="CN61" s="365"/>
      <c r="CO61" s="359"/>
      <c r="CP61" s="365"/>
      <c r="CQ61" s="359"/>
      <c r="CR61" s="365"/>
      <c r="CS61" s="359"/>
      <c r="CT61" s="365"/>
      <c r="CU61" s="359"/>
      <c r="CV61" s="365"/>
      <c r="CW61" s="359"/>
      <c r="CX61" s="365"/>
      <c r="CY61" s="359"/>
      <c r="CZ61" s="365"/>
      <c r="DA61" s="359"/>
      <c r="DB61" s="365"/>
      <c r="DC61" s="359"/>
      <c r="DD61" s="365"/>
      <c r="DE61" s="368"/>
    </row>
    <row r="62" spans="1:109" ht="13.5" customHeight="1" x14ac:dyDescent="0.2">
      <c r="A62" s="354" t="s">
        <v>187</v>
      </c>
      <c r="B62" s="356"/>
      <c r="C62" s="354"/>
      <c r="D62" s="354"/>
      <c r="E62" s="354"/>
      <c r="G62" s="386"/>
      <c r="H62" s="364"/>
      <c r="I62" s="364"/>
      <c r="J62" s="366"/>
      <c r="K62" s="360"/>
      <c r="L62" s="365"/>
      <c r="M62" s="359"/>
      <c r="N62" s="365"/>
      <c r="O62" s="359"/>
      <c r="P62" s="365"/>
      <c r="Q62" s="359"/>
      <c r="R62" s="365"/>
      <c r="S62" s="359"/>
      <c r="T62" s="365"/>
      <c r="U62" s="359"/>
      <c r="V62" s="365"/>
      <c r="W62" s="359"/>
      <c r="X62" s="365"/>
      <c r="Y62" s="359"/>
      <c r="Z62" s="365"/>
      <c r="AA62" s="359"/>
      <c r="AB62" s="365"/>
      <c r="AC62" s="359"/>
      <c r="AD62" s="365"/>
      <c r="AE62" s="359"/>
      <c r="AF62" s="365"/>
      <c r="AG62" s="359"/>
      <c r="AH62" s="365"/>
      <c r="AI62" s="359"/>
      <c r="AJ62" s="365"/>
      <c r="AK62" s="359"/>
      <c r="AL62" s="365"/>
      <c r="AM62" s="359"/>
      <c r="AN62" s="365"/>
      <c r="AO62" s="359"/>
      <c r="AP62" s="365"/>
      <c r="AQ62" s="359"/>
      <c r="AR62" s="365"/>
      <c r="AS62" s="359"/>
      <c r="AT62" s="365"/>
      <c r="AU62" s="359"/>
      <c r="AV62" s="365"/>
      <c r="AW62" s="359"/>
      <c r="AX62" s="365"/>
      <c r="AY62" s="359"/>
      <c r="AZ62" s="365"/>
      <c r="BA62" s="359"/>
      <c r="BB62" s="365"/>
      <c r="BC62" s="359"/>
      <c r="BD62" s="365"/>
      <c r="BE62" s="359"/>
      <c r="BF62" s="365"/>
      <c r="BG62" s="359"/>
      <c r="BH62" s="365"/>
      <c r="BI62" s="359"/>
      <c r="BJ62" s="365"/>
      <c r="BK62" s="359"/>
      <c r="BL62" s="365"/>
      <c r="BM62" s="359"/>
      <c r="BN62" s="365"/>
      <c r="BO62" s="359"/>
      <c r="BP62" s="365"/>
      <c r="BQ62" s="359"/>
      <c r="BR62" s="365"/>
      <c r="BS62" s="359"/>
      <c r="BT62" s="365"/>
      <c r="BU62" s="359"/>
      <c r="BV62" s="365"/>
      <c r="BW62" s="359"/>
      <c r="BX62" s="365"/>
      <c r="BY62" s="359"/>
      <c r="BZ62" s="365"/>
      <c r="CA62" s="359"/>
      <c r="CB62" s="365"/>
      <c r="CC62" s="359"/>
      <c r="CD62" s="365"/>
      <c r="CE62" s="359"/>
      <c r="CF62" s="365"/>
      <c r="CG62" s="359"/>
      <c r="CH62" s="365"/>
      <c r="CI62" s="359"/>
      <c r="CJ62" s="365"/>
      <c r="CK62" s="359"/>
      <c r="CL62" s="365"/>
      <c r="CM62" s="359"/>
      <c r="CN62" s="365"/>
      <c r="CO62" s="359"/>
      <c r="CP62" s="365"/>
      <c r="CQ62" s="359"/>
      <c r="CR62" s="365"/>
      <c r="CS62" s="359"/>
      <c r="CT62" s="365"/>
      <c r="CU62" s="359"/>
      <c r="CV62" s="365"/>
      <c r="CW62" s="359"/>
      <c r="CX62" s="365"/>
      <c r="CY62" s="359"/>
      <c r="CZ62" s="365"/>
      <c r="DA62" s="359"/>
      <c r="DB62" s="365"/>
      <c r="DC62" s="359"/>
      <c r="DD62" s="365"/>
      <c r="DE62" s="368"/>
    </row>
    <row r="63" spans="1:109" ht="13.5" customHeight="1" x14ac:dyDescent="0.2">
      <c r="A63" s="354" t="s">
        <v>188</v>
      </c>
      <c r="B63" s="356"/>
      <c r="C63" s="354"/>
      <c r="D63" s="354"/>
      <c r="E63" s="354"/>
      <c r="G63" s="386"/>
      <c r="H63" s="364"/>
      <c r="I63" s="364"/>
      <c r="J63" s="366"/>
      <c r="K63" s="360"/>
      <c r="L63" s="366"/>
      <c r="M63" s="360"/>
      <c r="N63" s="365"/>
      <c r="O63" s="359"/>
      <c r="P63" s="365"/>
      <c r="Q63" s="359"/>
      <c r="R63" s="365"/>
      <c r="S63" s="359"/>
      <c r="T63" s="365"/>
      <c r="U63" s="359"/>
      <c r="V63" s="365"/>
      <c r="W63" s="359"/>
      <c r="X63" s="365"/>
      <c r="Y63" s="359"/>
      <c r="Z63" s="365"/>
      <c r="AA63" s="359"/>
      <c r="AB63" s="365"/>
      <c r="AC63" s="359"/>
      <c r="AD63" s="365"/>
      <c r="AE63" s="359"/>
      <c r="AF63" s="365"/>
      <c r="AG63" s="359"/>
      <c r="AH63" s="365"/>
      <c r="AI63" s="359"/>
      <c r="AJ63" s="365"/>
      <c r="AK63" s="359"/>
      <c r="AL63" s="365"/>
      <c r="AM63" s="359"/>
      <c r="AN63" s="365"/>
      <c r="AO63" s="359"/>
      <c r="AP63" s="365"/>
      <c r="AQ63" s="359"/>
      <c r="AR63" s="365"/>
      <c r="AS63" s="359"/>
      <c r="AT63" s="365"/>
      <c r="AU63" s="359"/>
      <c r="AV63" s="365"/>
      <c r="AW63" s="359"/>
      <c r="AX63" s="365"/>
      <c r="AY63" s="359"/>
      <c r="AZ63" s="365"/>
      <c r="BA63" s="359"/>
      <c r="BB63" s="365"/>
      <c r="BC63" s="359"/>
      <c r="BD63" s="365"/>
      <c r="BE63" s="359"/>
      <c r="BF63" s="365"/>
      <c r="BG63" s="359"/>
      <c r="BH63" s="365"/>
      <c r="BI63" s="359"/>
      <c r="BJ63" s="365"/>
      <c r="BK63" s="359"/>
      <c r="BL63" s="365"/>
      <c r="BM63" s="359"/>
      <c r="BN63" s="365"/>
      <c r="BO63" s="359"/>
      <c r="BP63" s="365"/>
      <c r="BQ63" s="359"/>
      <c r="BR63" s="365"/>
      <c r="BS63" s="359"/>
      <c r="BT63" s="365"/>
      <c r="BU63" s="359"/>
      <c r="BV63" s="365"/>
      <c r="BW63" s="359"/>
      <c r="BX63" s="365"/>
      <c r="BY63" s="359"/>
      <c r="BZ63" s="365"/>
      <c r="CA63" s="359"/>
      <c r="CB63" s="365"/>
      <c r="CC63" s="359"/>
      <c r="CD63" s="365"/>
      <c r="CE63" s="359"/>
      <c r="CF63" s="365"/>
      <c r="CG63" s="359"/>
      <c r="CH63" s="365"/>
      <c r="CI63" s="359"/>
      <c r="CJ63" s="365"/>
      <c r="CK63" s="359"/>
      <c r="CL63" s="365"/>
      <c r="CM63" s="359"/>
      <c r="CN63" s="365"/>
      <c r="CO63" s="359"/>
      <c r="CP63" s="365"/>
      <c r="CQ63" s="359"/>
      <c r="CR63" s="365"/>
      <c r="CS63" s="359"/>
      <c r="CT63" s="365"/>
      <c r="CU63" s="359"/>
      <c r="CV63" s="365"/>
      <c r="CW63" s="359"/>
      <c r="CX63" s="365"/>
      <c r="CY63" s="359"/>
      <c r="CZ63" s="365"/>
      <c r="DA63" s="359"/>
      <c r="DB63" s="365"/>
      <c r="DC63" s="359"/>
      <c r="DD63" s="365"/>
      <c r="DE63" s="368"/>
    </row>
    <row r="64" spans="1:109" ht="13.5" customHeight="1" x14ac:dyDescent="0.2">
      <c r="A64" s="354" t="s">
        <v>189</v>
      </c>
      <c r="B64" s="356"/>
      <c r="C64" s="354"/>
      <c r="D64" s="354"/>
      <c r="E64" s="354"/>
      <c r="G64" s="386"/>
      <c r="H64" s="364"/>
      <c r="I64" s="364"/>
      <c r="J64" s="366"/>
      <c r="K64" s="360"/>
      <c r="L64" s="366"/>
      <c r="M64" s="360"/>
      <c r="N64" s="365"/>
      <c r="O64" s="359"/>
      <c r="P64" s="365"/>
      <c r="Q64" s="359"/>
      <c r="R64" s="365"/>
      <c r="S64" s="359"/>
      <c r="T64" s="365"/>
      <c r="U64" s="359"/>
      <c r="V64" s="365"/>
      <c r="W64" s="359"/>
      <c r="X64" s="365"/>
      <c r="Y64" s="359"/>
      <c r="Z64" s="365"/>
      <c r="AA64" s="359"/>
      <c r="AB64" s="365"/>
      <c r="AC64" s="359"/>
      <c r="AD64" s="365"/>
      <c r="AE64" s="359"/>
      <c r="AF64" s="365"/>
      <c r="AG64" s="359"/>
      <c r="AH64" s="365"/>
      <c r="AI64" s="359"/>
      <c r="AJ64" s="365"/>
      <c r="AK64" s="359"/>
      <c r="AL64" s="365"/>
      <c r="AM64" s="359"/>
      <c r="AN64" s="365"/>
      <c r="AO64" s="359"/>
      <c r="AP64" s="365"/>
      <c r="AQ64" s="359"/>
      <c r="AR64" s="365"/>
      <c r="AS64" s="359"/>
      <c r="AT64" s="365"/>
      <c r="AU64" s="359"/>
      <c r="AV64" s="365"/>
      <c r="AW64" s="359"/>
      <c r="AX64" s="365"/>
      <c r="AY64" s="359"/>
      <c r="AZ64" s="365"/>
      <c r="BA64" s="359"/>
      <c r="BB64" s="365"/>
      <c r="BC64" s="359"/>
      <c r="BD64" s="365"/>
      <c r="BE64" s="359"/>
      <c r="BF64" s="365"/>
      <c r="BG64" s="359"/>
      <c r="BH64" s="365"/>
      <c r="BI64" s="359"/>
      <c r="BJ64" s="365"/>
      <c r="BK64" s="359"/>
      <c r="BL64" s="365"/>
      <c r="BM64" s="359"/>
      <c r="BN64" s="365"/>
      <c r="BO64" s="359"/>
      <c r="BP64" s="365"/>
      <c r="BQ64" s="359"/>
      <c r="BR64" s="365"/>
      <c r="BS64" s="359"/>
      <c r="BT64" s="365"/>
      <c r="BU64" s="359"/>
      <c r="BV64" s="365"/>
      <c r="BW64" s="359"/>
      <c r="BX64" s="365"/>
      <c r="BY64" s="359"/>
      <c r="BZ64" s="365"/>
      <c r="CA64" s="359"/>
      <c r="CB64" s="365"/>
      <c r="CC64" s="359"/>
      <c r="CD64" s="365"/>
      <c r="CE64" s="359"/>
      <c r="CF64" s="365"/>
      <c r="CG64" s="359"/>
      <c r="CH64" s="365"/>
      <c r="CI64" s="359"/>
      <c r="CJ64" s="365"/>
      <c r="CK64" s="359"/>
      <c r="CL64" s="365"/>
      <c r="CM64" s="359"/>
      <c r="CN64" s="365"/>
      <c r="CO64" s="359"/>
      <c r="CP64" s="365"/>
      <c r="CQ64" s="359"/>
      <c r="CR64" s="365"/>
      <c r="CS64" s="359"/>
      <c r="CT64" s="365"/>
      <c r="CU64" s="359"/>
      <c r="CV64" s="365"/>
      <c r="CW64" s="359"/>
      <c r="CX64" s="365"/>
      <c r="CY64" s="359"/>
      <c r="CZ64" s="365"/>
      <c r="DA64" s="359"/>
      <c r="DB64" s="365"/>
      <c r="DC64" s="359"/>
      <c r="DD64" s="365"/>
      <c r="DE64" s="368"/>
    </row>
    <row r="65" spans="1:109" ht="13.5" customHeight="1" x14ac:dyDescent="0.2">
      <c r="A65" s="354" t="s">
        <v>190</v>
      </c>
      <c r="B65" s="356"/>
      <c r="C65" s="354"/>
      <c r="D65" s="354"/>
      <c r="E65" s="354"/>
      <c r="G65" s="386"/>
      <c r="H65" s="364"/>
      <c r="I65" s="364"/>
      <c r="J65" s="366"/>
      <c r="K65" s="360"/>
      <c r="L65" s="366"/>
      <c r="M65" s="360"/>
      <c r="N65" s="365"/>
      <c r="O65" s="359"/>
      <c r="P65" s="365"/>
      <c r="Q65" s="359"/>
      <c r="R65" s="365"/>
      <c r="S65" s="359"/>
      <c r="T65" s="365"/>
      <c r="U65" s="359"/>
      <c r="V65" s="365"/>
      <c r="W65" s="359"/>
      <c r="X65" s="365"/>
      <c r="Y65" s="359"/>
      <c r="Z65" s="365"/>
      <c r="AA65" s="359"/>
      <c r="AB65" s="365"/>
      <c r="AC65" s="359"/>
      <c r="AD65" s="365"/>
      <c r="AE65" s="359"/>
      <c r="AF65" s="365"/>
      <c r="AG65" s="359"/>
      <c r="AH65" s="365"/>
      <c r="AI65" s="359"/>
      <c r="AJ65" s="365"/>
      <c r="AK65" s="359"/>
      <c r="AL65" s="365"/>
      <c r="AM65" s="359"/>
      <c r="AN65" s="365"/>
      <c r="AO65" s="359"/>
      <c r="AP65" s="365"/>
      <c r="AQ65" s="359"/>
      <c r="AR65" s="365"/>
      <c r="AS65" s="359"/>
      <c r="AT65" s="365"/>
      <c r="AU65" s="359"/>
      <c r="AV65" s="365"/>
      <c r="AW65" s="359"/>
      <c r="AX65" s="365"/>
      <c r="AY65" s="359"/>
      <c r="AZ65" s="365"/>
      <c r="BA65" s="359"/>
      <c r="BB65" s="365"/>
      <c r="BC65" s="359"/>
      <c r="BD65" s="365"/>
      <c r="BE65" s="359"/>
      <c r="BF65" s="365"/>
      <c r="BG65" s="359"/>
      <c r="BH65" s="365"/>
      <c r="BI65" s="359"/>
      <c r="BJ65" s="365"/>
      <c r="BK65" s="359"/>
      <c r="BL65" s="365"/>
      <c r="BM65" s="359"/>
      <c r="BN65" s="365"/>
      <c r="BO65" s="359"/>
      <c r="BP65" s="365"/>
      <c r="BQ65" s="359"/>
      <c r="BR65" s="365"/>
      <c r="BS65" s="359"/>
      <c r="BT65" s="365"/>
      <c r="BU65" s="359"/>
      <c r="BV65" s="365"/>
      <c r="BW65" s="359"/>
      <c r="BX65" s="365"/>
      <c r="BY65" s="359"/>
      <c r="BZ65" s="365"/>
      <c r="CA65" s="359"/>
      <c r="CB65" s="365"/>
      <c r="CC65" s="359"/>
      <c r="CD65" s="365"/>
      <c r="CE65" s="359"/>
      <c r="CF65" s="365"/>
      <c r="CG65" s="359"/>
      <c r="CH65" s="365"/>
      <c r="CI65" s="359"/>
      <c r="CJ65" s="365"/>
      <c r="CK65" s="359"/>
      <c r="CL65" s="365"/>
      <c r="CM65" s="359"/>
      <c r="CN65" s="365"/>
      <c r="CO65" s="359"/>
      <c r="CP65" s="365"/>
      <c r="CQ65" s="359"/>
      <c r="CR65" s="365"/>
      <c r="CS65" s="359"/>
      <c r="CT65" s="365"/>
      <c r="CU65" s="359"/>
      <c r="CV65" s="365"/>
      <c r="CW65" s="359"/>
      <c r="CX65" s="365"/>
      <c r="CY65" s="359"/>
      <c r="CZ65" s="365"/>
      <c r="DA65" s="359"/>
      <c r="DB65" s="365"/>
      <c r="DC65" s="359"/>
      <c r="DD65" s="365"/>
      <c r="DE65" s="368"/>
    </row>
    <row r="66" spans="1:109" ht="13.5" customHeight="1" x14ac:dyDescent="0.2">
      <c r="A66" s="354" t="s">
        <v>191</v>
      </c>
      <c r="B66" s="356"/>
      <c r="C66" s="354"/>
      <c r="D66" s="354"/>
      <c r="E66" s="354"/>
      <c r="G66" s="386"/>
      <c r="H66" s="364"/>
      <c r="I66" s="364"/>
      <c r="J66" s="366"/>
      <c r="K66" s="360"/>
      <c r="L66" s="365"/>
      <c r="M66" s="359"/>
      <c r="N66" s="365"/>
      <c r="O66" s="359"/>
      <c r="P66" s="365"/>
      <c r="Q66" s="359"/>
      <c r="R66" s="365"/>
      <c r="S66" s="359"/>
      <c r="T66" s="365"/>
      <c r="U66" s="359"/>
      <c r="V66" s="365"/>
      <c r="W66" s="359"/>
      <c r="X66" s="365"/>
      <c r="Y66" s="359"/>
      <c r="Z66" s="365"/>
      <c r="AA66" s="359"/>
      <c r="AB66" s="365"/>
      <c r="AC66" s="359"/>
      <c r="AD66" s="365"/>
      <c r="AE66" s="359"/>
      <c r="AF66" s="365"/>
      <c r="AG66" s="359"/>
      <c r="AH66" s="365"/>
      <c r="AI66" s="359"/>
      <c r="AJ66" s="365"/>
      <c r="AK66" s="359"/>
      <c r="AL66" s="365"/>
      <c r="AM66" s="359"/>
      <c r="AN66" s="365"/>
      <c r="AO66" s="359"/>
      <c r="AP66" s="365"/>
      <c r="AQ66" s="359"/>
      <c r="AR66" s="365"/>
      <c r="AS66" s="359"/>
      <c r="AT66" s="365"/>
      <c r="AU66" s="359"/>
      <c r="AV66" s="365"/>
      <c r="AW66" s="359"/>
      <c r="AX66" s="365"/>
      <c r="AY66" s="359"/>
      <c r="AZ66" s="365"/>
      <c r="BA66" s="359"/>
      <c r="BB66" s="365"/>
      <c r="BC66" s="359"/>
      <c r="BD66" s="365"/>
      <c r="BE66" s="359"/>
      <c r="BF66" s="365"/>
      <c r="BG66" s="359"/>
      <c r="BH66" s="365"/>
      <c r="BI66" s="359"/>
      <c r="BJ66" s="365"/>
      <c r="BK66" s="359"/>
      <c r="BL66" s="365"/>
      <c r="BM66" s="359"/>
      <c r="BN66" s="365"/>
      <c r="BO66" s="359"/>
      <c r="BP66" s="365"/>
      <c r="BQ66" s="359"/>
      <c r="BR66" s="365"/>
      <c r="BS66" s="359"/>
      <c r="BT66" s="365"/>
      <c r="BU66" s="359"/>
      <c r="BV66" s="365"/>
      <c r="BW66" s="359"/>
      <c r="BX66" s="365"/>
      <c r="BY66" s="359"/>
      <c r="BZ66" s="365"/>
      <c r="CA66" s="359"/>
      <c r="CB66" s="365"/>
      <c r="CC66" s="359"/>
      <c r="CD66" s="365"/>
      <c r="CE66" s="359"/>
      <c r="CF66" s="365"/>
      <c r="CG66" s="359"/>
      <c r="CH66" s="365"/>
      <c r="CI66" s="359"/>
      <c r="CJ66" s="365"/>
      <c r="CK66" s="359"/>
      <c r="CL66" s="365"/>
      <c r="CM66" s="359"/>
      <c r="CN66" s="365"/>
      <c r="CO66" s="359"/>
      <c r="CP66" s="365"/>
      <c r="CQ66" s="359"/>
      <c r="CR66" s="365"/>
      <c r="CS66" s="359"/>
      <c r="CT66" s="365"/>
      <c r="CU66" s="359"/>
      <c r="CV66" s="365"/>
      <c r="CW66" s="359"/>
      <c r="CX66" s="365"/>
      <c r="CY66" s="359"/>
      <c r="CZ66" s="365"/>
      <c r="DA66" s="359"/>
      <c r="DB66" s="365"/>
      <c r="DC66" s="359"/>
      <c r="DD66" s="365"/>
      <c r="DE66" s="368"/>
    </row>
    <row r="67" spans="1:109" ht="13.5" customHeight="1" x14ac:dyDescent="0.2">
      <c r="A67" s="354" t="s">
        <v>192</v>
      </c>
      <c r="B67" s="356"/>
      <c r="C67" s="354"/>
      <c r="D67" s="354"/>
      <c r="E67" s="354"/>
      <c r="G67" s="386"/>
      <c r="H67" s="364"/>
      <c r="I67" s="364"/>
      <c r="J67" s="366"/>
      <c r="K67" s="360"/>
      <c r="L67" s="366"/>
      <c r="M67" s="360"/>
      <c r="N67" s="365"/>
      <c r="O67" s="359"/>
      <c r="P67" s="365"/>
      <c r="Q67" s="359"/>
      <c r="R67" s="365"/>
      <c r="S67" s="359"/>
      <c r="T67" s="365"/>
      <c r="U67" s="359"/>
      <c r="V67" s="365"/>
      <c r="W67" s="359"/>
      <c r="X67" s="365"/>
      <c r="Y67" s="359"/>
      <c r="Z67" s="365"/>
      <c r="AA67" s="359"/>
      <c r="AB67" s="365"/>
      <c r="AC67" s="359"/>
      <c r="AD67" s="365"/>
      <c r="AE67" s="359"/>
      <c r="AF67" s="365"/>
      <c r="AG67" s="359"/>
      <c r="AH67" s="365"/>
      <c r="AI67" s="359"/>
      <c r="AJ67" s="365"/>
      <c r="AK67" s="359"/>
      <c r="AL67" s="365"/>
      <c r="AM67" s="359"/>
      <c r="AN67" s="365"/>
      <c r="AO67" s="359"/>
      <c r="AP67" s="365"/>
      <c r="AQ67" s="359"/>
      <c r="AR67" s="365"/>
      <c r="AS67" s="359"/>
      <c r="AT67" s="365"/>
      <c r="AU67" s="359"/>
      <c r="AV67" s="365"/>
      <c r="AW67" s="359"/>
      <c r="AX67" s="365"/>
      <c r="AY67" s="359"/>
      <c r="AZ67" s="365"/>
      <c r="BA67" s="359"/>
      <c r="BB67" s="365"/>
      <c r="BC67" s="359"/>
      <c r="BD67" s="365"/>
      <c r="BE67" s="359"/>
      <c r="BF67" s="365"/>
      <c r="BG67" s="359"/>
      <c r="BH67" s="365"/>
      <c r="BI67" s="359"/>
      <c r="BJ67" s="365"/>
      <c r="BK67" s="359"/>
      <c r="BL67" s="365"/>
      <c r="BM67" s="359"/>
      <c r="BN67" s="365"/>
      <c r="BO67" s="359"/>
      <c r="BP67" s="365"/>
      <c r="BQ67" s="359"/>
      <c r="BR67" s="365"/>
      <c r="BS67" s="359"/>
      <c r="BT67" s="365"/>
      <c r="BU67" s="359"/>
      <c r="BV67" s="365"/>
      <c r="BW67" s="359"/>
      <c r="BX67" s="365"/>
      <c r="BY67" s="359"/>
      <c r="BZ67" s="365"/>
      <c r="CA67" s="359"/>
      <c r="CB67" s="365"/>
      <c r="CC67" s="359"/>
      <c r="CD67" s="365"/>
      <c r="CE67" s="359"/>
      <c r="CF67" s="365"/>
      <c r="CG67" s="359"/>
      <c r="CH67" s="365"/>
      <c r="CI67" s="359"/>
      <c r="CJ67" s="365"/>
      <c r="CK67" s="359"/>
      <c r="CL67" s="365"/>
      <c r="CM67" s="359"/>
      <c r="CN67" s="365"/>
      <c r="CO67" s="359"/>
      <c r="CP67" s="365"/>
      <c r="CQ67" s="359"/>
      <c r="CR67" s="365"/>
      <c r="CS67" s="359"/>
      <c r="CT67" s="365"/>
      <c r="CU67" s="359"/>
      <c r="CV67" s="365"/>
      <c r="CW67" s="359"/>
      <c r="CX67" s="365"/>
      <c r="CY67" s="359"/>
      <c r="CZ67" s="365"/>
      <c r="DA67" s="359"/>
      <c r="DB67" s="365"/>
      <c r="DC67" s="359"/>
      <c r="DD67" s="365"/>
      <c r="DE67" s="368"/>
    </row>
    <row r="68" spans="1:109" ht="13.5" customHeight="1" x14ac:dyDescent="0.2">
      <c r="A68" s="354" t="s">
        <v>193</v>
      </c>
      <c r="B68" s="356"/>
      <c r="C68" s="354"/>
      <c r="D68" s="354"/>
      <c r="E68" s="354"/>
      <c r="G68" s="386"/>
      <c r="H68" s="364"/>
      <c r="I68" s="364"/>
      <c r="J68" s="366"/>
      <c r="K68" s="360"/>
      <c r="L68" s="365"/>
      <c r="M68" s="359"/>
      <c r="N68" s="365"/>
      <c r="O68" s="359"/>
      <c r="P68" s="365"/>
      <c r="Q68" s="359"/>
      <c r="R68" s="365"/>
      <c r="S68" s="359"/>
      <c r="T68" s="365"/>
      <c r="U68" s="359"/>
      <c r="V68" s="365"/>
      <c r="W68" s="359"/>
      <c r="X68" s="365"/>
      <c r="Y68" s="359"/>
      <c r="Z68" s="365"/>
      <c r="AA68" s="359"/>
      <c r="AB68" s="365"/>
      <c r="AC68" s="359"/>
      <c r="AD68" s="365"/>
      <c r="AE68" s="359"/>
      <c r="AF68" s="365"/>
      <c r="AG68" s="359"/>
      <c r="AH68" s="365"/>
      <c r="AI68" s="359"/>
      <c r="AJ68" s="365"/>
      <c r="AK68" s="359"/>
      <c r="AL68" s="365"/>
      <c r="AM68" s="359"/>
      <c r="AN68" s="365"/>
      <c r="AO68" s="359"/>
      <c r="AP68" s="365"/>
      <c r="AQ68" s="359"/>
      <c r="AR68" s="365"/>
      <c r="AS68" s="359"/>
      <c r="AT68" s="365"/>
      <c r="AU68" s="359"/>
      <c r="AV68" s="365"/>
      <c r="AW68" s="359"/>
      <c r="AX68" s="365"/>
      <c r="AY68" s="359"/>
      <c r="AZ68" s="365"/>
      <c r="BA68" s="359"/>
      <c r="BB68" s="365"/>
      <c r="BC68" s="359"/>
      <c r="BD68" s="365"/>
      <c r="BE68" s="359"/>
      <c r="BF68" s="365"/>
      <c r="BG68" s="359"/>
      <c r="BH68" s="365"/>
      <c r="BI68" s="359"/>
      <c r="BJ68" s="365"/>
      <c r="BK68" s="359"/>
      <c r="BL68" s="365"/>
      <c r="BM68" s="359"/>
      <c r="BN68" s="365"/>
      <c r="BO68" s="359"/>
      <c r="BP68" s="365"/>
      <c r="BQ68" s="359"/>
      <c r="BR68" s="365"/>
      <c r="BS68" s="359"/>
      <c r="BT68" s="365"/>
      <c r="BU68" s="359"/>
      <c r="BV68" s="365"/>
      <c r="BW68" s="359"/>
      <c r="BX68" s="365"/>
      <c r="BY68" s="359"/>
      <c r="BZ68" s="365"/>
      <c r="CA68" s="359"/>
      <c r="CB68" s="365"/>
      <c r="CC68" s="359"/>
      <c r="CD68" s="365"/>
      <c r="CE68" s="359"/>
      <c r="CF68" s="365"/>
      <c r="CG68" s="359"/>
      <c r="CH68" s="365"/>
      <c r="CI68" s="359"/>
      <c r="CJ68" s="365"/>
      <c r="CK68" s="359"/>
      <c r="CL68" s="365"/>
      <c r="CM68" s="359"/>
      <c r="CN68" s="365"/>
      <c r="CO68" s="359"/>
      <c r="CP68" s="365"/>
      <c r="CQ68" s="359"/>
      <c r="CR68" s="365"/>
      <c r="CS68" s="359"/>
      <c r="CT68" s="365"/>
      <c r="CU68" s="359"/>
      <c r="CV68" s="365"/>
      <c r="CW68" s="359"/>
      <c r="CX68" s="365"/>
      <c r="CY68" s="359"/>
      <c r="CZ68" s="365"/>
      <c r="DA68" s="359"/>
      <c r="DB68" s="365"/>
      <c r="DC68" s="359"/>
      <c r="DD68" s="365"/>
      <c r="DE68" s="368"/>
    </row>
    <row r="69" spans="1:109" ht="13.5" customHeight="1" x14ac:dyDescent="0.2">
      <c r="A69" s="354" t="s">
        <v>194</v>
      </c>
      <c r="B69" s="356"/>
      <c r="C69" s="354"/>
      <c r="D69" s="354"/>
      <c r="E69" s="354"/>
      <c r="G69" s="386"/>
      <c r="H69" s="364"/>
      <c r="I69" s="364"/>
      <c r="J69" s="366"/>
      <c r="K69" s="360"/>
      <c r="L69" s="366"/>
      <c r="M69" s="360"/>
      <c r="N69" s="365"/>
      <c r="O69" s="359"/>
      <c r="P69" s="365"/>
      <c r="Q69" s="359"/>
      <c r="R69" s="365"/>
      <c r="S69" s="359"/>
      <c r="T69" s="365"/>
      <c r="U69" s="359"/>
      <c r="V69" s="365"/>
      <c r="W69" s="359"/>
      <c r="X69" s="365"/>
      <c r="Y69" s="359"/>
      <c r="Z69" s="365"/>
      <c r="AA69" s="359"/>
      <c r="AB69" s="365"/>
      <c r="AC69" s="359"/>
      <c r="AD69" s="365"/>
      <c r="AE69" s="359"/>
      <c r="AF69" s="365"/>
      <c r="AG69" s="359"/>
      <c r="AH69" s="365"/>
      <c r="AI69" s="359"/>
      <c r="AJ69" s="365"/>
      <c r="AK69" s="359"/>
      <c r="AL69" s="365"/>
      <c r="AM69" s="359"/>
      <c r="AN69" s="365"/>
      <c r="AO69" s="359"/>
      <c r="AP69" s="365"/>
      <c r="AQ69" s="359"/>
      <c r="AR69" s="365"/>
      <c r="AS69" s="359"/>
      <c r="AT69" s="365"/>
      <c r="AU69" s="359"/>
      <c r="AV69" s="365"/>
      <c r="AW69" s="359"/>
      <c r="AX69" s="365"/>
      <c r="AY69" s="359"/>
      <c r="AZ69" s="365"/>
      <c r="BA69" s="359"/>
      <c r="BB69" s="365"/>
      <c r="BC69" s="359"/>
      <c r="BD69" s="365"/>
      <c r="BE69" s="359"/>
      <c r="BF69" s="365"/>
      <c r="BG69" s="359"/>
      <c r="BH69" s="365"/>
      <c r="BI69" s="359"/>
      <c r="BJ69" s="365"/>
      <c r="BK69" s="359"/>
      <c r="BL69" s="365"/>
      <c r="BM69" s="359"/>
      <c r="BN69" s="365"/>
      <c r="BO69" s="359"/>
      <c r="BP69" s="365"/>
      <c r="BQ69" s="359"/>
      <c r="BR69" s="365"/>
      <c r="BS69" s="359"/>
      <c r="BT69" s="365"/>
      <c r="BU69" s="359"/>
      <c r="BV69" s="365"/>
      <c r="BW69" s="359"/>
      <c r="BX69" s="365"/>
      <c r="BY69" s="359"/>
      <c r="BZ69" s="365"/>
      <c r="CA69" s="359"/>
      <c r="CB69" s="365"/>
      <c r="CC69" s="359"/>
      <c r="CD69" s="365"/>
      <c r="CE69" s="359"/>
      <c r="CF69" s="365"/>
      <c r="CG69" s="359"/>
      <c r="CH69" s="365"/>
      <c r="CI69" s="359"/>
      <c r="CJ69" s="365"/>
      <c r="CK69" s="359"/>
      <c r="CL69" s="365"/>
      <c r="CM69" s="359"/>
      <c r="CN69" s="365"/>
      <c r="CO69" s="359"/>
      <c r="CP69" s="365"/>
      <c r="CQ69" s="359"/>
      <c r="CR69" s="365"/>
      <c r="CS69" s="359"/>
      <c r="CT69" s="365"/>
      <c r="CU69" s="359"/>
      <c r="CV69" s="365"/>
      <c r="CW69" s="359"/>
      <c r="CX69" s="365"/>
      <c r="CY69" s="359"/>
      <c r="CZ69" s="365"/>
      <c r="DA69" s="359"/>
      <c r="DB69" s="365"/>
      <c r="DC69" s="359"/>
      <c r="DD69" s="365"/>
      <c r="DE69" s="368"/>
    </row>
    <row r="70" spans="1:109" ht="13.5" customHeight="1" x14ac:dyDescent="0.2">
      <c r="A70" s="354" t="s">
        <v>195</v>
      </c>
      <c r="B70" s="356"/>
      <c r="C70" s="354"/>
      <c r="D70" s="354"/>
      <c r="E70" s="354"/>
      <c r="G70" s="386"/>
      <c r="H70" s="364"/>
      <c r="I70" s="364"/>
      <c r="J70" s="366"/>
      <c r="K70" s="360"/>
      <c r="L70" s="366"/>
      <c r="M70" s="360"/>
      <c r="N70" s="365"/>
      <c r="O70" s="359"/>
      <c r="P70" s="365"/>
      <c r="Q70" s="359"/>
      <c r="R70" s="365"/>
      <c r="S70" s="359"/>
      <c r="T70" s="365"/>
      <c r="U70" s="359"/>
      <c r="V70" s="365"/>
      <c r="W70" s="359"/>
      <c r="X70" s="365"/>
      <c r="Y70" s="359"/>
      <c r="Z70" s="365"/>
      <c r="AA70" s="359"/>
      <c r="AB70" s="365"/>
      <c r="AC70" s="359"/>
      <c r="AD70" s="365"/>
      <c r="AE70" s="359"/>
      <c r="AF70" s="365"/>
      <c r="AG70" s="359"/>
      <c r="AH70" s="365"/>
      <c r="AI70" s="359"/>
      <c r="AJ70" s="365"/>
      <c r="AK70" s="359"/>
      <c r="AL70" s="365"/>
      <c r="AM70" s="359"/>
      <c r="AN70" s="365"/>
      <c r="AO70" s="359"/>
      <c r="AP70" s="365"/>
      <c r="AQ70" s="359"/>
      <c r="AR70" s="365"/>
      <c r="AS70" s="359"/>
      <c r="AT70" s="365"/>
      <c r="AU70" s="359"/>
      <c r="AV70" s="365"/>
      <c r="AW70" s="359"/>
      <c r="AX70" s="365"/>
      <c r="AY70" s="359"/>
      <c r="AZ70" s="365"/>
      <c r="BA70" s="359"/>
      <c r="BB70" s="365"/>
      <c r="BC70" s="359"/>
      <c r="BD70" s="365"/>
      <c r="BE70" s="359"/>
      <c r="BF70" s="365"/>
      <c r="BG70" s="359"/>
      <c r="BH70" s="365"/>
      <c r="BI70" s="359"/>
      <c r="BJ70" s="365"/>
      <c r="BK70" s="359"/>
      <c r="BL70" s="365"/>
      <c r="BM70" s="359"/>
      <c r="BN70" s="365"/>
      <c r="BO70" s="359"/>
      <c r="BP70" s="365"/>
      <c r="BQ70" s="359"/>
      <c r="BR70" s="365"/>
      <c r="BS70" s="359"/>
      <c r="BT70" s="365"/>
      <c r="BU70" s="359"/>
      <c r="BV70" s="365"/>
      <c r="BW70" s="359"/>
      <c r="BX70" s="365"/>
      <c r="BY70" s="359"/>
      <c r="BZ70" s="365"/>
      <c r="CA70" s="359"/>
      <c r="CB70" s="365"/>
      <c r="CC70" s="359"/>
      <c r="CD70" s="365"/>
      <c r="CE70" s="359"/>
      <c r="CF70" s="365"/>
      <c r="CG70" s="359"/>
      <c r="CH70" s="365"/>
      <c r="CI70" s="359"/>
      <c r="CJ70" s="365"/>
      <c r="CK70" s="359"/>
      <c r="CL70" s="365"/>
      <c r="CM70" s="359"/>
      <c r="CN70" s="365"/>
      <c r="CO70" s="359"/>
      <c r="CP70" s="365"/>
      <c r="CQ70" s="359"/>
      <c r="CR70" s="365"/>
      <c r="CS70" s="359"/>
      <c r="CT70" s="365"/>
      <c r="CU70" s="359"/>
      <c r="CV70" s="365"/>
      <c r="CW70" s="359"/>
      <c r="CX70" s="365"/>
      <c r="CY70" s="359"/>
      <c r="CZ70" s="365"/>
      <c r="DA70" s="359"/>
      <c r="DB70" s="365"/>
      <c r="DC70" s="359"/>
      <c r="DD70" s="365"/>
      <c r="DE70" s="368"/>
    </row>
    <row r="71" spans="1:109" ht="13.5" customHeight="1" x14ac:dyDescent="0.2">
      <c r="A71" s="354" t="s">
        <v>196</v>
      </c>
      <c r="B71" s="356"/>
      <c r="C71" s="354"/>
      <c r="D71" s="354"/>
      <c r="E71" s="354"/>
      <c r="G71" s="386"/>
      <c r="H71" s="364"/>
      <c r="I71" s="364"/>
      <c r="J71" s="366"/>
      <c r="K71" s="360"/>
      <c r="L71" s="366"/>
      <c r="M71" s="360"/>
      <c r="N71" s="365"/>
      <c r="O71" s="359"/>
      <c r="P71" s="365"/>
      <c r="Q71" s="359"/>
      <c r="R71" s="365"/>
      <c r="S71" s="359"/>
      <c r="T71" s="365"/>
      <c r="U71" s="359"/>
      <c r="V71" s="365"/>
      <c r="W71" s="359"/>
      <c r="X71" s="365"/>
      <c r="Y71" s="359"/>
      <c r="Z71" s="365"/>
      <c r="AA71" s="359"/>
      <c r="AB71" s="365"/>
      <c r="AC71" s="359"/>
      <c r="AD71" s="365"/>
      <c r="AE71" s="359"/>
      <c r="AF71" s="365"/>
      <c r="AG71" s="359"/>
      <c r="AH71" s="365"/>
      <c r="AI71" s="359"/>
      <c r="AJ71" s="365"/>
      <c r="AK71" s="359"/>
      <c r="AL71" s="365"/>
      <c r="AM71" s="359"/>
      <c r="AN71" s="365"/>
      <c r="AO71" s="359"/>
      <c r="AP71" s="365"/>
      <c r="AQ71" s="359"/>
      <c r="AR71" s="365"/>
      <c r="AS71" s="359"/>
      <c r="AT71" s="365"/>
      <c r="AU71" s="359"/>
      <c r="AV71" s="365"/>
      <c r="AW71" s="359"/>
      <c r="AX71" s="365"/>
      <c r="AY71" s="359"/>
      <c r="AZ71" s="365"/>
      <c r="BA71" s="359"/>
      <c r="BB71" s="365"/>
      <c r="BC71" s="359"/>
      <c r="BD71" s="365"/>
      <c r="BE71" s="359"/>
      <c r="BF71" s="365"/>
      <c r="BG71" s="359"/>
      <c r="BH71" s="365"/>
      <c r="BI71" s="359"/>
      <c r="BJ71" s="365"/>
      <c r="BK71" s="359"/>
      <c r="BL71" s="365"/>
      <c r="BM71" s="359"/>
      <c r="BN71" s="365"/>
      <c r="BO71" s="359"/>
      <c r="BP71" s="365"/>
      <c r="BQ71" s="359"/>
      <c r="BR71" s="365"/>
      <c r="BS71" s="359"/>
      <c r="BT71" s="365"/>
      <c r="BU71" s="359"/>
      <c r="BV71" s="365"/>
      <c r="BW71" s="359"/>
      <c r="BX71" s="365"/>
      <c r="BY71" s="359"/>
      <c r="BZ71" s="365"/>
      <c r="CA71" s="359"/>
      <c r="CB71" s="365"/>
      <c r="CC71" s="359"/>
      <c r="CD71" s="365"/>
      <c r="CE71" s="359"/>
      <c r="CF71" s="365"/>
      <c r="CG71" s="359"/>
      <c r="CH71" s="365"/>
      <c r="CI71" s="359"/>
      <c r="CJ71" s="365"/>
      <c r="CK71" s="359"/>
      <c r="CL71" s="365"/>
      <c r="CM71" s="359"/>
      <c r="CN71" s="365"/>
      <c r="CO71" s="359"/>
      <c r="CP71" s="365"/>
      <c r="CQ71" s="359"/>
      <c r="CR71" s="365"/>
      <c r="CS71" s="359"/>
      <c r="CT71" s="365"/>
      <c r="CU71" s="359"/>
      <c r="CV71" s="365"/>
      <c r="CW71" s="359"/>
      <c r="CX71" s="365"/>
      <c r="CY71" s="359"/>
      <c r="CZ71" s="365"/>
      <c r="DA71" s="359"/>
      <c r="DB71" s="365"/>
      <c r="DC71" s="359"/>
      <c r="DD71" s="365"/>
      <c r="DE71" s="368"/>
    </row>
    <row r="72" spans="1:109" ht="13.5" customHeight="1" x14ac:dyDescent="0.2">
      <c r="A72" s="354" t="s">
        <v>197</v>
      </c>
      <c r="B72" s="356"/>
      <c r="C72" s="354"/>
      <c r="D72" s="354"/>
      <c r="E72" s="354"/>
      <c r="G72" s="386"/>
      <c r="H72" s="364"/>
      <c r="I72" s="364"/>
      <c r="J72" s="366"/>
      <c r="K72" s="360"/>
      <c r="L72" s="365"/>
      <c r="M72" s="359"/>
      <c r="N72" s="365"/>
      <c r="O72" s="359"/>
      <c r="P72" s="365"/>
      <c r="Q72" s="359"/>
      <c r="R72" s="365"/>
      <c r="S72" s="359"/>
      <c r="T72" s="365"/>
      <c r="U72" s="359"/>
      <c r="V72" s="365"/>
      <c r="W72" s="359"/>
      <c r="X72" s="365"/>
      <c r="Y72" s="359"/>
      <c r="Z72" s="365"/>
      <c r="AA72" s="359"/>
      <c r="AB72" s="365"/>
      <c r="AC72" s="359"/>
      <c r="AD72" s="365"/>
      <c r="AE72" s="359"/>
      <c r="AF72" s="365"/>
      <c r="AG72" s="359"/>
      <c r="AH72" s="365"/>
      <c r="AI72" s="359"/>
      <c r="AJ72" s="365"/>
      <c r="AK72" s="359"/>
      <c r="AL72" s="365"/>
      <c r="AM72" s="359"/>
      <c r="AN72" s="365"/>
      <c r="AO72" s="359"/>
      <c r="AP72" s="365"/>
      <c r="AQ72" s="359"/>
      <c r="AR72" s="365"/>
      <c r="AS72" s="359"/>
      <c r="AT72" s="365"/>
      <c r="AU72" s="359"/>
      <c r="AV72" s="365"/>
      <c r="AW72" s="359"/>
      <c r="AX72" s="365"/>
      <c r="AY72" s="359"/>
      <c r="AZ72" s="365"/>
      <c r="BA72" s="359"/>
      <c r="BB72" s="365"/>
      <c r="BC72" s="359"/>
      <c r="BD72" s="365"/>
      <c r="BE72" s="359"/>
      <c r="BF72" s="365"/>
      <c r="BG72" s="359"/>
      <c r="BH72" s="365"/>
      <c r="BI72" s="359"/>
      <c r="BJ72" s="365"/>
      <c r="BK72" s="359"/>
      <c r="BL72" s="365"/>
      <c r="BM72" s="359"/>
      <c r="BN72" s="365"/>
      <c r="BO72" s="359"/>
      <c r="BP72" s="365"/>
      <c r="BQ72" s="359"/>
      <c r="BR72" s="365"/>
      <c r="BS72" s="359"/>
      <c r="BT72" s="365"/>
      <c r="BU72" s="359"/>
      <c r="BV72" s="365"/>
      <c r="BW72" s="359"/>
      <c r="BX72" s="365"/>
      <c r="BY72" s="359"/>
      <c r="BZ72" s="365"/>
      <c r="CA72" s="359"/>
      <c r="CB72" s="365"/>
      <c r="CC72" s="359"/>
      <c r="CD72" s="365"/>
      <c r="CE72" s="359"/>
      <c r="CF72" s="365"/>
      <c r="CG72" s="359"/>
      <c r="CH72" s="365"/>
      <c r="CI72" s="359"/>
      <c r="CJ72" s="365"/>
      <c r="CK72" s="359"/>
      <c r="CL72" s="365"/>
      <c r="CM72" s="359"/>
      <c r="CN72" s="365"/>
      <c r="CO72" s="359"/>
      <c r="CP72" s="365"/>
      <c r="CQ72" s="359"/>
      <c r="CR72" s="365"/>
      <c r="CS72" s="359"/>
      <c r="CT72" s="365"/>
      <c r="CU72" s="359"/>
      <c r="CV72" s="365"/>
      <c r="CW72" s="359"/>
      <c r="CX72" s="365"/>
      <c r="CY72" s="359"/>
      <c r="CZ72" s="365"/>
      <c r="DA72" s="359"/>
      <c r="DB72" s="365"/>
      <c r="DC72" s="359"/>
      <c r="DD72" s="365"/>
      <c r="DE72" s="368"/>
    </row>
    <row r="73" spans="1:109" ht="13.5" customHeight="1" x14ac:dyDescent="0.2">
      <c r="A73" s="354" t="s">
        <v>198</v>
      </c>
      <c r="B73" s="356"/>
      <c r="C73" s="354"/>
      <c r="D73" s="354"/>
      <c r="E73" s="354"/>
      <c r="G73" s="386"/>
      <c r="H73" s="364"/>
      <c r="I73" s="364"/>
      <c r="J73" s="366"/>
      <c r="K73" s="360"/>
      <c r="L73" s="366"/>
      <c r="M73" s="360"/>
      <c r="N73" s="365"/>
      <c r="O73" s="359"/>
      <c r="P73" s="365"/>
      <c r="Q73" s="359"/>
      <c r="R73" s="365"/>
      <c r="S73" s="359"/>
      <c r="T73" s="365"/>
      <c r="U73" s="359"/>
      <c r="V73" s="365"/>
      <c r="W73" s="359"/>
      <c r="X73" s="365"/>
      <c r="Y73" s="359"/>
      <c r="Z73" s="365"/>
      <c r="AA73" s="359"/>
      <c r="AB73" s="365"/>
      <c r="AC73" s="359"/>
      <c r="AD73" s="365"/>
      <c r="AE73" s="359"/>
      <c r="AF73" s="365"/>
      <c r="AG73" s="359"/>
      <c r="AH73" s="365"/>
      <c r="AI73" s="359"/>
      <c r="AJ73" s="365"/>
      <c r="AK73" s="359"/>
      <c r="AL73" s="365"/>
      <c r="AM73" s="359"/>
      <c r="AN73" s="365"/>
      <c r="AO73" s="359"/>
      <c r="AP73" s="365"/>
      <c r="AQ73" s="359"/>
      <c r="AR73" s="365"/>
      <c r="AS73" s="359"/>
      <c r="AT73" s="365"/>
      <c r="AU73" s="359"/>
      <c r="AV73" s="365"/>
      <c r="AW73" s="359"/>
      <c r="AX73" s="365"/>
      <c r="AY73" s="359"/>
      <c r="AZ73" s="365"/>
      <c r="BA73" s="359"/>
      <c r="BB73" s="365"/>
      <c r="BC73" s="359"/>
      <c r="BD73" s="365"/>
      <c r="BE73" s="359"/>
      <c r="BF73" s="365"/>
      <c r="BG73" s="359"/>
      <c r="BH73" s="365"/>
      <c r="BI73" s="359"/>
      <c r="BJ73" s="365"/>
      <c r="BK73" s="359"/>
      <c r="BL73" s="365"/>
      <c r="BM73" s="359"/>
      <c r="BN73" s="365"/>
      <c r="BO73" s="359"/>
      <c r="BP73" s="365"/>
      <c r="BQ73" s="359"/>
      <c r="BR73" s="365"/>
      <c r="BS73" s="359"/>
      <c r="BT73" s="365"/>
      <c r="BU73" s="359"/>
      <c r="BV73" s="365"/>
      <c r="BW73" s="359"/>
      <c r="BX73" s="365"/>
      <c r="BY73" s="359"/>
      <c r="BZ73" s="365"/>
      <c r="CA73" s="359"/>
      <c r="CB73" s="365"/>
      <c r="CC73" s="359"/>
      <c r="CD73" s="365"/>
      <c r="CE73" s="359"/>
      <c r="CF73" s="365"/>
      <c r="CG73" s="359"/>
      <c r="CH73" s="365"/>
      <c r="CI73" s="359"/>
      <c r="CJ73" s="365"/>
      <c r="CK73" s="359"/>
      <c r="CL73" s="365"/>
      <c r="CM73" s="359"/>
      <c r="CN73" s="365"/>
      <c r="CO73" s="359"/>
      <c r="CP73" s="365"/>
      <c r="CQ73" s="359"/>
      <c r="CR73" s="365"/>
      <c r="CS73" s="359"/>
      <c r="CT73" s="365"/>
      <c r="CU73" s="359"/>
      <c r="CV73" s="365"/>
      <c r="CW73" s="359"/>
      <c r="CX73" s="365"/>
      <c r="CY73" s="359"/>
      <c r="CZ73" s="365"/>
      <c r="DA73" s="359"/>
      <c r="DB73" s="365"/>
      <c r="DC73" s="359"/>
      <c r="DD73" s="365"/>
      <c r="DE73" s="368"/>
    </row>
    <row r="74" spans="1:109" ht="13.5" customHeight="1" x14ac:dyDescent="0.2">
      <c r="A74" s="354" t="s">
        <v>199</v>
      </c>
      <c r="B74" s="356"/>
      <c r="C74" s="354"/>
      <c r="D74" s="354"/>
      <c r="E74" s="354"/>
      <c r="G74" s="386"/>
      <c r="H74" s="364"/>
      <c r="I74" s="364"/>
      <c r="J74" s="366"/>
      <c r="K74" s="360"/>
      <c r="L74" s="365"/>
      <c r="M74" s="359"/>
      <c r="N74" s="365"/>
      <c r="O74" s="359"/>
      <c r="P74" s="365"/>
      <c r="Q74" s="359"/>
      <c r="R74" s="365"/>
      <c r="S74" s="359"/>
      <c r="T74" s="365"/>
      <c r="U74" s="359"/>
      <c r="V74" s="365"/>
      <c r="W74" s="359"/>
      <c r="X74" s="365"/>
      <c r="Y74" s="359"/>
      <c r="Z74" s="365"/>
      <c r="AA74" s="359"/>
      <c r="AB74" s="365"/>
      <c r="AC74" s="359"/>
      <c r="AD74" s="365"/>
      <c r="AE74" s="359"/>
      <c r="AF74" s="365"/>
      <c r="AG74" s="359"/>
      <c r="AH74" s="365"/>
      <c r="AI74" s="359"/>
      <c r="AJ74" s="365"/>
      <c r="AK74" s="359"/>
      <c r="AL74" s="365"/>
      <c r="AM74" s="359"/>
      <c r="AN74" s="365"/>
      <c r="AO74" s="359"/>
      <c r="AP74" s="365"/>
      <c r="AQ74" s="359"/>
      <c r="AR74" s="365"/>
      <c r="AS74" s="359"/>
      <c r="AT74" s="365"/>
      <c r="AU74" s="359"/>
      <c r="AV74" s="365"/>
      <c r="AW74" s="359"/>
      <c r="AX74" s="365"/>
      <c r="AY74" s="359"/>
      <c r="AZ74" s="365"/>
      <c r="BA74" s="359"/>
      <c r="BB74" s="365"/>
      <c r="BC74" s="359"/>
      <c r="BD74" s="365"/>
      <c r="BE74" s="359"/>
      <c r="BF74" s="365"/>
      <c r="BG74" s="359"/>
      <c r="BH74" s="365"/>
      <c r="BI74" s="359"/>
      <c r="BJ74" s="365"/>
      <c r="BK74" s="359"/>
      <c r="BL74" s="365"/>
      <c r="BM74" s="359"/>
      <c r="BN74" s="365"/>
      <c r="BO74" s="359"/>
      <c r="BP74" s="365"/>
      <c r="BQ74" s="359"/>
      <c r="BR74" s="365"/>
      <c r="BS74" s="359"/>
      <c r="BT74" s="365"/>
      <c r="BU74" s="359"/>
      <c r="BV74" s="365"/>
      <c r="BW74" s="359"/>
      <c r="BX74" s="365"/>
      <c r="BY74" s="359"/>
      <c r="BZ74" s="365"/>
      <c r="CA74" s="359"/>
      <c r="CB74" s="365"/>
      <c r="CC74" s="359"/>
      <c r="CD74" s="365"/>
      <c r="CE74" s="359"/>
      <c r="CF74" s="365"/>
      <c r="CG74" s="359"/>
      <c r="CH74" s="365"/>
      <c r="CI74" s="359"/>
      <c r="CJ74" s="365"/>
      <c r="CK74" s="359"/>
      <c r="CL74" s="365"/>
      <c r="CM74" s="359"/>
      <c r="CN74" s="365"/>
      <c r="CO74" s="359"/>
      <c r="CP74" s="365"/>
      <c r="CQ74" s="359"/>
      <c r="CR74" s="365"/>
      <c r="CS74" s="359"/>
      <c r="CT74" s="365"/>
      <c r="CU74" s="359"/>
      <c r="CV74" s="365"/>
      <c r="CW74" s="359"/>
      <c r="CX74" s="365"/>
      <c r="CY74" s="359"/>
      <c r="CZ74" s="365"/>
      <c r="DA74" s="359"/>
      <c r="DB74" s="365"/>
      <c r="DC74" s="359"/>
      <c r="DD74" s="365"/>
      <c r="DE74" s="368"/>
    </row>
    <row r="75" spans="1:109" ht="13.5" customHeight="1" x14ac:dyDescent="0.2">
      <c r="A75" s="354" t="s">
        <v>200</v>
      </c>
      <c r="B75" s="356"/>
      <c r="C75" s="354"/>
      <c r="D75" s="354"/>
      <c r="E75" s="354"/>
      <c r="G75" s="386"/>
      <c r="H75" s="364"/>
      <c r="I75" s="364"/>
      <c r="J75" s="366"/>
      <c r="K75" s="360"/>
      <c r="L75" s="366"/>
      <c r="M75" s="360"/>
      <c r="N75" s="365"/>
      <c r="O75" s="359"/>
      <c r="P75" s="365"/>
      <c r="Q75" s="359"/>
      <c r="R75" s="365"/>
      <c r="S75" s="359"/>
      <c r="T75" s="365"/>
      <c r="U75" s="359"/>
      <c r="V75" s="365"/>
      <c r="W75" s="359"/>
      <c r="X75" s="365"/>
      <c r="Y75" s="359"/>
      <c r="Z75" s="365"/>
      <c r="AA75" s="359"/>
      <c r="AB75" s="365"/>
      <c r="AC75" s="359"/>
      <c r="AD75" s="365"/>
      <c r="AE75" s="359"/>
      <c r="AF75" s="365"/>
      <c r="AG75" s="359"/>
      <c r="AH75" s="365"/>
      <c r="AI75" s="359"/>
      <c r="AJ75" s="365"/>
      <c r="AK75" s="359"/>
      <c r="AL75" s="365"/>
      <c r="AM75" s="359"/>
      <c r="AN75" s="365"/>
      <c r="AO75" s="359"/>
      <c r="AP75" s="365"/>
      <c r="AQ75" s="359"/>
      <c r="AR75" s="365"/>
      <c r="AS75" s="359"/>
      <c r="AT75" s="365"/>
      <c r="AU75" s="359"/>
      <c r="AV75" s="365"/>
      <c r="AW75" s="359"/>
      <c r="AX75" s="365"/>
      <c r="AY75" s="359"/>
      <c r="AZ75" s="365"/>
      <c r="BA75" s="359"/>
      <c r="BB75" s="365"/>
      <c r="BC75" s="359"/>
      <c r="BD75" s="365"/>
      <c r="BE75" s="359"/>
      <c r="BF75" s="365"/>
      <c r="BG75" s="359"/>
      <c r="BH75" s="365"/>
      <c r="BI75" s="359"/>
      <c r="BJ75" s="365"/>
      <c r="BK75" s="359"/>
      <c r="BL75" s="365"/>
      <c r="BM75" s="359"/>
      <c r="BN75" s="365"/>
      <c r="BO75" s="359"/>
      <c r="BP75" s="365"/>
      <c r="BQ75" s="359"/>
      <c r="BR75" s="365"/>
      <c r="BS75" s="359"/>
      <c r="BT75" s="365"/>
      <c r="BU75" s="359"/>
      <c r="BV75" s="365"/>
      <c r="BW75" s="359"/>
      <c r="BX75" s="365"/>
      <c r="BY75" s="359"/>
      <c r="BZ75" s="365"/>
      <c r="CA75" s="359"/>
      <c r="CB75" s="365"/>
      <c r="CC75" s="359"/>
      <c r="CD75" s="365"/>
      <c r="CE75" s="359"/>
      <c r="CF75" s="365"/>
      <c r="CG75" s="359"/>
      <c r="CH75" s="365"/>
      <c r="CI75" s="359"/>
      <c r="CJ75" s="365"/>
      <c r="CK75" s="359"/>
      <c r="CL75" s="365"/>
      <c r="CM75" s="359"/>
      <c r="CN75" s="365"/>
      <c r="CO75" s="359"/>
      <c r="CP75" s="365"/>
      <c r="CQ75" s="359"/>
      <c r="CR75" s="365"/>
      <c r="CS75" s="359"/>
      <c r="CT75" s="365"/>
      <c r="CU75" s="359"/>
      <c r="CV75" s="365"/>
      <c r="CW75" s="359"/>
      <c r="CX75" s="365"/>
      <c r="CY75" s="359"/>
      <c r="CZ75" s="365"/>
      <c r="DA75" s="359"/>
      <c r="DB75" s="365"/>
      <c r="DC75" s="359"/>
      <c r="DD75" s="365"/>
      <c r="DE75" s="368"/>
    </row>
    <row r="76" spans="1:109" ht="13.5" customHeight="1" x14ac:dyDescent="0.2">
      <c r="A76" s="354" t="s">
        <v>201</v>
      </c>
      <c r="B76" s="356"/>
      <c r="C76" s="354"/>
      <c r="D76" s="354"/>
      <c r="E76" s="354"/>
      <c r="G76" s="386"/>
      <c r="H76" s="364"/>
      <c r="I76" s="364"/>
      <c r="J76" s="366"/>
      <c r="K76" s="360"/>
      <c r="L76" s="366"/>
      <c r="M76" s="360"/>
      <c r="N76" s="365"/>
      <c r="O76" s="359"/>
      <c r="P76" s="365"/>
      <c r="Q76" s="359"/>
      <c r="R76" s="365"/>
      <c r="S76" s="359"/>
      <c r="T76" s="365"/>
      <c r="U76" s="359"/>
      <c r="V76" s="365"/>
      <c r="W76" s="359"/>
      <c r="X76" s="365"/>
      <c r="Y76" s="359"/>
      <c r="Z76" s="365"/>
      <c r="AA76" s="359"/>
      <c r="AB76" s="365"/>
      <c r="AC76" s="359"/>
      <c r="AD76" s="365"/>
      <c r="AE76" s="359"/>
      <c r="AF76" s="365"/>
      <c r="AG76" s="359"/>
      <c r="AH76" s="365"/>
      <c r="AI76" s="359"/>
      <c r="AJ76" s="365"/>
      <c r="AK76" s="359"/>
      <c r="AL76" s="365"/>
      <c r="AM76" s="359"/>
      <c r="AN76" s="365"/>
      <c r="AO76" s="359"/>
      <c r="AP76" s="365"/>
      <c r="AQ76" s="359"/>
      <c r="AR76" s="365"/>
      <c r="AS76" s="359"/>
      <c r="AT76" s="365"/>
      <c r="AU76" s="359"/>
      <c r="AV76" s="365"/>
      <c r="AW76" s="359"/>
      <c r="AX76" s="365"/>
      <c r="AY76" s="359"/>
      <c r="AZ76" s="365"/>
      <c r="BA76" s="359"/>
      <c r="BB76" s="365"/>
      <c r="BC76" s="359"/>
      <c r="BD76" s="365"/>
      <c r="BE76" s="359"/>
      <c r="BF76" s="365"/>
      <c r="BG76" s="359"/>
      <c r="BH76" s="365"/>
      <c r="BI76" s="359"/>
      <c r="BJ76" s="365"/>
      <c r="BK76" s="359"/>
      <c r="BL76" s="365"/>
      <c r="BM76" s="359"/>
      <c r="BN76" s="365"/>
      <c r="BO76" s="359"/>
      <c r="BP76" s="365"/>
      <c r="BQ76" s="359"/>
      <c r="BR76" s="365"/>
      <c r="BS76" s="359"/>
      <c r="BT76" s="365"/>
      <c r="BU76" s="359"/>
      <c r="BV76" s="365"/>
      <c r="BW76" s="359"/>
      <c r="BX76" s="365"/>
      <c r="BY76" s="359"/>
      <c r="BZ76" s="365"/>
      <c r="CA76" s="359"/>
      <c r="CB76" s="365"/>
      <c r="CC76" s="359"/>
      <c r="CD76" s="365"/>
      <c r="CE76" s="359"/>
      <c r="CF76" s="365"/>
      <c r="CG76" s="359"/>
      <c r="CH76" s="365"/>
      <c r="CI76" s="359"/>
      <c r="CJ76" s="365"/>
      <c r="CK76" s="359"/>
      <c r="CL76" s="365"/>
      <c r="CM76" s="359"/>
      <c r="CN76" s="365"/>
      <c r="CO76" s="359"/>
      <c r="CP76" s="365"/>
      <c r="CQ76" s="359"/>
      <c r="CR76" s="365"/>
      <c r="CS76" s="359"/>
      <c r="CT76" s="365"/>
      <c r="CU76" s="359"/>
      <c r="CV76" s="365"/>
      <c r="CW76" s="359"/>
      <c r="CX76" s="365"/>
      <c r="CY76" s="359"/>
      <c r="CZ76" s="365"/>
      <c r="DA76" s="359"/>
      <c r="DB76" s="365"/>
      <c r="DC76" s="359"/>
      <c r="DD76" s="365"/>
      <c r="DE76" s="368"/>
    </row>
    <row r="77" spans="1:109" ht="13.5" customHeight="1" x14ac:dyDescent="0.2">
      <c r="A77" s="354" t="s">
        <v>202</v>
      </c>
      <c r="B77" s="356"/>
      <c r="C77" s="354"/>
      <c r="D77" s="354"/>
      <c r="E77" s="354"/>
      <c r="G77" s="386"/>
      <c r="H77" s="364"/>
      <c r="I77" s="364"/>
      <c r="J77" s="366"/>
      <c r="K77" s="360"/>
      <c r="L77" s="366"/>
      <c r="M77" s="360"/>
      <c r="N77" s="365"/>
      <c r="O77" s="359"/>
      <c r="P77" s="365"/>
      <c r="Q77" s="359"/>
      <c r="R77" s="365"/>
      <c r="S77" s="359"/>
      <c r="T77" s="365"/>
      <c r="U77" s="359"/>
      <c r="V77" s="365"/>
      <c r="W77" s="359"/>
      <c r="X77" s="365"/>
      <c r="Y77" s="359"/>
      <c r="Z77" s="365"/>
      <c r="AA77" s="359"/>
      <c r="AB77" s="365"/>
      <c r="AC77" s="359"/>
      <c r="AD77" s="365"/>
      <c r="AE77" s="359"/>
      <c r="AF77" s="365"/>
      <c r="AG77" s="359"/>
      <c r="AH77" s="365"/>
      <c r="AI77" s="359"/>
      <c r="AJ77" s="365"/>
      <c r="AK77" s="359"/>
      <c r="AL77" s="365"/>
      <c r="AM77" s="359"/>
      <c r="AN77" s="365"/>
      <c r="AO77" s="359"/>
      <c r="AP77" s="365"/>
      <c r="AQ77" s="359"/>
      <c r="AR77" s="365"/>
      <c r="AS77" s="359"/>
      <c r="AT77" s="365"/>
      <c r="AU77" s="359"/>
      <c r="AV77" s="365"/>
      <c r="AW77" s="359"/>
      <c r="AX77" s="365"/>
      <c r="AY77" s="359"/>
      <c r="AZ77" s="365"/>
      <c r="BA77" s="359"/>
      <c r="BB77" s="365"/>
      <c r="BC77" s="359"/>
      <c r="BD77" s="365"/>
      <c r="BE77" s="359"/>
      <c r="BF77" s="365"/>
      <c r="BG77" s="359"/>
      <c r="BH77" s="365"/>
      <c r="BI77" s="359"/>
      <c r="BJ77" s="365"/>
      <c r="BK77" s="359"/>
      <c r="BL77" s="365"/>
      <c r="BM77" s="359"/>
      <c r="BN77" s="365"/>
      <c r="BO77" s="359"/>
      <c r="BP77" s="365"/>
      <c r="BQ77" s="359"/>
      <c r="BR77" s="365"/>
      <c r="BS77" s="359"/>
      <c r="BT77" s="365"/>
      <c r="BU77" s="359"/>
      <c r="BV77" s="365"/>
      <c r="BW77" s="359"/>
      <c r="BX77" s="365"/>
      <c r="BY77" s="359"/>
      <c r="BZ77" s="365"/>
      <c r="CA77" s="359"/>
      <c r="CB77" s="365"/>
      <c r="CC77" s="359"/>
      <c r="CD77" s="365"/>
      <c r="CE77" s="359"/>
      <c r="CF77" s="365"/>
      <c r="CG77" s="359"/>
      <c r="CH77" s="365"/>
      <c r="CI77" s="359"/>
      <c r="CJ77" s="365"/>
      <c r="CK77" s="359"/>
      <c r="CL77" s="365"/>
      <c r="CM77" s="359"/>
      <c r="CN77" s="365"/>
      <c r="CO77" s="359"/>
      <c r="CP77" s="365"/>
      <c r="CQ77" s="359"/>
      <c r="CR77" s="365"/>
      <c r="CS77" s="359"/>
      <c r="CT77" s="365"/>
      <c r="CU77" s="359"/>
      <c r="CV77" s="365"/>
      <c r="CW77" s="359"/>
      <c r="CX77" s="365"/>
      <c r="CY77" s="359"/>
      <c r="CZ77" s="365"/>
      <c r="DA77" s="359"/>
      <c r="DB77" s="365"/>
      <c r="DC77" s="359"/>
      <c r="DD77" s="365"/>
      <c r="DE77" s="368"/>
    </row>
    <row r="78" spans="1:109" ht="13.5" customHeight="1" x14ac:dyDescent="0.2">
      <c r="A78" s="354" t="s">
        <v>203</v>
      </c>
      <c r="B78" s="356"/>
      <c r="C78" s="354"/>
      <c r="D78" s="354"/>
      <c r="E78" s="354"/>
      <c r="G78" s="386"/>
      <c r="H78" s="364"/>
      <c r="I78" s="364"/>
      <c r="J78" s="366"/>
      <c r="K78" s="360"/>
      <c r="L78" s="365"/>
      <c r="M78" s="359"/>
      <c r="N78" s="365"/>
      <c r="O78" s="359"/>
      <c r="P78" s="365"/>
      <c r="Q78" s="359"/>
      <c r="R78" s="365"/>
      <c r="S78" s="359"/>
      <c r="T78" s="365"/>
      <c r="U78" s="359"/>
      <c r="V78" s="365"/>
      <c r="W78" s="359"/>
      <c r="X78" s="365"/>
      <c r="Y78" s="359"/>
      <c r="Z78" s="365"/>
      <c r="AA78" s="359"/>
      <c r="AB78" s="365"/>
      <c r="AC78" s="359"/>
      <c r="AD78" s="365"/>
      <c r="AE78" s="359"/>
      <c r="AF78" s="365"/>
      <c r="AG78" s="359"/>
      <c r="AH78" s="365"/>
      <c r="AI78" s="359"/>
      <c r="AJ78" s="365"/>
      <c r="AK78" s="359"/>
      <c r="AL78" s="365"/>
      <c r="AM78" s="359"/>
      <c r="AN78" s="365"/>
      <c r="AO78" s="359"/>
      <c r="AP78" s="365"/>
      <c r="AQ78" s="359"/>
      <c r="AR78" s="365"/>
      <c r="AS78" s="359"/>
      <c r="AT78" s="365"/>
      <c r="AU78" s="359"/>
      <c r="AV78" s="365"/>
      <c r="AW78" s="359"/>
      <c r="AX78" s="365"/>
      <c r="AY78" s="359"/>
      <c r="AZ78" s="365"/>
      <c r="BA78" s="359"/>
      <c r="BB78" s="365"/>
      <c r="BC78" s="359"/>
      <c r="BD78" s="365"/>
      <c r="BE78" s="359"/>
      <c r="BF78" s="365"/>
      <c r="BG78" s="359"/>
      <c r="BH78" s="365"/>
      <c r="BI78" s="359"/>
      <c r="BJ78" s="365"/>
      <c r="BK78" s="359"/>
      <c r="BL78" s="365"/>
      <c r="BM78" s="359"/>
      <c r="BN78" s="365"/>
      <c r="BO78" s="359"/>
      <c r="BP78" s="365"/>
      <c r="BQ78" s="359"/>
      <c r="BR78" s="365"/>
      <c r="BS78" s="359"/>
      <c r="BT78" s="365"/>
      <c r="BU78" s="359"/>
      <c r="BV78" s="365"/>
      <c r="BW78" s="359"/>
      <c r="BX78" s="365"/>
      <c r="BY78" s="359"/>
      <c r="BZ78" s="365"/>
      <c r="CA78" s="359"/>
      <c r="CB78" s="365"/>
      <c r="CC78" s="359"/>
      <c r="CD78" s="365"/>
      <c r="CE78" s="359"/>
      <c r="CF78" s="365"/>
      <c r="CG78" s="359"/>
      <c r="CH78" s="365"/>
      <c r="CI78" s="359"/>
      <c r="CJ78" s="365"/>
      <c r="CK78" s="359"/>
      <c r="CL78" s="365"/>
      <c r="CM78" s="359"/>
      <c r="CN78" s="365"/>
      <c r="CO78" s="359"/>
      <c r="CP78" s="365"/>
      <c r="CQ78" s="359"/>
      <c r="CR78" s="365"/>
      <c r="CS78" s="359"/>
      <c r="CT78" s="365"/>
      <c r="CU78" s="359"/>
      <c r="CV78" s="365"/>
      <c r="CW78" s="359"/>
      <c r="CX78" s="365"/>
      <c r="CY78" s="359"/>
      <c r="CZ78" s="365"/>
      <c r="DA78" s="359"/>
      <c r="DB78" s="365"/>
      <c r="DC78" s="359"/>
      <c r="DD78" s="365"/>
      <c r="DE78" s="368"/>
    </row>
    <row r="79" spans="1:109" ht="13.5" customHeight="1" x14ac:dyDescent="0.2">
      <c r="A79" s="354" t="s">
        <v>204</v>
      </c>
      <c r="B79" s="356"/>
      <c r="C79" s="354"/>
      <c r="D79" s="354"/>
      <c r="E79" s="354"/>
      <c r="G79" s="386"/>
      <c r="H79" s="364"/>
      <c r="I79" s="364"/>
      <c r="J79" s="366"/>
      <c r="K79" s="360"/>
      <c r="L79" s="366"/>
      <c r="M79" s="360"/>
      <c r="N79" s="365"/>
      <c r="O79" s="359"/>
      <c r="P79" s="365"/>
      <c r="Q79" s="359"/>
      <c r="R79" s="365"/>
      <c r="S79" s="359"/>
      <c r="T79" s="365"/>
      <c r="U79" s="359"/>
      <c r="V79" s="365"/>
      <c r="W79" s="359"/>
      <c r="X79" s="365"/>
      <c r="Y79" s="359"/>
      <c r="Z79" s="365"/>
      <c r="AA79" s="359"/>
      <c r="AB79" s="365"/>
      <c r="AC79" s="359"/>
      <c r="AD79" s="365"/>
      <c r="AE79" s="359"/>
      <c r="AF79" s="365"/>
      <c r="AG79" s="359"/>
      <c r="AH79" s="365"/>
      <c r="AI79" s="359"/>
      <c r="AJ79" s="365"/>
      <c r="AK79" s="359"/>
      <c r="AL79" s="365"/>
      <c r="AM79" s="359"/>
      <c r="AN79" s="365"/>
      <c r="AO79" s="359"/>
      <c r="AP79" s="365"/>
      <c r="AQ79" s="359"/>
      <c r="AR79" s="365"/>
      <c r="AS79" s="359"/>
      <c r="AT79" s="365"/>
      <c r="AU79" s="359"/>
      <c r="AV79" s="365"/>
      <c r="AW79" s="359"/>
      <c r="AX79" s="365"/>
      <c r="AY79" s="359"/>
      <c r="AZ79" s="365"/>
      <c r="BA79" s="359"/>
      <c r="BB79" s="365"/>
      <c r="BC79" s="359"/>
      <c r="BD79" s="365"/>
      <c r="BE79" s="359"/>
      <c r="BF79" s="365"/>
      <c r="BG79" s="359"/>
      <c r="BH79" s="365"/>
      <c r="BI79" s="359"/>
      <c r="BJ79" s="365"/>
      <c r="BK79" s="359"/>
      <c r="BL79" s="365"/>
      <c r="BM79" s="359"/>
      <c r="BN79" s="365"/>
      <c r="BO79" s="359"/>
      <c r="BP79" s="365"/>
      <c r="BQ79" s="359"/>
      <c r="BR79" s="365"/>
      <c r="BS79" s="359"/>
      <c r="BT79" s="365"/>
      <c r="BU79" s="359"/>
      <c r="BV79" s="365"/>
      <c r="BW79" s="359"/>
      <c r="BX79" s="365"/>
      <c r="BY79" s="359"/>
      <c r="BZ79" s="365"/>
      <c r="CA79" s="359"/>
      <c r="CB79" s="365"/>
      <c r="CC79" s="359"/>
      <c r="CD79" s="365"/>
      <c r="CE79" s="359"/>
      <c r="CF79" s="365"/>
      <c r="CG79" s="359"/>
      <c r="CH79" s="365"/>
      <c r="CI79" s="359"/>
      <c r="CJ79" s="365"/>
      <c r="CK79" s="359"/>
      <c r="CL79" s="365"/>
      <c r="CM79" s="359"/>
      <c r="CN79" s="365"/>
      <c r="CO79" s="359"/>
      <c r="CP79" s="365"/>
      <c r="CQ79" s="359"/>
      <c r="CR79" s="365"/>
      <c r="CS79" s="359"/>
      <c r="CT79" s="365"/>
      <c r="CU79" s="359"/>
      <c r="CV79" s="365"/>
      <c r="CW79" s="359"/>
      <c r="CX79" s="365"/>
      <c r="CY79" s="359"/>
      <c r="CZ79" s="365"/>
      <c r="DA79" s="359"/>
      <c r="DB79" s="365"/>
      <c r="DC79" s="359"/>
      <c r="DD79" s="365"/>
      <c r="DE79" s="368"/>
    </row>
    <row r="80" spans="1:109" ht="13.5" customHeight="1" x14ac:dyDescent="0.2">
      <c r="A80" s="354" t="s">
        <v>205</v>
      </c>
      <c r="B80" s="356"/>
      <c r="C80" s="354"/>
      <c r="D80" s="354"/>
      <c r="E80" s="354"/>
      <c r="G80" s="386"/>
      <c r="H80" s="364"/>
      <c r="I80" s="364"/>
      <c r="J80" s="366"/>
      <c r="K80" s="360"/>
      <c r="L80" s="365"/>
      <c r="M80" s="359"/>
      <c r="N80" s="365"/>
      <c r="O80" s="359"/>
      <c r="P80" s="365"/>
      <c r="Q80" s="359"/>
      <c r="R80" s="365"/>
      <c r="S80" s="359"/>
      <c r="T80" s="365"/>
      <c r="U80" s="359"/>
      <c r="V80" s="365"/>
      <c r="W80" s="359"/>
      <c r="X80" s="365"/>
      <c r="Y80" s="359"/>
      <c r="Z80" s="365"/>
      <c r="AA80" s="359"/>
      <c r="AB80" s="365"/>
      <c r="AC80" s="359"/>
      <c r="AD80" s="365"/>
      <c r="AE80" s="359"/>
      <c r="AF80" s="365"/>
      <c r="AG80" s="359"/>
      <c r="AH80" s="365"/>
      <c r="AI80" s="359"/>
      <c r="AJ80" s="365"/>
      <c r="AK80" s="359"/>
      <c r="AL80" s="365"/>
      <c r="AM80" s="359"/>
      <c r="AN80" s="365"/>
      <c r="AO80" s="359"/>
      <c r="AP80" s="365"/>
      <c r="AQ80" s="359"/>
      <c r="AR80" s="365"/>
      <c r="AS80" s="359"/>
      <c r="AT80" s="365"/>
      <c r="AU80" s="359"/>
      <c r="AV80" s="365"/>
      <c r="AW80" s="359"/>
      <c r="AX80" s="365"/>
      <c r="AY80" s="359"/>
      <c r="AZ80" s="365"/>
      <c r="BA80" s="359"/>
      <c r="BB80" s="365"/>
      <c r="BC80" s="359"/>
      <c r="BD80" s="365"/>
      <c r="BE80" s="359"/>
      <c r="BF80" s="365"/>
      <c r="BG80" s="359"/>
      <c r="BH80" s="365"/>
      <c r="BI80" s="359"/>
      <c r="BJ80" s="365"/>
      <c r="BK80" s="359"/>
      <c r="BL80" s="365"/>
      <c r="BM80" s="359"/>
      <c r="BN80" s="365"/>
      <c r="BO80" s="359"/>
      <c r="BP80" s="365"/>
      <c r="BQ80" s="359"/>
      <c r="BR80" s="365"/>
      <c r="BS80" s="359"/>
      <c r="BT80" s="365"/>
      <c r="BU80" s="359"/>
      <c r="BV80" s="365"/>
      <c r="BW80" s="359"/>
      <c r="BX80" s="365"/>
      <c r="BY80" s="359"/>
      <c r="BZ80" s="365"/>
      <c r="CA80" s="359"/>
      <c r="CB80" s="365"/>
      <c r="CC80" s="359"/>
      <c r="CD80" s="365"/>
      <c r="CE80" s="359"/>
      <c r="CF80" s="365"/>
      <c r="CG80" s="359"/>
      <c r="CH80" s="365"/>
      <c r="CI80" s="359"/>
      <c r="CJ80" s="365"/>
      <c r="CK80" s="359"/>
      <c r="CL80" s="365"/>
      <c r="CM80" s="359"/>
      <c r="CN80" s="365"/>
      <c r="CO80" s="359"/>
      <c r="CP80" s="365"/>
      <c r="CQ80" s="359"/>
      <c r="CR80" s="365"/>
      <c r="CS80" s="359"/>
      <c r="CT80" s="365"/>
      <c r="CU80" s="359"/>
      <c r="CV80" s="365"/>
      <c r="CW80" s="359"/>
      <c r="CX80" s="365"/>
      <c r="CY80" s="359"/>
      <c r="CZ80" s="365"/>
      <c r="DA80" s="359"/>
      <c r="DB80" s="365"/>
      <c r="DC80" s="359"/>
      <c r="DD80" s="365"/>
      <c r="DE80" s="368"/>
    </row>
    <row r="81" spans="1:109" ht="13.5" customHeight="1" x14ac:dyDescent="0.2">
      <c r="A81" s="354" t="s">
        <v>206</v>
      </c>
      <c r="B81" s="356"/>
      <c r="C81" s="354"/>
      <c r="D81" s="354"/>
      <c r="E81" s="354"/>
      <c r="G81" s="386"/>
      <c r="H81" s="364"/>
      <c r="I81" s="364"/>
      <c r="J81" s="366"/>
      <c r="K81" s="360"/>
      <c r="L81" s="366"/>
      <c r="M81" s="360"/>
      <c r="N81" s="365"/>
      <c r="O81" s="359"/>
      <c r="P81" s="365"/>
      <c r="Q81" s="359"/>
      <c r="R81" s="365"/>
      <c r="S81" s="359"/>
      <c r="T81" s="365"/>
      <c r="U81" s="359"/>
      <c r="V81" s="365"/>
      <c r="W81" s="359"/>
      <c r="X81" s="365"/>
      <c r="Y81" s="359"/>
      <c r="Z81" s="365"/>
      <c r="AA81" s="359"/>
      <c r="AB81" s="365"/>
      <c r="AC81" s="359"/>
      <c r="AD81" s="365"/>
      <c r="AE81" s="359"/>
      <c r="AF81" s="365"/>
      <c r="AG81" s="359"/>
      <c r="AH81" s="365"/>
      <c r="AI81" s="359"/>
      <c r="AJ81" s="365"/>
      <c r="AK81" s="359"/>
      <c r="AL81" s="365"/>
      <c r="AM81" s="359"/>
      <c r="AN81" s="365"/>
      <c r="AO81" s="359"/>
      <c r="AP81" s="365"/>
      <c r="AQ81" s="359"/>
      <c r="AR81" s="365"/>
      <c r="AS81" s="359"/>
      <c r="AT81" s="365"/>
      <c r="AU81" s="359"/>
      <c r="AV81" s="365"/>
      <c r="AW81" s="359"/>
      <c r="AX81" s="365"/>
      <c r="AY81" s="359"/>
      <c r="AZ81" s="365"/>
      <c r="BA81" s="359"/>
      <c r="BB81" s="365"/>
      <c r="BC81" s="359"/>
      <c r="BD81" s="365"/>
      <c r="BE81" s="359"/>
      <c r="BF81" s="365"/>
      <c r="BG81" s="359"/>
      <c r="BH81" s="365"/>
      <c r="BI81" s="359"/>
      <c r="BJ81" s="365"/>
      <c r="BK81" s="359"/>
      <c r="BL81" s="365"/>
      <c r="BM81" s="359"/>
      <c r="BN81" s="365"/>
      <c r="BO81" s="359"/>
      <c r="BP81" s="365"/>
      <c r="BQ81" s="359"/>
      <c r="BR81" s="365"/>
      <c r="BS81" s="359"/>
      <c r="BT81" s="365"/>
      <c r="BU81" s="359"/>
      <c r="BV81" s="365"/>
      <c r="BW81" s="359"/>
      <c r="BX81" s="365"/>
      <c r="BY81" s="359"/>
      <c r="BZ81" s="365"/>
      <c r="CA81" s="359"/>
      <c r="CB81" s="365"/>
      <c r="CC81" s="359"/>
      <c r="CD81" s="365"/>
      <c r="CE81" s="359"/>
      <c r="CF81" s="365"/>
      <c r="CG81" s="359"/>
      <c r="CH81" s="365"/>
      <c r="CI81" s="359"/>
      <c r="CJ81" s="365"/>
      <c r="CK81" s="359"/>
      <c r="CL81" s="365"/>
      <c r="CM81" s="359"/>
      <c r="CN81" s="365"/>
      <c r="CO81" s="359"/>
      <c r="CP81" s="365"/>
      <c r="CQ81" s="359"/>
      <c r="CR81" s="365"/>
      <c r="CS81" s="359"/>
      <c r="CT81" s="365"/>
      <c r="CU81" s="359"/>
      <c r="CV81" s="365"/>
      <c r="CW81" s="359"/>
      <c r="CX81" s="365"/>
      <c r="CY81" s="359"/>
      <c r="CZ81" s="365"/>
      <c r="DA81" s="359"/>
      <c r="DB81" s="365"/>
      <c r="DC81" s="359"/>
      <c r="DD81" s="365"/>
      <c r="DE81" s="368"/>
    </row>
    <row r="82" spans="1:109" ht="13.5" customHeight="1" x14ac:dyDescent="0.2">
      <c r="A82" s="354" t="s">
        <v>207</v>
      </c>
      <c r="B82" s="353"/>
      <c r="C82" s="367"/>
      <c r="D82" s="367"/>
      <c r="E82" s="367"/>
      <c r="G82" s="386"/>
      <c r="H82" s="364"/>
      <c r="I82" s="364"/>
      <c r="J82" s="366"/>
      <c r="K82" s="360"/>
      <c r="L82" s="366"/>
      <c r="M82" s="360"/>
      <c r="N82" s="365"/>
      <c r="O82" s="359"/>
      <c r="P82" s="365"/>
      <c r="Q82" s="359"/>
      <c r="R82" s="365"/>
      <c r="S82" s="359"/>
      <c r="T82" s="365"/>
      <c r="U82" s="359"/>
      <c r="V82" s="365"/>
      <c r="W82" s="359"/>
      <c r="X82" s="365"/>
      <c r="Y82" s="359"/>
      <c r="Z82" s="365"/>
      <c r="AA82" s="359"/>
      <c r="AB82" s="365"/>
      <c r="AC82" s="359"/>
      <c r="AD82" s="365"/>
      <c r="AE82" s="359"/>
      <c r="AF82" s="365"/>
      <c r="AG82" s="359"/>
      <c r="AH82" s="365"/>
      <c r="AI82" s="359"/>
      <c r="AJ82" s="365"/>
      <c r="AK82" s="359"/>
      <c r="AL82" s="365"/>
      <c r="AM82" s="359"/>
      <c r="AN82" s="365"/>
      <c r="AO82" s="359"/>
      <c r="AP82" s="365"/>
      <c r="AQ82" s="359"/>
      <c r="AR82" s="365"/>
      <c r="AS82" s="359"/>
      <c r="AT82" s="365"/>
      <c r="AU82" s="359"/>
      <c r="AV82" s="365"/>
      <c r="AW82" s="359"/>
      <c r="AX82" s="365"/>
      <c r="AY82" s="359"/>
      <c r="AZ82" s="365"/>
      <c r="BA82" s="359"/>
      <c r="BB82" s="365"/>
      <c r="BC82" s="359"/>
      <c r="BD82" s="365"/>
      <c r="BE82" s="359"/>
      <c r="BF82" s="365"/>
      <c r="BG82" s="359"/>
      <c r="BH82" s="365"/>
      <c r="BI82" s="359"/>
      <c r="BJ82" s="365"/>
      <c r="BK82" s="359"/>
      <c r="BL82" s="365"/>
      <c r="BM82" s="359"/>
      <c r="BN82" s="365"/>
      <c r="BO82" s="359"/>
      <c r="BP82" s="365"/>
      <c r="BQ82" s="359"/>
      <c r="BR82" s="365"/>
      <c r="BS82" s="359"/>
      <c r="BT82" s="365"/>
      <c r="BU82" s="359"/>
      <c r="BV82" s="365"/>
      <c r="BW82" s="359"/>
      <c r="BX82" s="365"/>
      <c r="BY82" s="359"/>
      <c r="BZ82" s="365"/>
      <c r="CA82" s="359"/>
      <c r="CB82" s="365"/>
      <c r="CC82" s="359"/>
      <c r="CD82" s="365"/>
      <c r="CE82" s="359"/>
      <c r="CF82" s="365"/>
      <c r="CG82" s="359"/>
      <c r="CH82" s="365"/>
      <c r="CI82" s="359"/>
      <c r="CJ82" s="365"/>
      <c r="CK82" s="359"/>
      <c r="CL82" s="365"/>
      <c r="CM82" s="359"/>
      <c r="CN82" s="365"/>
      <c r="CO82" s="359"/>
      <c r="CP82" s="365"/>
      <c r="CQ82" s="359"/>
      <c r="CR82" s="365"/>
      <c r="CS82" s="359"/>
      <c r="CT82" s="365"/>
      <c r="CU82" s="359"/>
      <c r="CV82" s="365"/>
      <c r="CW82" s="359"/>
      <c r="CX82" s="365"/>
      <c r="CY82" s="359"/>
      <c r="CZ82" s="365"/>
      <c r="DA82" s="359"/>
      <c r="DB82" s="365"/>
      <c r="DC82" s="359"/>
      <c r="DD82" s="365"/>
      <c r="DE82" s="368"/>
    </row>
    <row r="83" spans="1:109" ht="13.5" customHeight="1" x14ac:dyDescent="0.2">
      <c r="A83" s="354" t="s">
        <v>208</v>
      </c>
      <c r="B83" s="356"/>
      <c r="C83" s="354"/>
      <c r="D83" s="354"/>
      <c r="E83" s="354"/>
      <c r="G83" s="386"/>
      <c r="H83" s="364"/>
      <c r="I83" s="364"/>
      <c r="J83" s="366"/>
      <c r="K83" s="360"/>
      <c r="L83" s="366"/>
      <c r="M83" s="360"/>
      <c r="N83" s="365"/>
      <c r="O83" s="359"/>
      <c r="P83" s="365"/>
      <c r="Q83" s="359"/>
      <c r="R83" s="365"/>
      <c r="S83" s="359"/>
      <c r="T83" s="365"/>
      <c r="U83" s="359"/>
      <c r="V83" s="365"/>
      <c r="W83" s="359"/>
      <c r="X83" s="365"/>
      <c r="Y83" s="359"/>
      <c r="Z83" s="365"/>
      <c r="AA83" s="359"/>
      <c r="AB83" s="365"/>
      <c r="AC83" s="359"/>
      <c r="AD83" s="365"/>
      <c r="AE83" s="359"/>
      <c r="AF83" s="365"/>
      <c r="AG83" s="359"/>
      <c r="AH83" s="365"/>
      <c r="AI83" s="359"/>
      <c r="AJ83" s="365"/>
      <c r="AK83" s="359"/>
      <c r="AL83" s="365"/>
      <c r="AM83" s="359"/>
      <c r="AN83" s="365"/>
      <c r="AO83" s="359"/>
      <c r="AP83" s="365"/>
      <c r="AQ83" s="359"/>
      <c r="AR83" s="365"/>
      <c r="AS83" s="359"/>
      <c r="AT83" s="365"/>
      <c r="AU83" s="359"/>
      <c r="AV83" s="365"/>
      <c r="AW83" s="359"/>
      <c r="AX83" s="365"/>
      <c r="AY83" s="359"/>
      <c r="AZ83" s="365"/>
      <c r="BA83" s="359"/>
      <c r="BB83" s="365"/>
      <c r="BC83" s="359"/>
      <c r="BD83" s="365"/>
      <c r="BE83" s="359"/>
      <c r="BF83" s="365"/>
      <c r="BG83" s="359"/>
      <c r="BH83" s="365"/>
      <c r="BI83" s="359"/>
      <c r="BJ83" s="365"/>
      <c r="BK83" s="359"/>
      <c r="BL83" s="365"/>
      <c r="BM83" s="359"/>
      <c r="BN83" s="365"/>
      <c r="BO83" s="359"/>
      <c r="BP83" s="365"/>
      <c r="BQ83" s="359"/>
      <c r="BR83" s="365"/>
      <c r="BS83" s="359"/>
      <c r="BT83" s="365"/>
      <c r="BU83" s="359"/>
      <c r="BV83" s="365"/>
      <c r="BW83" s="359"/>
      <c r="BX83" s="365"/>
      <c r="BY83" s="359"/>
      <c r="BZ83" s="365"/>
      <c r="CA83" s="359"/>
      <c r="CB83" s="365"/>
      <c r="CC83" s="359"/>
      <c r="CD83" s="365"/>
      <c r="CE83" s="359"/>
      <c r="CF83" s="365"/>
      <c r="CG83" s="359"/>
      <c r="CH83" s="365"/>
      <c r="CI83" s="359"/>
      <c r="CJ83" s="365"/>
      <c r="CK83" s="359"/>
      <c r="CL83" s="365"/>
      <c r="CM83" s="359"/>
      <c r="CN83" s="365"/>
      <c r="CO83" s="359"/>
      <c r="CP83" s="365"/>
      <c r="CQ83" s="359"/>
      <c r="CR83" s="365"/>
      <c r="CS83" s="359"/>
      <c r="CT83" s="365"/>
      <c r="CU83" s="359"/>
      <c r="CV83" s="365"/>
      <c r="CW83" s="359"/>
      <c r="CX83" s="365"/>
      <c r="CY83" s="359"/>
      <c r="CZ83" s="365"/>
      <c r="DA83" s="359"/>
      <c r="DB83" s="365"/>
      <c r="DC83" s="359"/>
      <c r="DD83" s="365"/>
      <c r="DE83" s="368"/>
    </row>
    <row r="84" spans="1:109" ht="13.5" customHeight="1" x14ac:dyDescent="0.2">
      <c r="A84" s="354" t="s">
        <v>209</v>
      </c>
      <c r="B84" s="356"/>
      <c r="C84" s="354"/>
      <c r="D84" s="354"/>
      <c r="E84" s="354"/>
      <c r="G84" s="386"/>
      <c r="H84" s="364"/>
      <c r="I84" s="364"/>
      <c r="J84" s="366"/>
      <c r="K84" s="360"/>
      <c r="L84" s="365"/>
      <c r="M84" s="359"/>
      <c r="N84" s="365"/>
      <c r="O84" s="359"/>
      <c r="P84" s="365"/>
      <c r="Q84" s="359"/>
      <c r="R84" s="365"/>
      <c r="S84" s="359"/>
      <c r="T84" s="365"/>
      <c r="U84" s="359"/>
      <c r="V84" s="365"/>
      <c r="W84" s="359"/>
      <c r="X84" s="365"/>
      <c r="Y84" s="359"/>
      <c r="Z84" s="365"/>
      <c r="AA84" s="359"/>
      <c r="AB84" s="365"/>
      <c r="AC84" s="359"/>
      <c r="AD84" s="365"/>
      <c r="AE84" s="359"/>
      <c r="AF84" s="365"/>
      <c r="AG84" s="359"/>
      <c r="AH84" s="365"/>
      <c r="AI84" s="359"/>
      <c r="AJ84" s="365"/>
      <c r="AK84" s="359"/>
      <c r="AL84" s="365"/>
      <c r="AM84" s="359"/>
      <c r="AN84" s="365"/>
      <c r="AO84" s="359"/>
      <c r="AP84" s="365"/>
      <c r="AQ84" s="359"/>
      <c r="AR84" s="365"/>
      <c r="AS84" s="359"/>
      <c r="AT84" s="365"/>
      <c r="AU84" s="359"/>
      <c r="AV84" s="365"/>
      <c r="AW84" s="359"/>
      <c r="AX84" s="365"/>
      <c r="AY84" s="359"/>
      <c r="AZ84" s="365"/>
      <c r="BA84" s="359"/>
      <c r="BB84" s="365"/>
      <c r="BC84" s="359"/>
      <c r="BD84" s="365"/>
      <c r="BE84" s="359"/>
      <c r="BF84" s="365"/>
      <c r="BG84" s="359"/>
      <c r="BH84" s="365"/>
      <c r="BI84" s="359"/>
      <c r="BJ84" s="365"/>
      <c r="BK84" s="359"/>
      <c r="BL84" s="365"/>
      <c r="BM84" s="359"/>
      <c r="BN84" s="365"/>
      <c r="BO84" s="359"/>
      <c r="BP84" s="365"/>
      <c r="BQ84" s="359"/>
      <c r="BR84" s="365"/>
      <c r="BS84" s="359"/>
      <c r="BT84" s="365"/>
      <c r="BU84" s="359"/>
      <c r="BV84" s="365"/>
      <c r="BW84" s="359"/>
      <c r="BX84" s="365"/>
      <c r="BY84" s="359"/>
      <c r="BZ84" s="365"/>
      <c r="CA84" s="359"/>
      <c r="CB84" s="365"/>
      <c r="CC84" s="359"/>
      <c r="CD84" s="365"/>
      <c r="CE84" s="359"/>
      <c r="CF84" s="365"/>
      <c r="CG84" s="359"/>
      <c r="CH84" s="365"/>
      <c r="CI84" s="359"/>
      <c r="CJ84" s="365"/>
      <c r="CK84" s="359"/>
      <c r="CL84" s="365"/>
      <c r="CM84" s="359"/>
      <c r="CN84" s="365"/>
      <c r="CO84" s="359"/>
      <c r="CP84" s="365"/>
      <c r="CQ84" s="359"/>
      <c r="CR84" s="365"/>
      <c r="CS84" s="359"/>
      <c r="CT84" s="365"/>
      <c r="CU84" s="359"/>
      <c r="CV84" s="365"/>
      <c r="CW84" s="359"/>
      <c r="CX84" s="365"/>
      <c r="CY84" s="359"/>
      <c r="CZ84" s="365"/>
      <c r="DA84" s="359"/>
      <c r="DB84" s="365"/>
      <c r="DC84" s="359"/>
      <c r="DD84" s="365"/>
      <c r="DE84" s="368"/>
    </row>
    <row r="85" spans="1:109" ht="13.5" customHeight="1" x14ac:dyDescent="0.2">
      <c r="A85" s="354" t="s">
        <v>210</v>
      </c>
      <c r="B85" s="356"/>
      <c r="C85" s="354"/>
      <c r="D85" s="354"/>
      <c r="E85" s="354"/>
      <c r="G85" s="386"/>
      <c r="H85" s="364"/>
      <c r="I85" s="364"/>
      <c r="J85" s="366"/>
      <c r="K85" s="360"/>
      <c r="L85" s="366"/>
      <c r="M85" s="360"/>
      <c r="N85" s="365"/>
      <c r="O85" s="359"/>
      <c r="P85" s="365"/>
      <c r="Q85" s="359"/>
      <c r="R85" s="365"/>
      <c r="S85" s="359"/>
      <c r="T85" s="365"/>
      <c r="U85" s="359"/>
      <c r="V85" s="365"/>
      <c r="W85" s="359"/>
      <c r="X85" s="365"/>
      <c r="Y85" s="359"/>
      <c r="Z85" s="365"/>
      <c r="AA85" s="359"/>
      <c r="AB85" s="365"/>
      <c r="AC85" s="359"/>
      <c r="AD85" s="365"/>
      <c r="AE85" s="359"/>
      <c r="AF85" s="365"/>
      <c r="AG85" s="359"/>
      <c r="AH85" s="365"/>
      <c r="AI85" s="359"/>
      <c r="AJ85" s="365"/>
      <c r="AK85" s="359"/>
      <c r="AL85" s="365"/>
      <c r="AM85" s="359"/>
      <c r="AN85" s="365"/>
      <c r="AO85" s="359"/>
      <c r="AP85" s="365"/>
      <c r="AQ85" s="359"/>
      <c r="AR85" s="365"/>
      <c r="AS85" s="359"/>
      <c r="AT85" s="365"/>
      <c r="AU85" s="359"/>
      <c r="AV85" s="365"/>
      <c r="AW85" s="359"/>
      <c r="AX85" s="365"/>
      <c r="AY85" s="359"/>
      <c r="AZ85" s="365"/>
      <c r="BA85" s="359"/>
      <c r="BB85" s="365"/>
      <c r="BC85" s="359"/>
      <c r="BD85" s="365"/>
      <c r="BE85" s="359"/>
      <c r="BF85" s="365"/>
      <c r="BG85" s="359"/>
      <c r="BH85" s="365"/>
      <c r="BI85" s="359"/>
      <c r="BJ85" s="365"/>
      <c r="BK85" s="359"/>
      <c r="BL85" s="365"/>
      <c r="BM85" s="359"/>
      <c r="BN85" s="365"/>
      <c r="BO85" s="359"/>
      <c r="BP85" s="365"/>
      <c r="BQ85" s="359"/>
      <c r="BR85" s="365"/>
      <c r="BS85" s="359"/>
      <c r="BT85" s="365"/>
      <c r="BU85" s="359"/>
      <c r="BV85" s="365"/>
      <c r="BW85" s="359"/>
      <c r="BX85" s="365"/>
      <c r="BY85" s="359"/>
      <c r="BZ85" s="365"/>
      <c r="CA85" s="359"/>
      <c r="CB85" s="365"/>
      <c r="CC85" s="359"/>
      <c r="CD85" s="365"/>
      <c r="CE85" s="359"/>
      <c r="CF85" s="365"/>
      <c r="CG85" s="359"/>
      <c r="CH85" s="365"/>
      <c r="CI85" s="359"/>
      <c r="CJ85" s="365"/>
      <c r="CK85" s="359"/>
      <c r="CL85" s="365"/>
      <c r="CM85" s="359"/>
      <c r="CN85" s="365"/>
      <c r="CO85" s="359"/>
      <c r="CP85" s="365"/>
      <c r="CQ85" s="359"/>
      <c r="CR85" s="365"/>
      <c r="CS85" s="359"/>
      <c r="CT85" s="365"/>
      <c r="CU85" s="359"/>
      <c r="CV85" s="365"/>
      <c r="CW85" s="359"/>
      <c r="CX85" s="365"/>
      <c r="CY85" s="359"/>
      <c r="CZ85" s="365"/>
      <c r="DA85" s="359"/>
      <c r="DB85" s="365"/>
      <c r="DC85" s="359"/>
      <c r="DD85" s="365"/>
      <c r="DE85" s="368"/>
    </row>
    <row r="86" spans="1:109" ht="13.5" customHeight="1" x14ac:dyDescent="0.2">
      <c r="A86" s="354" t="s">
        <v>211</v>
      </c>
      <c r="B86" s="356"/>
      <c r="C86" s="354"/>
      <c r="D86" s="354"/>
      <c r="E86" s="354"/>
      <c r="G86" s="386"/>
      <c r="H86" s="364"/>
      <c r="I86" s="364"/>
      <c r="J86" s="366"/>
      <c r="K86" s="360"/>
      <c r="L86" s="365"/>
      <c r="M86" s="359"/>
      <c r="N86" s="365"/>
      <c r="O86" s="359"/>
      <c r="P86" s="365"/>
      <c r="Q86" s="359"/>
      <c r="R86" s="365"/>
      <c r="S86" s="359"/>
      <c r="T86" s="365"/>
      <c r="U86" s="359"/>
      <c r="V86" s="365"/>
      <c r="W86" s="359"/>
      <c r="X86" s="365"/>
      <c r="Y86" s="359"/>
      <c r="Z86" s="365"/>
      <c r="AA86" s="359"/>
      <c r="AB86" s="365"/>
      <c r="AC86" s="359"/>
      <c r="AD86" s="365"/>
      <c r="AE86" s="359"/>
      <c r="AF86" s="365"/>
      <c r="AG86" s="359"/>
      <c r="AH86" s="365"/>
      <c r="AI86" s="359"/>
      <c r="AJ86" s="365"/>
      <c r="AK86" s="359"/>
      <c r="AL86" s="365"/>
      <c r="AM86" s="359"/>
      <c r="AN86" s="365"/>
      <c r="AO86" s="359"/>
      <c r="AP86" s="365"/>
      <c r="AQ86" s="359"/>
      <c r="AR86" s="365"/>
      <c r="AS86" s="359"/>
      <c r="AT86" s="365"/>
      <c r="AU86" s="359"/>
      <c r="AV86" s="365"/>
      <c r="AW86" s="359"/>
      <c r="AX86" s="365"/>
      <c r="AY86" s="359"/>
      <c r="AZ86" s="365"/>
      <c r="BA86" s="359"/>
      <c r="BB86" s="365"/>
      <c r="BC86" s="359"/>
      <c r="BD86" s="365"/>
      <c r="BE86" s="359"/>
      <c r="BF86" s="365"/>
      <c r="BG86" s="359"/>
      <c r="BH86" s="365"/>
      <c r="BI86" s="359"/>
      <c r="BJ86" s="365"/>
      <c r="BK86" s="359"/>
      <c r="BL86" s="365"/>
      <c r="BM86" s="359"/>
      <c r="BN86" s="365"/>
      <c r="BO86" s="359"/>
      <c r="BP86" s="365"/>
      <c r="BQ86" s="359"/>
      <c r="BR86" s="365"/>
      <c r="BS86" s="359"/>
      <c r="BT86" s="365"/>
      <c r="BU86" s="359"/>
      <c r="BV86" s="365"/>
      <c r="BW86" s="359"/>
      <c r="BX86" s="365"/>
      <c r="BY86" s="359"/>
      <c r="BZ86" s="365"/>
      <c r="CA86" s="359"/>
      <c r="CB86" s="365"/>
      <c r="CC86" s="359"/>
      <c r="CD86" s="365"/>
      <c r="CE86" s="359"/>
      <c r="CF86" s="365"/>
      <c r="CG86" s="359"/>
      <c r="CH86" s="365"/>
      <c r="CI86" s="359"/>
      <c r="CJ86" s="365"/>
      <c r="CK86" s="359"/>
      <c r="CL86" s="365"/>
      <c r="CM86" s="359"/>
      <c r="CN86" s="365"/>
      <c r="CO86" s="359"/>
      <c r="CP86" s="365"/>
      <c r="CQ86" s="359"/>
      <c r="CR86" s="365"/>
      <c r="CS86" s="359"/>
      <c r="CT86" s="365"/>
      <c r="CU86" s="359"/>
      <c r="CV86" s="365"/>
      <c r="CW86" s="359"/>
      <c r="CX86" s="365"/>
      <c r="CY86" s="359"/>
      <c r="CZ86" s="365"/>
      <c r="DA86" s="359"/>
      <c r="DB86" s="365"/>
      <c r="DC86" s="359"/>
      <c r="DD86" s="365"/>
      <c r="DE86" s="368"/>
    </row>
    <row r="87" spans="1:109" ht="13.5" customHeight="1" x14ac:dyDescent="0.2">
      <c r="A87" s="354" t="s">
        <v>212</v>
      </c>
      <c r="B87" s="356"/>
      <c r="C87" s="354"/>
      <c r="D87" s="354"/>
      <c r="E87" s="354"/>
      <c r="G87" s="386"/>
      <c r="H87" s="364"/>
      <c r="I87" s="364"/>
      <c r="J87" s="366"/>
      <c r="K87" s="360"/>
      <c r="L87" s="366"/>
      <c r="M87" s="360"/>
      <c r="N87" s="365"/>
      <c r="O87" s="359"/>
      <c r="P87" s="365"/>
      <c r="Q87" s="359"/>
      <c r="R87" s="365"/>
      <c r="S87" s="359"/>
      <c r="T87" s="365"/>
      <c r="U87" s="359"/>
      <c r="V87" s="365"/>
      <c r="W87" s="359"/>
      <c r="X87" s="365"/>
      <c r="Y87" s="359"/>
      <c r="Z87" s="365"/>
      <c r="AA87" s="359"/>
      <c r="AB87" s="365"/>
      <c r="AC87" s="359"/>
      <c r="AD87" s="365"/>
      <c r="AE87" s="359"/>
      <c r="AF87" s="365"/>
      <c r="AG87" s="359"/>
      <c r="AH87" s="365"/>
      <c r="AI87" s="359"/>
      <c r="AJ87" s="365"/>
      <c r="AK87" s="359"/>
      <c r="AL87" s="365"/>
      <c r="AM87" s="359"/>
      <c r="AN87" s="365"/>
      <c r="AO87" s="359"/>
      <c r="AP87" s="365"/>
      <c r="AQ87" s="359"/>
      <c r="AR87" s="365"/>
      <c r="AS87" s="359"/>
      <c r="AT87" s="365"/>
      <c r="AU87" s="359"/>
      <c r="AV87" s="365"/>
      <c r="AW87" s="359"/>
      <c r="AX87" s="365"/>
      <c r="AY87" s="359"/>
      <c r="AZ87" s="365"/>
      <c r="BA87" s="359"/>
      <c r="BB87" s="365"/>
      <c r="BC87" s="359"/>
      <c r="BD87" s="365"/>
      <c r="BE87" s="359"/>
      <c r="BF87" s="365"/>
      <c r="BG87" s="359"/>
      <c r="BH87" s="365"/>
      <c r="BI87" s="359"/>
      <c r="BJ87" s="365"/>
      <c r="BK87" s="359"/>
      <c r="BL87" s="365"/>
      <c r="BM87" s="359"/>
      <c r="BN87" s="365"/>
      <c r="BO87" s="359"/>
      <c r="BP87" s="365"/>
      <c r="BQ87" s="359"/>
      <c r="BR87" s="365"/>
      <c r="BS87" s="359"/>
      <c r="BT87" s="365"/>
      <c r="BU87" s="359"/>
      <c r="BV87" s="365"/>
      <c r="BW87" s="359"/>
      <c r="BX87" s="365"/>
      <c r="BY87" s="359"/>
      <c r="BZ87" s="365"/>
      <c r="CA87" s="359"/>
      <c r="CB87" s="365"/>
      <c r="CC87" s="359"/>
      <c r="CD87" s="365"/>
      <c r="CE87" s="359"/>
      <c r="CF87" s="365"/>
      <c r="CG87" s="359"/>
      <c r="CH87" s="365"/>
      <c r="CI87" s="359"/>
      <c r="CJ87" s="365"/>
      <c r="CK87" s="359"/>
      <c r="CL87" s="365"/>
      <c r="CM87" s="359"/>
      <c r="CN87" s="365"/>
      <c r="CO87" s="359"/>
      <c r="CP87" s="365"/>
      <c r="CQ87" s="359"/>
      <c r="CR87" s="365"/>
      <c r="CS87" s="359"/>
      <c r="CT87" s="365"/>
      <c r="CU87" s="359"/>
      <c r="CV87" s="365"/>
      <c r="CW87" s="359"/>
      <c r="CX87" s="365"/>
      <c r="CY87" s="359"/>
      <c r="CZ87" s="365"/>
      <c r="DA87" s="359"/>
      <c r="DB87" s="365"/>
      <c r="DC87" s="359"/>
      <c r="DD87" s="365"/>
      <c r="DE87" s="368"/>
    </row>
    <row r="88" spans="1:109" ht="13.5" customHeight="1" x14ac:dyDescent="0.2">
      <c r="A88" s="354" t="s">
        <v>213</v>
      </c>
      <c r="B88" s="356"/>
      <c r="C88" s="354"/>
      <c r="D88" s="354"/>
      <c r="E88" s="354"/>
      <c r="G88" s="386"/>
      <c r="H88" s="364"/>
      <c r="I88" s="364"/>
      <c r="J88" s="366"/>
      <c r="K88" s="360"/>
      <c r="L88" s="366"/>
      <c r="M88" s="360"/>
      <c r="N88" s="365"/>
      <c r="O88" s="359"/>
      <c r="P88" s="365"/>
      <c r="Q88" s="359"/>
      <c r="R88" s="365"/>
      <c r="S88" s="359"/>
      <c r="T88" s="365"/>
      <c r="U88" s="359"/>
      <c r="V88" s="365"/>
      <c r="W88" s="359"/>
      <c r="X88" s="365"/>
      <c r="Y88" s="359"/>
      <c r="Z88" s="365"/>
      <c r="AA88" s="359"/>
      <c r="AB88" s="365"/>
      <c r="AC88" s="359"/>
      <c r="AD88" s="365"/>
      <c r="AE88" s="359"/>
      <c r="AF88" s="365"/>
      <c r="AG88" s="359"/>
      <c r="AH88" s="365"/>
      <c r="AI88" s="359"/>
      <c r="AJ88" s="365"/>
      <c r="AK88" s="359"/>
      <c r="AL88" s="365"/>
      <c r="AM88" s="359"/>
      <c r="AN88" s="365"/>
      <c r="AO88" s="359"/>
      <c r="AP88" s="365"/>
      <c r="AQ88" s="359"/>
      <c r="AR88" s="365"/>
      <c r="AS88" s="359"/>
      <c r="AT88" s="365"/>
      <c r="AU88" s="359"/>
      <c r="AV88" s="365"/>
      <c r="AW88" s="359"/>
      <c r="AX88" s="365"/>
      <c r="AY88" s="359"/>
      <c r="AZ88" s="365"/>
      <c r="BA88" s="359"/>
      <c r="BB88" s="365"/>
      <c r="BC88" s="359"/>
      <c r="BD88" s="365"/>
      <c r="BE88" s="359"/>
      <c r="BF88" s="365"/>
      <c r="BG88" s="359"/>
      <c r="BH88" s="365"/>
      <c r="BI88" s="359"/>
      <c r="BJ88" s="365"/>
      <c r="BK88" s="359"/>
      <c r="BL88" s="365"/>
      <c r="BM88" s="359"/>
      <c r="BN88" s="365"/>
      <c r="BO88" s="359"/>
      <c r="BP88" s="365"/>
      <c r="BQ88" s="359"/>
      <c r="BR88" s="365"/>
      <c r="BS88" s="359"/>
      <c r="BT88" s="365"/>
      <c r="BU88" s="359"/>
      <c r="BV88" s="365"/>
      <c r="BW88" s="359"/>
      <c r="BX88" s="365"/>
      <c r="BY88" s="359"/>
      <c r="BZ88" s="365"/>
      <c r="CA88" s="359"/>
      <c r="CB88" s="365"/>
      <c r="CC88" s="359"/>
      <c r="CD88" s="365"/>
      <c r="CE88" s="359"/>
      <c r="CF88" s="365"/>
      <c r="CG88" s="359"/>
      <c r="CH88" s="365"/>
      <c r="CI88" s="359"/>
      <c r="CJ88" s="365"/>
      <c r="CK88" s="359"/>
      <c r="CL88" s="365"/>
      <c r="CM88" s="359"/>
      <c r="CN88" s="365"/>
      <c r="CO88" s="359"/>
      <c r="CP88" s="365"/>
      <c r="CQ88" s="359"/>
      <c r="CR88" s="365"/>
      <c r="CS88" s="359"/>
      <c r="CT88" s="365"/>
      <c r="CU88" s="359"/>
      <c r="CV88" s="365"/>
      <c r="CW88" s="359"/>
      <c r="CX88" s="365"/>
      <c r="CY88" s="359"/>
      <c r="CZ88" s="365"/>
      <c r="DA88" s="359"/>
      <c r="DB88" s="365"/>
      <c r="DC88" s="359"/>
      <c r="DD88" s="365"/>
      <c r="DE88" s="368"/>
    </row>
    <row r="89" spans="1:109" ht="13.5" customHeight="1" x14ac:dyDescent="0.2">
      <c r="A89" s="354" t="s">
        <v>214</v>
      </c>
      <c r="B89" s="356"/>
      <c r="C89" s="354"/>
      <c r="D89" s="354"/>
      <c r="E89" s="354"/>
      <c r="G89" s="386"/>
      <c r="H89" s="364"/>
      <c r="I89" s="364"/>
      <c r="J89" s="366"/>
      <c r="K89" s="360"/>
      <c r="L89" s="366"/>
      <c r="M89" s="360"/>
      <c r="N89" s="365"/>
      <c r="O89" s="359"/>
      <c r="P89" s="365"/>
      <c r="Q89" s="359"/>
      <c r="R89" s="365"/>
      <c r="S89" s="359"/>
      <c r="T89" s="365"/>
      <c r="U89" s="359"/>
      <c r="V89" s="365"/>
      <c r="W89" s="359"/>
      <c r="X89" s="365"/>
      <c r="Y89" s="359"/>
      <c r="Z89" s="365"/>
      <c r="AA89" s="359"/>
      <c r="AB89" s="365"/>
      <c r="AC89" s="359"/>
      <c r="AD89" s="365"/>
      <c r="AE89" s="359"/>
      <c r="AF89" s="365"/>
      <c r="AG89" s="359"/>
      <c r="AH89" s="365"/>
      <c r="AI89" s="359"/>
      <c r="AJ89" s="365"/>
      <c r="AK89" s="359"/>
      <c r="AL89" s="365"/>
      <c r="AM89" s="359"/>
      <c r="AN89" s="365"/>
      <c r="AO89" s="359"/>
      <c r="AP89" s="365"/>
      <c r="AQ89" s="359"/>
      <c r="AR89" s="365"/>
      <c r="AS89" s="359"/>
      <c r="AT89" s="365"/>
      <c r="AU89" s="359"/>
      <c r="AV89" s="365"/>
      <c r="AW89" s="359"/>
      <c r="AX89" s="365"/>
      <c r="AY89" s="359"/>
      <c r="AZ89" s="365"/>
      <c r="BA89" s="359"/>
      <c r="BB89" s="365"/>
      <c r="BC89" s="359"/>
      <c r="BD89" s="365"/>
      <c r="BE89" s="359"/>
      <c r="BF89" s="365"/>
      <c r="BG89" s="359"/>
      <c r="BH89" s="365"/>
      <c r="BI89" s="359"/>
      <c r="BJ89" s="365"/>
      <c r="BK89" s="359"/>
      <c r="BL89" s="365"/>
      <c r="BM89" s="359"/>
      <c r="BN89" s="365"/>
      <c r="BO89" s="359"/>
      <c r="BP89" s="365"/>
      <c r="BQ89" s="359"/>
      <c r="BR89" s="365"/>
      <c r="BS89" s="359"/>
      <c r="BT89" s="365"/>
      <c r="BU89" s="359"/>
      <c r="BV89" s="365"/>
      <c r="BW89" s="359"/>
      <c r="BX89" s="365"/>
      <c r="BY89" s="359"/>
      <c r="BZ89" s="365"/>
      <c r="CA89" s="359"/>
      <c r="CB89" s="365"/>
      <c r="CC89" s="359"/>
      <c r="CD89" s="365"/>
      <c r="CE89" s="359"/>
      <c r="CF89" s="365"/>
      <c r="CG89" s="359"/>
      <c r="CH89" s="365"/>
      <c r="CI89" s="359"/>
      <c r="CJ89" s="365"/>
      <c r="CK89" s="359"/>
      <c r="CL89" s="365"/>
      <c r="CM89" s="359"/>
      <c r="CN89" s="365"/>
      <c r="CO89" s="359"/>
      <c r="CP89" s="365"/>
      <c r="CQ89" s="359"/>
      <c r="CR89" s="365"/>
      <c r="CS89" s="359"/>
      <c r="CT89" s="365"/>
      <c r="CU89" s="359"/>
      <c r="CV89" s="365"/>
      <c r="CW89" s="359"/>
      <c r="CX89" s="365"/>
      <c r="CY89" s="359"/>
      <c r="CZ89" s="365"/>
      <c r="DA89" s="359"/>
      <c r="DB89" s="365"/>
      <c r="DC89" s="359"/>
      <c r="DD89" s="365"/>
      <c r="DE89" s="368"/>
    </row>
    <row r="90" spans="1:109" ht="13.5" customHeight="1" x14ac:dyDescent="0.2">
      <c r="A90" s="354" t="s">
        <v>215</v>
      </c>
      <c r="B90" s="356"/>
      <c r="C90" s="354"/>
      <c r="D90" s="354"/>
      <c r="E90" s="354"/>
      <c r="G90" s="386"/>
      <c r="H90" s="364"/>
      <c r="I90" s="364"/>
      <c r="J90" s="366"/>
      <c r="K90" s="360"/>
      <c r="L90" s="365"/>
      <c r="M90" s="359"/>
      <c r="N90" s="365"/>
      <c r="O90" s="359"/>
      <c r="P90" s="365"/>
      <c r="Q90" s="359"/>
      <c r="R90" s="365"/>
      <c r="S90" s="359"/>
      <c r="T90" s="365"/>
      <c r="U90" s="359"/>
      <c r="V90" s="365"/>
      <c r="W90" s="359"/>
      <c r="X90" s="365"/>
      <c r="Y90" s="359"/>
      <c r="Z90" s="365"/>
      <c r="AA90" s="359"/>
      <c r="AB90" s="365"/>
      <c r="AC90" s="359"/>
      <c r="AD90" s="365"/>
      <c r="AE90" s="359"/>
      <c r="AF90" s="365"/>
      <c r="AG90" s="359"/>
      <c r="AH90" s="365"/>
      <c r="AI90" s="359"/>
      <c r="AJ90" s="365"/>
      <c r="AK90" s="359"/>
      <c r="AL90" s="365"/>
      <c r="AM90" s="359"/>
      <c r="AN90" s="365"/>
      <c r="AO90" s="359"/>
      <c r="AP90" s="365"/>
      <c r="AQ90" s="359"/>
      <c r="AR90" s="365"/>
      <c r="AS90" s="359"/>
      <c r="AT90" s="365"/>
      <c r="AU90" s="359"/>
      <c r="AV90" s="365"/>
      <c r="AW90" s="359"/>
      <c r="AX90" s="365"/>
      <c r="AY90" s="359"/>
      <c r="AZ90" s="365"/>
      <c r="BA90" s="359"/>
      <c r="BB90" s="365"/>
      <c r="BC90" s="359"/>
      <c r="BD90" s="365"/>
      <c r="BE90" s="359"/>
      <c r="BF90" s="365"/>
      <c r="BG90" s="359"/>
      <c r="BH90" s="365"/>
      <c r="BI90" s="359"/>
      <c r="BJ90" s="365"/>
      <c r="BK90" s="359"/>
      <c r="BL90" s="365"/>
      <c r="BM90" s="359"/>
      <c r="BN90" s="365"/>
      <c r="BO90" s="359"/>
      <c r="BP90" s="365"/>
      <c r="BQ90" s="359"/>
      <c r="BR90" s="365"/>
      <c r="BS90" s="359"/>
      <c r="BT90" s="365"/>
      <c r="BU90" s="359"/>
      <c r="BV90" s="365"/>
      <c r="BW90" s="359"/>
      <c r="BX90" s="365"/>
      <c r="BY90" s="359"/>
      <c r="BZ90" s="365"/>
      <c r="CA90" s="359"/>
      <c r="CB90" s="365"/>
      <c r="CC90" s="359"/>
      <c r="CD90" s="365"/>
      <c r="CE90" s="359"/>
      <c r="CF90" s="365"/>
      <c r="CG90" s="359"/>
      <c r="CH90" s="365"/>
      <c r="CI90" s="359"/>
      <c r="CJ90" s="365"/>
      <c r="CK90" s="359"/>
      <c r="CL90" s="365"/>
      <c r="CM90" s="359"/>
      <c r="CN90" s="365"/>
      <c r="CO90" s="359"/>
      <c r="CP90" s="365"/>
      <c r="CQ90" s="359"/>
      <c r="CR90" s="365"/>
      <c r="CS90" s="359"/>
      <c r="CT90" s="365"/>
      <c r="CU90" s="359"/>
      <c r="CV90" s="365"/>
      <c r="CW90" s="359"/>
      <c r="CX90" s="365"/>
      <c r="CY90" s="359"/>
      <c r="CZ90" s="365"/>
      <c r="DA90" s="359"/>
      <c r="DB90" s="365"/>
      <c r="DC90" s="359"/>
      <c r="DD90" s="365"/>
      <c r="DE90" s="368"/>
    </row>
    <row r="91" spans="1:109" ht="13.5" customHeight="1" x14ac:dyDescent="0.2">
      <c r="A91" s="354" t="s">
        <v>216</v>
      </c>
      <c r="B91" s="356"/>
      <c r="C91" s="354"/>
      <c r="D91" s="354"/>
      <c r="E91" s="354"/>
      <c r="G91" s="386"/>
      <c r="H91" s="364"/>
      <c r="I91" s="364"/>
      <c r="J91" s="366"/>
      <c r="K91" s="360"/>
      <c r="L91" s="366"/>
      <c r="M91" s="360"/>
      <c r="N91" s="365"/>
      <c r="O91" s="359"/>
      <c r="P91" s="365"/>
      <c r="Q91" s="359"/>
      <c r="R91" s="365"/>
      <c r="S91" s="359"/>
      <c r="T91" s="365"/>
      <c r="U91" s="359"/>
      <c r="V91" s="365"/>
      <c r="W91" s="359"/>
      <c r="X91" s="365"/>
      <c r="Y91" s="359"/>
      <c r="Z91" s="365"/>
      <c r="AA91" s="359"/>
      <c r="AB91" s="365"/>
      <c r="AC91" s="359"/>
      <c r="AD91" s="365"/>
      <c r="AE91" s="359"/>
      <c r="AF91" s="365"/>
      <c r="AG91" s="359"/>
      <c r="AH91" s="365"/>
      <c r="AI91" s="359"/>
      <c r="AJ91" s="365"/>
      <c r="AK91" s="359"/>
      <c r="AL91" s="365"/>
      <c r="AM91" s="359"/>
      <c r="AN91" s="365"/>
      <c r="AO91" s="359"/>
      <c r="AP91" s="365"/>
      <c r="AQ91" s="359"/>
      <c r="AR91" s="365"/>
      <c r="AS91" s="359"/>
      <c r="AT91" s="365"/>
      <c r="AU91" s="359"/>
      <c r="AV91" s="365"/>
      <c r="AW91" s="359"/>
      <c r="AX91" s="365"/>
      <c r="AY91" s="359"/>
      <c r="AZ91" s="365"/>
      <c r="BA91" s="359"/>
      <c r="BB91" s="365"/>
      <c r="BC91" s="359"/>
      <c r="BD91" s="365"/>
      <c r="BE91" s="359"/>
      <c r="BF91" s="365"/>
      <c r="BG91" s="359"/>
      <c r="BH91" s="365"/>
      <c r="BI91" s="359"/>
      <c r="BJ91" s="365"/>
      <c r="BK91" s="359"/>
      <c r="BL91" s="365"/>
      <c r="BM91" s="359"/>
      <c r="BN91" s="365"/>
      <c r="BO91" s="359"/>
      <c r="BP91" s="365"/>
      <c r="BQ91" s="359"/>
      <c r="BR91" s="365"/>
      <c r="BS91" s="359"/>
      <c r="BT91" s="365"/>
      <c r="BU91" s="359"/>
      <c r="BV91" s="365"/>
      <c r="BW91" s="359"/>
      <c r="BX91" s="365"/>
      <c r="BY91" s="359"/>
      <c r="BZ91" s="365"/>
      <c r="CA91" s="359"/>
      <c r="CB91" s="365"/>
      <c r="CC91" s="359"/>
      <c r="CD91" s="365"/>
      <c r="CE91" s="359"/>
      <c r="CF91" s="365"/>
      <c r="CG91" s="359"/>
      <c r="CH91" s="365"/>
      <c r="CI91" s="359"/>
      <c r="CJ91" s="365"/>
      <c r="CK91" s="359"/>
      <c r="CL91" s="365"/>
      <c r="CM91" s="359"/>
      <c r="CN91" s="365"/>
      <c r="CO91" s="359"/>
      <c r="CP91" s="365"/>
      <c r="CQ91" s="359"/>
      <c r="CR91" s="365"/>
      <c r="CS91" s="359"/>
      <c r="CT91" s="365"/>
      <c r="CU91" s="359"/>
      <c r="CV91" s="365"/>
      <c r="CW91" s="359"/>
      <c r="CX91" s="365"/>
      <c r="CY91" s="359"/>
      <c r="CZ91" s="365"/>
      <c r="DA91" s="359"/>
      <c r="DB91" s="365"/>
      <c r="DC91" s="359"/>
      <c r="DD91" s="365"/>
      <c r="DE91" s="368"/>
    </row>
    <row r="92" spans="1:109" ht="13.5" customHeight="1" x14ac:dyDescent="0.2">
      <c r="A92" s="354" t="s">
        <v>217</v>
      </c>
      <c r="B92" s="356"/>
      <c r="C92" s="354"/>
      <c r="D92" s="354"/>
      <c r="E92" s="354"/>
      <c r="G92" s="386"/>
      <c r="H92" s="364"/>
      <c r="I92" s="364"/>
      <c r="J92" s="366"/>
      <c r="K92" s="360"/>
      <c r="L92" s="365"/>
      <c r="M92" s="359"/>
      <c r="N92" s="365"/>
      <c r="O92" s="359"/>
      <c r="P92" s="365"/>
      <c r="Q92" s="359"/>
      <c r="R92" s="365"/>
      <c r="S92" s="359"/>
      <c r="T92" s="365"/>
      <c r="U92" s="359"/>
      <c r="V92" s="365"/>
      <c r="W92" s="359"/>
      <c r="X92" s="365"/>
      <c r="Y92" s="359"/>
      <c r="Z92" s="365"/>
      <c r="AA92" s="359"/>
      <c r="AB92" s="365"/>
      <c r="AC92" s="359"/>
      <c r="AD92" s="365"/>
      <c r="AE92" s="359"/>
      <c r="AF92" s="365"/>
      <c r="AG92" s="359"/>
      <c r="AH92" s="365"/>
      <c r="AI92" s="359"/>
      <c r="AJ92" s="365"/>
      <c r="AK92" s="359"/>
      <c r="AL92" s="365"/>
      <c r="AM92" s="359"/>
      <c r="AN92" s="365"/>
      <c r="AO92" s="359"/>
      <c r="AP92" s="365"/>
      <c r="AQ92" s="359"/>
      <c r="AR92" s="365"/>
      <c r="AS92" s="359"/>
      <c r="AT92" s="365"/>
      <c r="AU92" s="359"/>
      <c r="AV92" s="365"/>
      <c r="AW92" s="359"/>
      <c r="AX92" s="365"/>
      <c r="AY92" s="359"/>
      <c r="AZ92" s="365"/>
      <c r="BA92" s="359"/>
      <c r="BB92" s="365"/>
      <c r="BC92" s="359"/>
      <c r="BD92" s="365"/>
      <c r="BE92" s="359"/>
      <c r="BF92" s="365"/>
      <c r="BG92" s="359"/>
      <c r="BH92" s="365"/>
      <c r="BI92" s="359"/>
      <c r="BJ92" s="365"/>
      <c r="BK92" s="359"/>
      <c r="BL92" s="365"/>
      <c r="BM92" s="359"/>
      <c r="BN92" s="365"/>
      <c r="BO92" s="359"/>
      <c r="BP92" s="365"/>
      <c r="BQ92" s="359"/>
      <c r="BR92" s="365"/>
      <c r="BS92" s="359"/>
      <c r="BT92" s="365"/>
      <c r="BU92" s="359"/>
      <c r="BV92" s="365"/>
      <c r="BW92" s="359"/>
      <c r="BX92" s="365"/>
      <c r="BY92" s="359"/>
      <c r="BZ92" s="365"/>
      <c r="CA92" s="359"/>
      <c r="CB92" s="365"/>
      <c r="CC92" s="359"/>
      <c r="CD92" s="365"/>
      <c r="CE92" s="359"/>
      <c r="CF92" s="365"/>
      <c r="CG92" s="359"/>
      <c r="CH92" s="365"/>
      <c r="CI92" s="359"/>
      <c r="CJ92" s="365"/>
      <c r="CK92" s="359"/>
      <c r="CL92" s="365"/>
      <c r="CM92" s="359"/>
      <c r="CN92" s="365"/>
      <c r="CO92" s="359"/>
      <c r="CP92" s="365"/>
      <c r="CQ92" s="359"/>
      <c r="CR92" s="365"/>
      <c r="CS92" s="359"/>
      <c r="CT92" s="365"/>
      <c r="CU92" s="359"/>
      <c r="CV92" s="365"/>
      <c r="CW92" s="359"/>
      <c r="CX92" s="365"/>
      <c r="CY92" s="359"/>
      <c r="CZ92" s="365"/>
      <c r="DA92" s="359"/>
      <c r="DB92" s="365"/>
      <c r="DC92" s="359"/>
      <c r="DD92" s="365"/>
      <c r="DE92" s="368"/>
    </row>
    <row r="93" spans="1:109" ht="13.5" customHeight="1" x14ac:dyDescent="0.2">
      <c r="A93" s="354" t="s">
        <v>218</v>
      </c>
      <c r="B93" s="356"/>
      <c r="C93" s="354"/>
      <c r="D93" s="354"/>
      <c r="E93" s="354"/>
      <c r="G93" s="386"/>
      <c r="H93" s="364"/>
      <c r="I93" s="364"/>
      <c r="J93" s="366"/>
      <c r="K93" s="360"/>
      <c r="L93" s="366"/>
      <c r="M93" s="360"/>
      <c r="N93" s="365"/>
      <c r="O93" s="359"/>
      <c r="P93" s="365"/>
      <c r="Q93" s="359"/>
      <c r="R93" s="365"/>
      <c r="S93" s="359"/>
      <c r="T93" s="365"/>
      <c r="U93" s="359"/>
      <c r="V93" s="365"/>
      <c r="W93" s="359"/>
      <c r="X93" s="365"/>
      <c r="Y93" s="359"/>
      <c r="Z93" s="365"/>
      <c r="AA93" s="359"/>
      <c r="AB93" s="365"/>
      <c r="AC93" s="359"/>
      <c r="AD93" s="365"/>
      <c r="AE93" s="359"/>
      <c r="AF93" s="365"/>
      <c r="AG93" s="359"/>
      <c r="AH93" s="365"/>
      <c r="AI93" s="359"/>
      <c r="AJ93" s="365"/>
      <c r="AK93" s="359"/>
      <c r="AL93" s="365"/>
      <c r="AM93" s="359"/>
      <c r="AN93" s="365"/>
      <c r="AO93" s="359"/>
      <c r="AP93" s="365"/>
      <c r="AQ93" s="359"/>
      <c r="AR93" s="365"/>
      <c r="AS93" s="359"/>
      <c r="AT93" s="365"/>
      <c r="AU93" s="359"/>
      <c r="AV93" s="365"/>
      <c r="AW93" s="359"/>
      <c r="AX93" s="365"/>
      <c r="AY93" s="359"/>
      <c r="AZ93" s="365"/>
      <c r="BA93" s="359"/>
      <c r="BB93" s="365"/>
      <c r="BC93" s="359"/>
      <c r="BD93" s="365"/>
      <c r="BE93" s="359"/>
      <c r="BF93" s="365"/>
      <c r="BG93" s="359"/>
      <c r="BH93" s="365"/>
      <c r="BI93" s="359"/>
      <c r="BJ93" s="365"/>
      <c r="BK93" s="359"/>
      <c r="BL93" s="365"/>
      <c r="BM93" s="359"/>
      <c r="BN93" s="365"/>
      <c r="BO93" s="359"/>
      <c r="BP93" s="365"/>
      <c r="BQ93" s="359"/>
      <c r="BR93" s="365"/>
      <c r="BS93" s="359"/>
      <c r="BT93" s="365"/>
      <c r="BU93" s="359"/>
      <c r="BV93" s="365"/>
      <c r="BW93" s="359"/>
      <c r="BX93" s="365"/>
      <c r="BY93" s="359"/>
      <c r="BZ93" s="365"/>
      <c r="CA93" s="359"/>
      <c r="CB93" s="365"/>
      <c r="CC93" s="359"/>
      <c r="CD93" s="365"/>
      <c r="CE93" s="359"/>
      <c r="CF93" s="365"/>
      <c r="CG93" s="359"/>
      <c r="CH93" s="365"/>
      <c r="CI93" s="359"/>
      <c r="CJ93" s="365"/>
      <c r="CK93" s="359"/>
      <c r="CL93" s="365"/>
      <c r="CM93" s="359"/>
      <c r="CN93" s="365"/>
      <c r="CO93" s="359"/>
      <c r="CP93" s="365"/>
      <c r="CQ93" s="359"/>
      <c r="CR93" s="365"/>
      <c r="CS93" s="359"/>
      <c r="CT93" s="365"/>
      <c r="CU93" s="359"/>
      <c r="CV93" s="365"/>
      <c r="CW93" s="359"/>
      <c r="CX93" s="365"/>
      <c r="CY93" s="359"/>
      <c r="CZ93" s="365"/>
      <c r="DA93" s="359"/>
      <c r="DB93" s="365"/>
      <c r="DC93" s="359"/>
      <c r="DD93" s="365"/>
      <c r="DE93" s="368"/>
    </row>
    <row r="94" spans="1:109" ht="13.5" customHeight="1" x14ac:dyDescent="0.2">
      <c r="A94" s="354" t="s">
        <v>219</v>
      </c>
      <c r="B94" s="356"/>
      <c r="C94" s="354"/>
      <c r="D94" s="354"/>
      <c r="E94" s="354"/>
      <c r="G94" s="386"/>
      <c r="H94" s="364"/>
      <c r="I94" s="364"/>
      <c r="J94" s="366"/>
      <c r="K94" s="360"/>
      <c r="L94" s="366"/>
      <c r="M94" s="360"/>
      <c r="N94" s="365"/>
      <c r="O94" s="359"/>
      <c r="P94" s="365"/>
      <c r="Q94" s="359"/>
      <c r="R94" s="365"/>
      <c r="S94" s="359"/>
      <c r="T94" s="365"/>
      <c r="U94" s="359"/>
      <c r="V94" s="365"/>
      <c r="W94" s="359"/>
      <c r="X94" s="365"/>
      <c r="Y94" s="359"/>
      <c r="Z94" s="365"/>
      <c r="AA94" s="359"/>
      <c r="AB94" s="365"/>
      <c r="AC94" s="359"/>
      <c r="AD94" s="365"/>
      <c r="AE94" s="359"/>
      <c r="AF94" s="365"/>
      <c r="AG94" s="359"/>
      <c r="AH94" s="365"/>
      <c r="AI94" s="359"/>
      <c r="AJ94" s="365"/>
      <c r="AK94" s="359"/>
      <c r="AL94" s="365"/>
      <c r="AM94" s="359"/>
      <c r="AN94" s="365"/>
      <c r="AO94" s="359"/>
      <c r="AP94" s="365"/>
      <c r="AQ94" s="359"/>
      <c r="AR94" s="365"/>
      <c r="AS94" s="359"/>
      <c r="AT94" s="365"/>
      <c r="AU94" s="359"/>
      <c r="AV94" s="365"/>
      <c r="AW94" s="359"/>
      <c r="AX94" s="365"/>
      <c r="AY94" s="359"/>
      <c r="AZ94" s="365"/>
      <c r="BA94" s="359"/>
      <c r="BB94" s="365"/>
      <c r="BC94" s="359"/>
      <c r="BD94" s="365"/>
      <c r="BE94" s="359"/>
      <c r="BF94" s="365"/>
      <c r="BG94" s="359"/>
      <c r="BH94" s="365"/>
      <c r="BI94" s="359"/>
      <c r="BJ94" s="365"/>
      <c r="BK94" s="359"/>
      <c r="BL94" s="365"/>
      <c r="BM94" s="359"/>
      <c r="BN94" s="365"/>
      <c r="BO94" s="359"/>
      <c r="BP94" s="365"/>
      <c r="BQ94" s="359"/>
      <c r="BR94" s="365"/>
      <c r="BS94" s="359"/>
      <c r="BT94" s="365"/>
      <c r="BU94" s="359"/>
      <c r="BV94" s="365"/>
      <c r="BW94" s="359"/>
      <c r="BX94" s="365"/>
      <c r="BY94" s="359"/>
      <c r="BZ94" s="365"/>
      <c r="CA94" s="359"/>
      <c r="CB94" s="365"/>
      <c r="CC94" s="359"/>
      <c r="CD94" s="365"/>
      <c r="CE94" s="359"/>
      <c r="CF94" s="365"/>
      <c r="CG94" s="359"/>
      <c r="CH94" s="365"/>
      <c r="CI94" s="359"/>
      <c r="CJ94" s="365"/>
      <c r="CK94" s="359"/>
      <c r="CL94" s="365"/>
      <c r="CM94" s="359"/>
      <c r="CN94" s="365"/>
      <c r="CO94" s="359"/>
      <c r="CP94" s="365"/>
      <c r="CQ94" s="359"/>
      <c r="CR94" s="365"/>
      <c r="CS94" s="359"/>
      <c r="CT94" s="365"/>
      <c r="CU94" s="359"/>
      <c r="CV94" s="365"/>
      <c r="CW94" s="359"/>
      <c r="CX94" s="365"/>
      <c r="CY94" s="359"/>
      <c r="CZ94" s="365"/>
      <c r="DA94" s="359"/>
      <c r="DB94" s="365"/>
      <c r="DC94" s="359"/>
      <c r="DD94" s="365"/>
      <c r="DE94" s="368"/>
    </row>
    <row r="95" spans="1:109" ht="13.5" customHeight="1" x14ac:dyDescent="0.2">
      <c r="A95" s="354" t="s">
        <v>220</v>
      </c>
      <c r="B95" s="356"/>
      <c r="C95" s="354"/>
      <c r="D95" s="354"/>
      <c r="E95" s="354"/>
      <c r="G95" s="386"/>
      <c r="H95" s="364"/>
      <c r="I95" s="364"/>
      <c r="J95" s="366"/>
      <c r="K95" s="360"/>
      <c r="L95" s="366"/>
      <c r="M95" s="360"/>
      <c r="N95" s="365"/>
      <c r="O95" s="359"/>
      <c r="P95" s="365"/>
      <c r="Q95" s="359"/>
      <c r="R95" s="365"/>
      <c r="S95" s="359"/>
      <c r="T95" s="365"/>
      <c r="U95" s="359"/>
      <c r="V95" s="365"/>
      <c r="W95" s="359"/>
      <c r="X95" s="365"/>
      <c r="Y95" s="359"/>
      <c r="Z95" s="365"/>
      <c r="AA95" s="359"/>
      <c r="AB95" s="365"/>
      <c r="AC95" s="359"/>
      <c r="AD95" s="365"/>
      <c r="AE95" s="359"/>
      <c r="AF95" s="365"/>
      <c r="AG95" s="359"/>
      <c r="AH95" s="365"/>
      <c r="AI95" s="359"/>
      <c r="AJ95" s="365"/>
      <c r="AK95" s="359"/>
      <c r="AL95" s="365"/>
      <c r="AM95" s="359"/>
      <c r="AN95" s="365"/>
      <c r="AO95" s="359"/>
      <c r="AP95" s="365"/>
      <c r="AQ95" s="359"/>
      <c r="AR95" s="365"/>
      <c r="AS95" s="359"/>
      <c r="AT95" s="365"/>
      <c r="AU95" s="359"/>
      <c r="AV95" s="365"/>
      <c r="AW95" s="359"/>
      <c r="AX95" s="365"/>
      <c r="AY95" s="359"/>
      <c r="AZ95" s="365"/>
      <c r="BA95" s="359"/>
      <c r="BB95" s="365"/>
      <c r="BC95" s="359"/>
      <c r="BD95" s="365"/>
      <c r="BE95" s="359"/>
      <c r="BF95" s="365"/>
      <c r="BG95" s="359"/>
      <c r="BH95" s="365"/>
      <c r="BI95" s="359"/>
      <c r="BJ95" s="365"/>
      <c r="BK95" s="359"/>
      <c r="BL95" s="365"/>
      <c r="BM95" s="359"/>
      <c r="BN95" s="365"/>
      <c r="BO95" s="359"/>
      <c r="BP95" s="365"/>
      <c r="BQ95" s="359"/>
      <c r="BR95" s="365"/>
      <c r="BS95" s="359"/>
      <c r="BT95" s="365"/>
      <c r="BU95" s="359"/>
      <c r="BV95" s="365"/>
      <c r="BW95" s="359"/>
      <c r="BX95" s="365"/>
      <c r="BY95" s="359"/>
      <c r="BZ95" s="365"/>
      <c r="CA95" s="359"/>
      <c r="CB95" s="365"/>
      <c r="CC95" s="359"/>
      <c r="CD95" s="365"/>
      <c r="CE95" s="359"/>
      <c r="CF95" s="365"/>
      <c r="CG95" s="359"/>
      <c r="CH95" s="365"/>
      <c r="CI95" s="359"/>
      <c r="CJ95" s="365"/>
      <c r="CK95" s="359"/>
      <c r="CL95" s="365"/>
      <c r="CM95" s="359"/>
      <c r="CN95" s="365"/>
      <c r="CO95" s="359"/>
      <c r="CP95" s="365"/>
      <c r="CQ95" s="359"/>
      <c r="CR95" s="365"/>
      <c r="CS95" s="359"/>
      <c r="CT95" s="365"/>
      <c r="CU95" s="359"/>
      <c r="CV95" s="365"/>
      <c r="CW95" s="359"/>
      <c r="CX95" s="365"/>
      <c r="CY95" s="359"/>
      <c r="CZ95" s="365"/>
      <c r="DA95" s="359"/>
      <c r="DB95" s="365"/>
      <c r="DC95" s="359"/>
      <c r="DD95" s="365"/>
      <c r="DE95" s="368"/>
    </row>
    <row r="96" spans="1:109" ht="13.5" customHeight="1" x14ac:dyDescent="0.2">
      <c r="A96" s="354" t="s">
        <v>221</v>
      </c>
      <c r="B96" s="356"/>
      <c r="C96" s="354"/>
      <c r="D96" s="354"/>
      <c r="E96" s="354"/>
      <c r="G96" s="386"/>
      <c r="H96" s="364"/>
      <c r="I96" s="364"/>
      <c r="J96" s="366"/>
      <c r="K96" s="360"/>
      <c r="L96" s="365"/>
      <c r="M96" s="359"/>
      <c r="N96" s="365"/>
      <c r="O96" s="359"/>
      <c r="P96" s="365"/>
      <c r="Q96" s="359"/>
      <c r="R96" s="365"/>
      <c r="S96" s="359"/>
      <c r="T96" s="365"/>
      <c r="U96" s="359"/>
      <c r="V96" s="365"/>
      <c r="W96" s="359"/>
      <c r="X96" s="365"/>
      <c r="Y96" s="359"/>
      <c r="Z96" s="365"/>
      <c r="AA96" s="359"/>
      <c r="AB96" s="365"/>
      <c r="AC96" s="359"/>
      <c r="AD96" s="365"/>
      <c r="AE96" s="359"/>
      <c r="AF96" s="365"/>
      <c r="AG96" s="359"/>
      <c r="AH96" s="365"/>
      <c r="AI96" s="359"/>
      <c r="AJ96" s="365"/>
      <c r="AK96" s="359"/>
      <c r="AL96" s="365"/>
      <c r="AM96" s="359"/>
      <c r="AN96" s="365"/>
      <c r="AO96" s="359"/>
      <c r="AP96" s="365"/>
      <c r="AQ96" s="359"/>
      <c r="AR96" s="365"/>
      <c r="AS96" s="359"/>
      <c r="AT96" s="365"/>
      <c r="AU96" s="359"/>
      <c r="AV96" s="365"/>
      <c r="AW96" s="359"/>
      <c r="AX96" s="365"/>
      <c r="AY96" s="359"/>
      <c r="AZ96" s="365"/>
      <c r="BA96" s="359"/>
      <c r="BB96" s="365"/>
      <c r="BC96" s="359"/>
      <c r="BD96" s="365"/>
      <c r="BE96" s="359"/>
      <c r="BF96" s="365"/>
      <c r="BG96" s="359"/>
      <c r="BH96" s="365"/>
      <c r="BI96" s="359"/>
      <c r="BJ96" s="365"/>
      <c r="BK96" s="359"/>
      <c r="BL96" s="365"/>
      <c r="BM96" s="359"/>
      <c r="BN96" s="365"/>
      <c r="BO96" s="359"/>
      <c r="BP96" s="365"/>
      <c r="BQ96" s="359"/>
      <c r="BR96" s="365"/>
      <c r="BS96" s="359"/>
      <c r="BT96" s="365"/>
      <c r="BU96" s="359"/>
      <c r="BV96" s="365"/>
      <c r="BW96" s="359"/>
      <c r="BX96" s="365"/>
      <c r="BY96" s="359"/>
      <c r="BZ96" s="365"/>
      <c r="CA96" s="359"/>
      <c r="CB96" s="365"/>
      <c r="CC96" s="359"/>
      <c r="CD96" s="365"/>
      <c r="CE96" s="359"/>
      <c r="CF96" s="365"/>
      <c r="CG96" s="359"/>
      <c r="CH96" s="365"/>
      <c r="CI96" s="359"/>
      <c r="CJ96" s="365"/>
      <c r="CK96" s="359"/>
      <c r="CL96" s="365"/>
      <c r="CM96" s="359"/>
      <c r="CN96" s="365"/>
      <c r="CO96" s="359"/>
      <c r="CP96" s="365"/>
      <c r="CQ96" s="359"/>
      <c r="CR96" s="365"/>
      <c r="CS96" s="359"/>
      <c r="CT96" s="365"/>
      <c r="CU96" s="359"/>
      <c r="CV96" s="365"/>
      <c r="CW96" s="359"/>
      <c r="CX96" s="365"/>
      <c r="CY96" s="359"/>
      <c r="CZ96" s="365"/>
      <c r="DA96" s="359"/>
      <c r="DB96" s="365"/>
      <c r="DC96" s="359"/>
      <c r="DD96" s="365"/>
      <c r="DE96" s="368"/>
    </row>
    <row r="97" spans="1:109" ht="13.5" customHeight="1" x14ac:dyDescent="0.2">
      <c r="A97" s="354" t="s">
        <v>222</v>
      </c>
      <c r="B97" s="356"/>
      <c r="C97" s="354"/>
      <c r="D97" s="354"/>
      <c r="E97" s="354"/>
      <c r="G97" s="386"/>
      <c r="H97" s="364"/>
      <c r="I97" s="364"/>
      <c r="J97" s="366"/>
      <c r="K97" s="360"/>
      <c r="L97" s="366"/>
      <c r="M97" s="360"/>
      <c r="N97" s="365"/>
      <c r="O97" s="359"/>
      <c r="P97" s="365"/>
      <c r="Q97" s="359"/>
      <c r="R97" s="365"/>
      <c r="S97" s="359"/>
      <c r="T97" s="365"/>
      <c r="U97" s="359"/>
      <c r="V97" s="365"/>
      <c r="W97" s="359"/>
      <c r="X97" s="365"/>
      <c r="Y97" s="359"/>
      <c r="Z97" s="365"/>
      <c r="AA97" s="359"/>
      <c r="AB97" s="365"/>
      <c r="AC97" s="359"/>
      <c r="AD97" s="365"/>
      <c r="AE97" s="359"/>
      <c r="AF97" s="365"/>
      <c r="AG97" s="359"/>
      <c r="AH97" s="365"/>
      <c r="AI97" s="359"/>
      <c r="AJ97" s="365"/>
      <c r="AK97" s="359"/>
      <c r="AL97" s="365"/>
      <c r="AM97" s="359"/>
      <c r="AN97" s="365"/>
      <c r="AO97" s="359"/>
      <c r="AP97" s="365"/>
      <c r="AQ97" s="359"/>
      <c r="AR97" s="365"/>
      <c r="AS97" s="359"/>
      <c r="AT97" s="365"/>
      <c r="AU97" s="359"/>
      <c r="AV97" s="365"/>
      <c r="AW97" s="359"/>
      <c r="AX97" s="365"/>
      <c r="AY97" s="359"/>
      <c r="AZ97" s="365"/>
      <c r="BA97" s="359"/>
      <c r="BB97" s="365"/>
      <c r="BC97" s="359"/>
      <c r="BD97" s="365"/>
      <c r="BE97" s="359"/>
      <c r="BF97" s="365"/>
      <c r="BG97" s="359"/>
      <c r="BH97" s="365"/>
      <c r="BI97" s="359"/>
      <c r="BJ97" s="365"/>
      <c r="BK97" s="359"/>
      <c r="BL97" s="365"/>
      <c r="BM97" s="359"/>
      <c r="BN97" s="365"/>
      <c r="BO97" s="359"/>
      <c r="BP97" s="365"/>
      <c r="BQ97" s="359"/>
      <c r="BR97" s="365"/>
      <c r="BS97" s="359"/>
      <c r="BT97" s="365"/>
      <c r="BU97" s="359"/>
      <c r="BV97" s="365"/>
      <c r="BW97" s="359"/>
      <c r="BX97" s="365"/>
      <c r="BY97" s="359"/>
      <c r="BZ97" s="365"/>
      <c r="CA97" s="359"/>
      <c r="CB97" s="365"/>
      <c r="CC97" s="359"/>
      <c r="CD97" s="365"/>
      <c r="CE97" s="359"/>
      <c r="CF97" s="365"/>
      <c r="CG97" s="359"/>
      <c r="CH97" s="365"/>
      <c r="CI97" s="359"/>
      <c r="CJ97" s="365"/>
      <c r="CK97" s="359"/>
      <c r="CL97" s="365"/>
      <c r="CM97" s="359"/>
      <c r="CN97" s="365"/>
      <c r="CO97" s="359"/>
      <c r="CP97" s="365"/>
      <c r="CQ97" s="359"/>
      <c r="CR97" s="365"/>
      <c r="CS97" s="359"/>
      <c r="CT97" s="365"/>
      <c r="CU97" s="359"/>
      <c r="CV97" s="365"/>
      <c r="CW97" s="359"/>
      <c r="CX97" s="365"/>
      <c r="CY97" s="359"/>
      <c r="CZ97" s="365"/>
      <c r="DA97" s="359"/>
      <c r="DB97" s="365"/>
      <c r="DC97" s="359"/>
      <c r="DD97" s="365"/>
      <c r="DE97" s="368"/>
    </row>
    <row r="98" spans="1:109" ht="13.5" customHeight="1" x14ac:dyDescent="0.2">
      <c r="A98" s="354" t="s">
        <v>223</v>
      </c>
      <c r="B98" s="356"/>
      <c r="C98" s="354"/>
      <c r="D98" s="354"/>
      <c r="E98" s="354"/>
      <c r="G98" s="386"/>
      <c r="H98" s="364"/>
      <c r="I98" s="364"/>
      <c r="J98" s="366"/>
      <c r="K98" s="360"/>
      <c r="L98" s="365"/>
      <c r="M98" s="359"/>
      <c r="N98" s="365"/>
      <c r="O98" s="359"/>
      <c r="P98" s="365"/>
      <c r="Q98" s="359"/>
      <c r="R98" s="365"/>
      <c r="S98" s="359"/>
      <c r="T98" s="365"/>
      <c r="U98" s="359"/>
      <c r="V98" s="365"/>
      <c r="W98" s="359"/>
      <c r="X98" s="365"/>
      <c r="Y98" s="359"/>
      <c r="Z98" s="365"/>
      <c r="AA98" s="359"/>
      <c r="AB98" s="365"/>
      <c r="AC98" s="359"/>
      <c r="AD98" s="365"/>
      <c r="AE98" s="359"/>
      <c r="AF98" s="365"/>
      <c r="AG98" s="359"/>
      <c r="AH98" s="365"/>
      <c r="AI98" s="359"/>
      <c r="AJ98" s="365"/>
      <c r="AK98" s="359"/>
      <c r="AL98" s="365"/>
      <c r="AM98" s="359"/>
      <c r="AN98" s="365"/>
      <c r="AO98" s="359"/>
      <c r="AP98" s="365"/>
      <c r="AQ98" s="359"/>
      <c r="AR98" s="365"/>
      <c r="AS98" s="359"/>
      <c r="AT98" s="365"/>
      <c r="AU98" s="359"/>
      <c r="AV98" s="365"/>
      <c r="AW98" s="359"/>
      <c r="AX98" s="365"/>
      <c r="AY98" s="359"/>
      <c r="AZ98" s="365"/>
      <c r="BA98" s="359"/>
      <c r="BB98" s="365"/>
      <c r="BC98" s="359"/>
      <c r="BD98" s="365"/>
      <c r="BE98" s="359"/>
      <c r="BF98" s="365"/>
      <c r="BG98" s="359"/>
      <c r="BH98" s="365"/>
      <c r="BI98" s="359"/>
      <c r="BJ98" s="365"/>
      <c r="BK98" s="359"/>
      <c r="BL98" s="365"/>
      <c r="BM98" s="359"/>
      <c r="BN98" s="365"/>
      <c r="BO98" s="359"/>
      <c r="BP98" s="365"/>
      <c r="BQ98" s="359"/>
      <c r="BR98" s="365"/>
      <c r="BS98" s="359"/>
      <c r="BT98" s="365"/>
      <c r="BU98" s="359"/>
      <c r="BV98" s="365"/>
      <c r="BW98" s="359"/>
      <c r="BX98" s="365"/>
      <c r="BY98" s="359"/>
      <c r="BZ98" s="365"/>
      <c r="CA98" s="359"/>
      <c r="CB98" s="365"/>
      <c r="CC98" s="359"/>
      <c r="CD98" s="365"/>
      <c r="CE98" s="359"/>
      <c r="CF98" s="365"/>
      <c r="CG98" s="359"/>
      <c r="CH98" s="365"/>
      <c r="CI98" s="359"/>
      <c r="CJ98" s="365"/>
      <c r="CK98" s="359"/>
      <c r="CL98" s="365"/>
      <c r="CM98" s="359"/>
      <c r="CN98" s="365"/>
      <c r="CO98" s="359"/>
      <c r="CP98" s="365"/>
      <c r="CQ98" s="359"/>
      <c r="CR98" s="365"/>
      <c r="CS98" s="359"/>
      <c r="CT98" s="365"/>
      <c r="CU98" s="359"/>
      <c r="CV98" s="365"/>
      <c r="CW98" s="359"/>
      <c r="CX98" s="365"/>
      <c r="CY98" s="359"/>
      <c r="CZ98" s="365"/>
      <c r="DA98" s="359"/>
      <c r="DB98" s="365"/>
      <c r="DC98" s="359"/>
      <c r="DD98" s="365"/>
      <c r="DE98" s="368"/>
    </row>
    <row r="99" spans="1:109" ht="13.5" customHeight="1" x14ac:dyDescent="0.2">
      <c r="A99" s="354" t="s">
        <v>224</v>
      </c>
      <c r="B99" s="356"/>
      <c r="C99" s="354"/>
      <c r="D99" s="354"/>
      <c r="E99" s="354"/>
      <c r="G99" s="386"/>
      <c r="H99" s="364"/>
      <c r="I99" s="364"/>
      <c r="J99" s="366"/>
      <c r="K99" s="360"/>
      <c r="L99" s="366"/>
      <c r="M99" s="360"/>
      <c r="N99" s="365"/>
      <c r="O99" s="359"/>
      <c r="P99" s="365"/>
      <c r="Q99" s="359"/>
      <c r="R99" s="365"/>
      <c r="S99" s="359"/>
      <c r="T99" s="365"/>
      <c r="U99" s="359"/>
      <c r="V99" s="365"/>
      <c r="W99" s="359"/>
      <c r="X99" s="365"/>
      <c r="Y99" s="359"/>
      <c r="Z99" s="365"/>
      <c r="AA99" s="359"/>
      <c r="AB99" s="365"/>
      <c r="AC99" s="359"/>
      <c r="AD99" s="365"/>
      <c r="AE99" s="359"/>
      <c r="AF99" s="365"/>
      <c r="AG99" s="359"/>
      <c r="AH99" s="365"/>
      <c r="AI99" s="359"/>
      <c r="AJ99" s="365"/>
      <c r="AK99" s="359"/>
      <c r="AL99" s="365"/>
      <c r="AM99" s="359"/>
      <c r="AN99" s="365"/>
      <c r="AO99" s="359"/>
      <c r="AP99" s="365"/>
      <c r="AQ99" s="359"/>
      <c r="AR99" s="365"/>
      <c r="AS99" s="359"/>
      <c r="AT99" s="365"/>
      <c r="AU99" s="359"/>
      <c r="AV99" s="365"/>
      <c r="AW99" s="359"/>
      <c r="AX99" s="365"/>
      <c r="AY99" s="359"/>
      <c r="AZ99" s="365"/>
      <c r="BA99" s="359"/>
      <c r="BB99" s="365"/>
      <c r="BC99" s="359"/>
      <c r="BD99" s="365"/>
      <c r="BE99" s="359"/>
      <c r="BF99" s="365"/>
      <c r="BG99" s="359"/>
      <c r="BH99" s="365"/>
      <c r="BI99" s="359"/>
      <c r="BJ99" s="365"/>
      <c r="BK99" s="359"/>
      <c r="BL99" s="365"/>
      <c r="BM99" s="359"/>
      <c r="BN99" s="365"/>
      <c r="BO99" s="359"/>
      <c r="BP99" s="365"/>
      <c r="BQ99" s="359"/>
      <c r="BR99" s="365"/>
      <c r="BS99" s="359"/>
      <c r="BT99" s="365"/>
      <c r="BU99" s="359"/>
      <c r="BV99" s="365"/>
      <c r="BW99" s="359"/>
      <c r="BX99" s="365"/>
      <c r="BY99" s="359"/>
      <c r="BZ99" s="365"/>
      <c r="CA99" s="359"/>
      <c r="CB99" s="365"/>
      <c r="CC99" s="359"/>
      <c r="CD99" s="365"/>
      <c r="CE99" s="359"/>
      <c r="CF99" s="365"/>
      <c r="CG99" s="359"/>
      <c r="CH99" s="365"/>
      <c r="CI99" s="359"/>
      <c r="CJ99" s="365"/>
      <c r="CK99" s="359"/>
      <c r="CL99" s="365"/>
      <c r="CM99" s="359"/>
      <c r="CN99" s="365"/>
      <c r="CO99" s="359"/>
      <c r="CP99" s="365"/>
      <c r="CQ99" s="359"/>
      <c r="CR99" s="365"/>
      <c r="CS99" s="359"/>
      <c r="CT99" s="365"/>
      <c r="CU99" s="359"/>
      <c r="CV99" s="365"/>
      <c r="CW99" s="359"/>
      <c r="CX99" s="365"/>
      <c r="CY99" s="359"/>
      <c r="CZ99" s="365"/>
      <c r="DA99" s="359"/>
      <c r="DB99" s="365"/>
      <c r="DC99" s="359"/>
      <c r="DD99" s="365"/>
      <c r="DE99" s="368"/>
    </row>
    <row r="100" spans="1:109" ht="13.5" customHeight="1" x14ac:dyDescent="0.2">
      <c r="A100" s="354" t="s">
        <v>225</v>
      </c>
      <c r="B100" s="356"/>
      <c r="C100" s="354"/>
      <c r="D100" s="354"/>
      <c r="E100" s="354"/>
      <c r="G100" s="386"/>
      <c r="H100" s="364"/>
      <c r="I100" s="364"/>
      <c r="J100" s="366"/>
      <c r="K100" s="360"/>
      <c r="L100" s="366"/>
      <c r="M100" s="360"/>
      <c r="N100" s="365"/>
      <c r="O100" s="359"/>
      <c r="P100" s="365"/>
      <c r="Q100" s="359"/>
      <c r="R100" s="365"/>
      <c r="S100" s="359"/>
      <c r="T100" s="365"/>
      <c r="U100" s="359"/>
      <c r="V100" s="365"/>
      <c r="W100" s="359"/>
      <c r="X100" s="365"/>
      <c r="Y100" s="359"/>
      <c r="Z100" s="365"/>
      <c r="AA100" s="359"/>
      <c r="AB100" s="365"/>
      <c r="AC100" s="359"/>
      <c r="AD100" s="365"/>
      <c r="AE100" s="359"/>
      <c r="AF100" s="365"/>
      <c r="AG100" s="359"/>
      <c r="AH100" s="365"/>
      <c r="AI100" s="359"/>
      <c r="AJ100" s="365"/>
      <c r="AK100" s="359"/>
      <c r="AL100" s="365"/>
      <c r="AM100" s="359"/>
      <c r="AN100" s="365"/>
      <c r="AO100" s="359"/>
      <c r="AP100" s="365"/>
      <c r="AQ100" s="359"/>
      <c r="AR100" s="365"/>
      <c r="AS100" s="359"/>
      <c r="AT100" s="365"/>
      <c r="AU100" s="359"/>
      <c r="AV100" s="365"/>
      <c r="AW100" s="359"/>
      <c r="AX100" s="365"/>
      <c r="AY100" s="359"/>
      <c r="AZ100" s="365"/>
      <c r="BA100" s="359"/>
      <c r="BB100" s="365"/>
      <c r="BC100" s="359"/>
      <c r="BD100" s="365"/>
      <c r="BE100" s="359"/>
      <c r="BF100" s="365"/>
      <c r="BG100" s="359"/>
      <c r="BH100" s="365"/>
      <c r="BI100" s="359"/>
      <c r="BJ100" s="365"/>
      <c r="BK100" s="359"/>
      <c r="BL100" s="365"/>
      <c r="BM100" s="359"/>
      <c r="BN100" s="365"/>
      <c r="BO100" s="359"/>
      <c r="BP100" s="365"/>
      <c r="BQ100" s="359"/>
      <c r="BR100" s="365"/>
      <c r="BS100" s="359"/>
      <c r="BT100" s="365"/>
      <c r="BU100" s="359"/>
      <c r="BV100" s="365"/>
      <c r="BW100" s="359"/>
      <c r="BX100" s="365"/>
      <c r="BY100" s="359"/>
      <c r="BZ100" s="365"/>
      <c r="CA100" s="359"/>
      <c r="CB100" s="365"/>
      <c r="CC100" s="359"/>
      <c r="CD100" s="365"/>
      <c r="CE100" s="359"/>
      <c r="CF100" s="365"/>
      <c r="CG100" s="359"/>
      <c r="CH100" s="365"/>
      <c r="CI100" s="359"/>
      <c r="CJ100" s="365"/>
      <c r="CK100" s="359"/>
      <c r="CL100" s="365"/>
      <c r="CM100" s="359"/>
      <c r="CN100" s="365"/>
      <c r="CO100" s="359"/>
      <c r="CP100" s="365"/>
      <c r="CQ100" s="359"/>
      <c r="CR100" s="365"/>
      <c r="CS100" s="359"/>
      <c r="CT100" s="365"/>
      <c r="CU100" s="359"/>
      <c r="CV100" s="365"/>
      <c r="CW100" s="359"/>
      <c r="CX100" s="365"/>
      <c r="CY100" s="359"/>
      <c r="CZ100" s="365"/>
      <c r="DA100" s="359"/>
      <c r="DB100" s="365"/>
      <c r="DC100" s="359"/>
      <c r="DD100" s="365"/>
      <c r="DE100" s="368"/>
    </row>
    <row r="101" spans="1:109" ht="13.5" customHeight="1" x14ac:dyDescent="0.2">
      <c r="A101" s="354" t="s">
        <v>226</v>
      </c>
      <c r="B101" s="356"/>
      <c r="C101" s="354"/>
      <c r="D101" s="354"/>
      <c r="E101" s="354"/>
      <c r="G101" s="386"/>
      <c r="H101" s="364"/>
      <c r="I101" s="364"/>
      <c r="J101" s="366"/>
      <c r="K101" s="360"/>
      <c r="L101" s="366"/>
      <c r="M101" s="360"/>
      <c r="N101" s="365"/>
      <c r="O101" s="359"/>
      <c r="P101" s="365"/>
      <c r="Q101" s="359"/>
      <c r="R101" s="365"/>
      <c r="S101" s="359"/>
      <c r="T101" s="365"/>
      <c r="U101" s="359"/>
      <c r="V101" s="365"/>
      <c r="W101" s="359"/>
      <c r="X101" s="365"/>
      <c r="Y101" s="359"/>
      <c r="Z101" s="365"/>
      <c r="AA101" s="359"/>
      <c r="AB101" s="365"/>
      <c r="AC101" s="359"/>
      <c r="AD101" s="365"/>
      <c r="AE101" s="359"/>
      <c r="AF101" s="365"/>
      <c r="AG101" s="359"/>
      <c r="AH101" s="365"/>
      <c r="AI101" s="359"/>
      <c r="AJ101" s="365"/>
      <c r="AK101" s="359"/>
      <c r="AL101" s="365"/>
      <c r="AM101" s="359"/>
      <c r="AN101" s="365"/>
      <c r="AO101" s="359"/>
      <c r="AP101" s="365"/>
      <c r="AQ101" s="359"/>
      <c r="AR101" s="365"/>
      <c r="AS101" s="359"/>
      <c r="AT101" s="365"/>
      <c r="AU101" s="359"/>
      <c r="AV101" s="365"/>
      <c r="AW101" s="359"/>
      <c r="AX101" s="365"/>
      <c r="AY101" s="359"/>
      <c r="AZ101" s="365"/>
      <c r="BA101" s="359"/>
      <c r="BB101" s="365"/>
      <c r="BC101" s="359"/>
      <c r="BD101" s="365"/>
      <c r="BE101" s="359"/>
      <c r="BF101" s="365"/>
      <c r="BG101" s="359"/>
      <c r="BH101" s="365"/>
      <c r="BI101" s="359"/>
      <c r="BJ101" s="365"/>
      <c r="BK101" s="359"/>
      <c r="BL101" s="365"/>
      <c r="BM101" s="359"/>
      <c r="BN101" s="365"/>
      <c r="BO101" s="359"/>
      <c r="BP101" s="365"/>
      <c r="BQ101" s="359"/>
      <c r="BR101" s="365"/>
      <c r="BS101" s="359"/>
      <c r="BT101" s="365"/>
      <c r="BU101" s="359"/>
      <c r="BV101" s="365"/>
      <c r="BW101" s="359"/>
      <c r="BX101" s="365"/>
      <c r="BY101" s="359"/>
      <c r="BZ101" s="365"/>
      <c r="CA101" s="359"/>
      <c r="CB101" s="365"/>
      <c r="CC101" s="359"/>
      <c r="CD101" s="365"/>
      <c r="CE101" s="359"/>
      <c r="CF101" s="365"/>
      <c r="CG101" s="359"/>
      <c r="CH101" s="365"/>
      <c r="CI101" s="359"/>
      <c r="CJ101" s="365"/>
      <c r="CK101" s="359"/>
      <c r="CL101" s="365"/>
      <c r="CM101" s="359"/>
      <c r="CN101" s="365"/>
      <c r="CO101" s="359"/>
      <c r="CP101" s="365"/>
      <c r="CQ101" s="359"/>
      <c r="CR101" s="365"/>
      <c r="CS101" s="359"/>
      <c r="CT101" s="365"/>
      <c r="CU101" s="359"/>
      <c r="CV101" s="365"/>
      <c r="CW101" s="359"/>
      <c r="CX101" s="365"/>
      <c r="CY101" s="359"/>
      <c r="CZ101" s="365"/>
      <c r="DA101" s="359"/>
      <c r="DB101" s="365"/>
      <c r="DC101" s="359"/>
      <c r="DD101" s="365"/>
      <c r="DE101" s="368"/>
    </row>
    <row r="102" spans="1:109" ht="13.5" customHeight="1" x14ac:dyDescent="0.2">
      <c r="A102" s="354" t="s">
        <v>227</v>
      </c>
      <c r="B102" s="356"/>
      <c r="C102" s="354"/>
      <c r="D102" s="354"/>
      <c r="E102" s="354"/>
      <c r="G102" s="386"/>
      <c r="H102" s="364"/>
      <c r="I102" s="364"/>
      <c r="J102" s="366"/>
      <c r="K102" s="360"/>
      <c r="L102" s="365"/>
      <c r="M102" s="359"/>
      <c r="N102" s="365"/>
      <c r="O102" s="359"/>
      <c r="P102" s="365"/>
      <c r="Q102" s="359"/>
      <c r="R102" s="365"/>
      <c r="S102" s="359"/>
      <c r="T102" s="365"/>
      <c r="U102" s="359"/>
      <c r="V102" s="365"/>
      <c r="W102" s="359"/>
      <c r="X102" s="365"/>
      <c r="Y102" s="359"/>
      <c r="Z102" s="365"/>
      <c r="AA102" s="359"/>
      <c r="AB102" s="365"/>
      <c r="AC102" s="359"/>
      <c r="AD102" s="365"/>
      <c r="AE102" s="359"/>
      <c r="AF102" s="365"/>
      <c r="AG102" s="359"/>
      <c r="AH102" s="365"/>
      <c r="AI102" s="359"/>
      <c r="AJ102" s="365"/>
      <c r="AK102" s="359"/>
      <c r="AL102" s="365"/>
      <c r="AM102" s="359"/>
      <c r="AN102" s="365"/>
      <c r="AO102" s="359"/>
      <c r="AP102" s="365"/>
      <c r="AQ102" s="359"/>
      <c r="AR102" s="365"/>
      <c r="AS102" s="359"/>
      <c r="AT102" s="365"/>
      <c r="AU102" s="359"/>
      <c r="AV102" s="365"/>
      <c r="AW102" s="359"/>
      <c r="AX102" s="365"/>
      <c r="AY102" s="359"/>
      <c r="AZ102" s="365"/>
      <c r="BA102" s="359"/>
      <c r="BB102" s="365"/>
      <c r="BC102" s="359"/>
      <c r="BD102" s="365"/>
      <c r="BE102" s="359"/>
      <c r="BF102" s="365"/>
      <c r="BG102" s="359"/>
      <c r="BH102" s="365"/>
      <c r="BI102" s="359"/>
      <c r="BJ102" s="365"/>
      <c r="BK102" s="359"/>
      <c r="BL102" s="365"/>
      <c r="BM102" s="359"/>
      <c r="BN102" s="365"/>
      <c r="BO102" s="359"/>
      <c r="BP102" s="365"/>
      <c r="BQ102" s="359"/>
      <c r="BR102" s="365"/>
      <c r="BS102" s="359"/>
      <c r="BT102" s="365"/>
      <c r="BU102" s="359"/>
      <c r="BV102" s="365"/>
      <c r="BW102" s="359"/>
      <c r="BX102" s="365"/>
      <c r="BY102" s="359"/>
      <c r="BZ102" s="365"/>
      <c r="CA102" s="359"/>
      <c r="CB102" s="365"/>
      <c r="CC102" s="359"/>
      <c r="CD102" s="365"/>
      <c r="CE102" s="359"/>
      <c r="CF102" s="365"/>
      <c r="CG102" s="359"/>
      <c r="CH102" s="365"/>
      <c r="CI102" s="359"/>
      <c r="CJ102" s="365"/>
      <c r="CK102" s="359"/>
      <c r="CL102" s="365"/>
      <c r="CM102" s="359"/>
      <c r="CN102" s="365"/>
      <c r="CO102" s="359"/>
      <c r="CP102" s="365"/>
      <c r="CQ102" s="359"/>
      <c r="CR102" s="365"/>
      <c r="CS102" s="359"/>
      <c r="CT102" s="365"/>
      <c r="CU102" s="359"/>
      <c r="CV102" s="365"/>
      <c r="CW102" s="359"/>
      <c r="CX102" s="365"/>
      <c r="CY102" s="359"/>
      <c r="CZ102" s="365"/>
      <c r="DA102" s="359"/>
      <c r="DB102" s="365"/>
      <c r="DC102" s="359"/>
      <c r="DD102" s="365"/>
      <c r="DE102" s="368"/>
    </row>
    <row r="103" spans="1:109" ht="13.5" customHeight="1" x14ac:dyDescent="0.2">
      <c r="A103" s="354" t="s">
        <v>228</v>
      </c>
      <c r="B103" s="356"/>
      <c r="C103" s="354"/>
      <c r="D103" s="354"/>
      <c r="E103" s="354"/>
      <c r="G103" s="386"/>
      <c r="H103" s="364"/>
      <c r="I103" s="364"/>
      <c r="J103" s="366"/>
      <c r="K103" s="360"/>
      <c r="L103" s="366"/>
      <c r="M103" s="360"/>
      <c r="N103" s="365"/>
      <c r="O103" s="359"/>
      <c r="P103" s="365"/>
      <c r="Q103" s="359"/>
      <c r="R103" s="365"/>
      <c r="S103" s="359"/>
      <c r="T103" s="365"/>
      <c r="U103" s="359"/>
      <c r="V103" s="365"/>
      <c r="W103" s="359"/>
      <c r="X103" s="365"/>
      <c r="Y103" s="359"/>
      <c r="Z103" s="365"/>
      <c r="AA103" s="359"/>
      <c r="AB103" s="365"/>
      <c r="AC103" s="359"/>
      <c r="AD103" s="365"/>
      <c r="AE103" s="359"/>
      <c r="AF103" s="365"/>
      <c r="AG103" s="359"/>
      <c r="AH103" s="365"/>
      <c r="AI103" s="359"/>
      <c r="AJ103" s="365"/>
      <c r="AK103" s="359"/>
      <c r="AL103" s="365"/>
      <c r="AM103" s="359"/>
      <c r="AN103" s="365"/>
      <c r="AO103" s="359"/>
      <c r="AP103" s="365"/>
      <c r="AQ103" s="359"/>
      <c r="AR103" s="365"/>
      <c r="AS103" s="359"/>
      <c r="AT103" s="365"/>
      <c r="AU103" s="359"/>
      <c r="AV103" s="365"/>
      <c r="AW103" s="359"/>
      <c r="AX103" s="365"/>
      <c r="AY103" s="359"/>
      <c r="AZ103" s="365"/>
      <c r="BA103" s="359"/>
      <c r="BB103" s="365"/>
      <c r="BC103" s="359"/>
      <c r="BD103" s="365"/>
      <c r="BE103" s="359"/>
      <c r="BF103" s="365"/>
      <c r="BG103" s="359"/>
      <c r="BH103" s="365"/>
      <c r="BI103" s="359"/>
      <c r="BJ103" s="365"/>
      <c r="BK103" s="359"/>
      <c r="BL103" s="365"/>
      <c r="BM103" s="359"/>
      <c r="BN103" s="365"/>
      <c r="BO103" s="359"/>
      <c r="BP103" s="365"/>
      <c r="BQ103" s="359"/>
      <c r="BR103" s="365"/>
      <c r="BS103" s="359"/>
      <c r="BT103" s="365"/>
      <c r="BU103" s="359"/>
      <c r="BV103" s="365"/>
      <c r="BW103" s="359"/>
      <c r="BX103" s="365"/>
      <c r="BY103" s="359"/>
      <c r="BZ103" s="365"/>
      <c r="CA103" s="359"/>
      <c r="CB103" s="365"/>
      <c r="CC103" s="359"/>
      <c r="CD103" s="365"/>
      <c r="CE103" s="359"/>
      <c r="CF103" s="365"/>
      <c r="CG103" s="359"/>
      <c r="CH103" s="365"/>
      <c r="CI103" s="359"/>
      <c r="CJ103" s="365"/>
      <c r="CK103" s="359"/>
      <c r="CL103" s="365"/>
      <c r="CM103" s="359"/>
      <c r="CN103" s="365"/>
      <c r="CO103" s="359"/>
      <c r="CP103" s="365"/>
      <c r="CQ103" s="359"/>
      <c r="CR103" s="365"/>
      <c r="CS103" s="359"/>
      <c r="CT103" s="365"/>
      <c r="CU103" s="359"/>
      <c r="CV103" s="365"/>
      <c r="CW103" s="359"/>
      <c r="CX103" s="365"/>
      <c r="CY103" s="359"/>
      <c r="CZ103" s="365"/>
      <c r="DA103" s="359"/>
      <c r="DB103" s="365"/>
      <c r="DC103" s="359"/>
      <c r="DD103" s="365"/>
      <c r="DE103" s="368"/>
    </row>
    <row r="104" spans="1:109" ht="13.5" customHeight="1" x14ac:dyDescent="0.2">
      <c r="A104" s="354" t="s">
        <v>229</v>
      </c>
      <c r="B104" s="356"/>
      <c r="C104" s="354"/>
      <c r="D104" s="354"/>
      <c r="E104" s="354"/>
      <c r="G104" s="386"/>
      <c r="H104" s="364"/>
      <c r="I104" s="364"/>
      <c r="J104" s="366"/>
      <c r="K104" s="360"/>
      <c r="L104" s="365"/>
      <c r="M104" s="359"/>
      <c r="N104" s="365"/>
      <c r="O104" s="359"/>
      <c r="P104" s="365"/>
      <c r="Q104" s="359"/>
      <c r="R104" s="365"/>
      <c r="S104" s="359"/>
      <c r="T104" s="365"/>
      <c r="U104" s="359"/>
      <c r="V104" s="365"/>
      <c r="W104" s="359"/>
      <c r="X104" s="365"/>
      <c r="Y104" s="359"/>
      <c r="Z104" s="365"/>
      <c r="AA104" s="359"/>
      <c r="AB104" s="365"/>
      <c r="AC104" s="359"/>
      <c r="AD104" s="365"/>
      <c r="AE104" s="359"/>
      <c r="AF104" s="365"/>
      <c r="AG104" s="359"/>
      <c r="AH104" s="365"/>
      <c r="AI104" s="359"/>
      <c r="AJ104" s="365"/>
      <c r="AK104" s="359"/>
      <c r="AL104" s="365"/>
      <c r="AM104" s="359"/>
      <c r="AN104" s="365"/>
      <c r="AO104" s="359"/>
      <c r="AP104" s="365"/>
      <c r="AQ104" s="359"/>
      <c r="AR104" s="365"/>
      <c r="AS104" s="359"/>
      <c r="AT104" s="365"/>
      <c r="AU104" s="359"/>
      <c r="AV104" s="365"/>
      <c r="AW104" s="359"/>
      <c r="AX104" s="365"/>
      <c r="AY104" s="359"/>
      <c r="AZ104" s="365"/>
      <c r="BA104" s="359"/>
      <c r="BB104" s="365"/>
      <c r="BC104" s="359"/>
      <c r="BD104" s="365"/>
      <c r="BE104" s="359"/>
      <c r="BF104" s="365"/>
      <c r="BG104" s="359"/>
      <c r="BH104" s="365"/>
      <c r="BI104" s="359"/>
      <c r="BJ104" s="365"/>
      <c r="BK104" s="359"/>
      <c r="BL104" s="365"/>
      <c r="BM104" s="359"/>
      <c r="BN104" s="365"/>
      <c r="BO104" s="359"/>
      <c r="BP104" s="365"/>
      <c r="BQ104" s="359"/>
      <c r="BR104" s="365"/>
      <c r="BS104" s="359"/>
      <c r="BT104" s="365"/>
      <c r="BU104" s="359"/>
      <c r="BV104" s="365"/>
      <c r="BW104" s="359"/>
      <c r="BX104" s="365"/>
      <c r="BY104" s="359"/>
      <c r="BZ104" s="365"/>
      <c r="CA104" s="359"/>
      <c r="CB104" s="365"/>
      <c r="CC104" s="359"/>
      <c r="CD104" s="365"/>
      <c r="CE104" s="359"/>
      <c r="CF104" s="365"/>
      <c r="CG104" s="359"/>
      <c r="CH104" s="365"/>
      <c r="CI104" s="359"/>
      <c r="CJ104" s="365"/>
      <c r="CK104" s="359"/>
      <c r="CL104" s="365"/>
      <c r="CM104" s="359"/>
      <c r="CN104" s="365"/>
      <c r="CO104" s="359"/>
      <c r="CP104" s="365"/>
      <c r="CQ104" s="359"/>
      <c r="CR104" s="365"/>
      <c r="CS104" s="359"/>
      <c r="CT104" s="365"/>
      <c r="CU104" s="359"/>
      <c r="CV104" s="365"/>
      <c r="CW104" s="359"/>
      <c r="CX104" s="365"/>
      <c r="CY104" s="359"/>
      <c r="CZ104" s="365"/>
      <c r="DA104" s="359"/>
      <c r="DB104" s="365"/>
      <c r="DC104" s="359"/>
      <c r="DD104" s="365"/>
      <c r="DE104" s="368"/>
    </row>
    <row r="105" spans="1:109" ht="13.5" customHeight="1" x14ac:dyDescent="0.2">
      <c r="A105" s="354" t="s">
        <v>230</v>
      </c>
      <c r="B105" s="356"/>
      <c r="C105" s="354"/>
      <c r="D105" s="354"/>
      <c r="E105" s="354"/>
      <c r="G105" s="386"/>
      <c r="H105" s="364"/>
      <c r="I105" s="364"/>
      <c r="J105" s="366"/>
      <c r="K105" s="360"/>
      <c r="L105" s="366"/>
      <c r="M105" s="360"/>
      <c r="N105" s="365"/>
      <c r="O105" s="359"/>
      <c r="P105" s="365"/>
      <c r="Q105" s="359"/>
      <c r="R105" s="365"/>
      <c r="S105" s="359"/>
      <c r="T105" s="365"/>
      <c r="U105" s="359"/>
      <c r="V105" s="365"/>
      <c r="W105" s="359"/>
      <c r="X105" s="365"/>
      <c r="Y105" s="359"/>
      <c r="Z105" s="365"/>
      <c r="AA105" s="359"/>
      <c r="AB105" s="365"/>
      <c r="AC105" s="359"/>
      <c r="AD105" s="365"/>
      <c r="AE105" s="359"/>
      <c r="AF105" s="365"/>
      <c r="AG105" s="359"/>
      <c r="AH105" s="365"/>
      <c r="AI105" s="359"/>
      <c r="AJ105" s="365"/>
      <c r="AK105" s="359"/>
      <c r="AL105" s="365"/>
      <c r="AM105" s="359"/>
      <c r="AN105" s="365"/>
      <c r="AO105" s="359"/>
      <c r="AP105" s="365"/>
      <c r="AQ105" s="359"/>
      <c r="AR105" s="365"/>
      <c r="AS105" s="359"/>
      <c r="AT105" s="365"/>
      <c r="AU105" s="359"/>
      <c r="AV105" s="365"/>
      <c r="AW105" s="359"/>
      <c r="AX105" s="365"/>
      <c r="AY105" s="359"/>
      <c r="AZ105" s="365"/>
      <c r="BA105" s="359"/>
      <c r="BB105" s="365"/>
      <c r="BC105" s="359"/>
      <c r="BD105" s="365"/>
      <c r="BE105" s="359"/>
      <c r="BF105" s="365"/>
      <c r="BG105" s="359"/>
      <c r="BH105" s="365"/>
      <c r="BI105" s="359"/>
      <c r="BJ105" s="365"/>
      <c r="BK105" s="359"/>
      <c r="BL105" s="365"/>
      <c r="BM105" s="359"/>
      <c r="BN105" s="365"/>
      <c r="BO105" s="359"/>
      <c r="BP105" s="365"/>
      <c r="BQ105" s="359"/>
      <c r="BR105" s="365"/>
      <c r="BS105" s="359"/>
      <c r="BT105" s="365"/>
      <c r="BU105" s="359"/>
      <c r="BV105" s="365"/>
      <c r="BW105" s="359"/>
      <c r="BX105" s="365"/>
      <c r="BY105" s="359"/>
      <c r="BZ105" s="365"/>
      <c r="CA105" s="359"/>
      <c r="CB105" s="365"/>
      <c r="CC105" s="359"/>
      <c r="CD105" s="365"/>
      <c r="CE105" s="359"/>
      <c r="CF105" s="365"/>
      <c r="CG105" s="359"/>
      <c r="CH105" s="365"/>
      <c r="CI105" s="359"/>
      <c r="CJ105" s="365"/>
      <c r="CK105" s="359"/>
      <c r="CL105" s="365"/>
      <c r="CM105" s="359"/>
      <c r="CN105" s="365"/>
      <c r="CO105" s="359"/>
      <c r="CP105" s="365"/>
      <c r="CQ105" s="359"/>
      <c r="CR105" s="365"/>
      <c r="CS105" s="359"/>
      <c r="CT105" s="365"/>
      <c r="CU105" s="359"/>
      <c r="CV105" s="365"/>
      <c r="CW105" s="359"/>
      <c r="CX105" s="365"/>
      <c r="CY105" s="359"/>
      <c r="CZ105" s="365"/>
      <c r="DA105" s="359"/>
      <c r="DB105" s="365"/>
      <c r="DC105" s="359"/>
      <c r="DD105" s="365"/>
      <c r="DE105" s="368"/>
    </row>
    <row r="106" spans="1:109" ht="13.5" customHeight="1" x14ac:dyDescent="0.2">
      <c r="A106" s="354" t="s">
        <v>231</v>
      </c>
      <c r="B106" s="356"/>
      <c r="C106" s="354"/>
      <c r="D106" s="354"/>
      <c r="E106" s="354"/>
      <c r="G106" s="386"/>
      <c r="H106" s="364"/>
      <c r="I106" s="364"/>
      <c r="J106" s="366"/>
      <c r="K106" s="360"/>
      <c r="L106" s="365"/>
      <c r="M106" s="359"/>
      <c r="N106" s="365"/>
      <c r="O106" s="359"/>
      <c r="P106" s="365"/>
      <c r="Q106" s="359"/>
      <c r="R106" s="365"/>
      <c r="S106" s="359"/>
      <c r="T106" s="365"/>
      <c r="U106" s="359"/>
      <c r="V106" s="365"/>
      <c r="W106" s="359"/>
      <c r="X106" s="365"/>
      <c r="Y106" s="359"/>
      <c r="Z106" s="365"/>
      <c r="AA106" s="359"/>
      <c r="AB106" s="365"/>
      <c r="AC106" s="359"/>
      <c r="AD106" s="365"/>
      <c r="AE106" s="359"/>
      <c r="AF106" s="365"/>
      <c r="AG106" s="359"/>
      <c r="AH106" s="365"/>
      <c r="AI106" s="359"/>
      <c r="AJ106" s="365"/>
      <c r="AK106" s="359"/>
      <c r="AL106" s="365"/>
      <c r="AM106" s="359"/>
      <c r="AN106" s="365"/>
      <c r="AO106" s="359"/>
      <c r="AP106" s="365"/>
      <c r="AQ106" s="359"/>
      <c r="AR106" s="365"/>
      <c r="AS106" s="359"/>
      <c r="AT106" s="365"/>
      <c r="AU106" s="359"/>
      <c r="AV106" s="365"/>
      <c r="AW106" s="359"/>
      <c r="AX106" s="365"/>
      <c r="AY106" s="359"/>
      <c r="AZ106" s="365"/>
      <c r="BA106" s="359"/>
      <c r="BB106" s="365"/>
      <c r="BC106" s="359"/>
      <c r="BD106" s="365"/>
      <c r="BE106" s="359"/>
      <c r="BF106" s="365"/>
      <c r="BG106" s="359"/>
      <c r="BH106" s="365"/>
      <c r="BI106" s="359"/>
      <c r="BJ106" s="365"/>
      <c r="BK106" s="359"/>
      <c r="BL106" s="365"/>
      <c r="BM106" s="359"/>
      <c r="BN106" s="365"/>
      <c r="BO106" s="359"/>
      <c r="BP106" s="365"/>
      <c r="BQ106" s="359"/>
      <c r="BR106" s="365"/>
      <c r="BS106" s="359"/>
      <c r="BT106" s="365"/>
      <c r="BU106" s="359"/>
      <c r="BV106" s="365"/>
      <c r="BW106" s="359"/>
      <c r="BX106" s="365"/>
      <c r="BY106" s="359"/>
      <c r="BZ106" s="365"/>
      <c r="CA106" s="359"/>
      <c r="CB106" s="365"/>
      <c r="CC106" s="359"/>
      <c r="CD106" s="365"/>
      <c r="CE106" s="359"/>
      <c r="CF106" s="365"/>
      <c r="CG106" s="359"/>
      <c r="CH106" s="365"/>
      <c r="CI106" s="359"/>
      <c r="CJ106" s="365"/>
      <c r="CK106" s="359"/>
      <c r="CL106" s="365"/>
      <c r="CM106" s="359"/>
      <c r="CN106" s="365"/>
      <c r="CO106" s="359"/>
      <c r="CP106" s="365"/>
      <c r="CQ106" s="359"/>
      <c r="CR106" s="365"/>
      <c r="CS106" s="359"/>
      <c r="CT106" s="365"/>
      <c r="CU106" s="359"/>
      <c r="CV106" s="365"/>
      <c r="CW106" s="359"/>
      <c r="CX106" s="365"/>
      <c r="CY106" s="359"/>
      <c r="CZ106" s="365"/>
      <c r="DA106" s="359"/>
      <c r="DB106" s="365"/>
      <c r="DC106" s="359"/>
      <c r="DD106" s="365"/>
      <c r="DE106" s="368"/>
    </row>
    <row r="107" spans="1:109" x14ac:dyDescent="0.2">
      <c r="G107" s="386"/>
      <c r="H107" s="364"/>
      <c r="I107" s="364"/>
      <c r="J107" s="366"/>
      <c r="K107" s="360"/>
      <c r="L107" s="366"/>
      <c r="M107" s="360"/>
      <c r="N107" s="365"/>
      <c r="O107" s="359"/>
      <c r="P107" s="365"/>
      <c r="Q107" s="359"/>
      <c r="R107" s="365"/>
      <c r="S107" s="359"/>
      <c r="T107" s="365"/>
      <c r="U107" s="359"/>
      <c r="V107" s="365"/>
      <c r="W107" s="359"/>
      <c r="X107" s="365"/>
      <c r="Y107" s="359"/>
      <c r="Z107" s="365"/>
      <c r="AA107" s="359"/>
      <c r="AB107" s="365"/>
      <c r="AC107" s="359"/>
      <c r="AD107" s="365"/>
      <c r="AE107" s="359"/>
      <c r="AF107" s="365"/>
      <c r="AG107" s="359"/>
      <c r="AH107" s="365"/>
      <c r="AI107" s="359"/>
      <c r="AJ107" s="365"/>
      <c r="AK107" s="359"/>
      <c r="AL107" s="365"/>
      <c r="AM107" s="359"/>
      <c r="AN107" s="365"/>
      <c r="AO107" s="359"/>
      <c r="AP107" s="365"/>
      <c r="AQ107" s="359"/>
      <c r="AR107" s="365"/>
      <c r="AS107" s="359"/>
      <c r="AT107" s="365"/>
      <c r="AU107" s="359"/>
      <c r="AV107" s="365"/>
      <c r="AW107" s="359"/>
      <c r="AX107" s="365"/>
      <c r="AY107" s="359"/>
      <c r="AZ107" s="365"/>
      <c r="BA107" s="359"/>
      <c r="BB107" s="365"/>
      <c r="BC107" s="359"/>
      <c r="BD107" s="365"/>
      <c r="BE107" s="359"/>
      <c r="BF107" s="365"/>
      <c r="BG107" s="359"/>
      <c r="BH107" s="365"/>
      <c r="BI107" s="359"/>
      <c r="BJ107" s="365"/>
      <c r="BK107" s="359"/>
      <c r="BL107" s="365"/>
      <c r="BM107" s="359"/>
      <c r="BN107" s="365"/>
      <c r="BO107" s="359"/>
      <c r="BP107" s="365"/>
      <c r="BQ107" s="359"/>
      <c r="BR107" s="365"/>
      <c r="BS107" s="359"/>
      <c r="BT107" s="365"/>
      <c r="BU107" s="359"/>
      <c r="BV107" s="365"/>
      <c r="BW107" s="359"/>
      <c r="BX107" s="365"/>
      <c r="BY107" s="359"/>
      <c r="BZ107" s="365"/>
      <c r="CA107" s="359"/>
      <c r="CB107" s="365"/>
      <c r="CC107" s="359"/>
      <c r="CD107" s="365"/>
      <c r="CE107" s="359"/>
      <c r="CF107" s="365"/>
      <c r="CG107" s="359"/>
      <c r="CH107" s="365"/>
      <c r="CI107" s="359"/>
      <c r="CJ107" s="365"/>
      <c r="CK107" s="359"/>
      <c r="CL107" s="365"/>
      <c r="CM107" s="359"/>
      <c r="CN107" s="365"/>
      <c r="CO107" s="359"/>
      <c r="CP107" s="365"/>
      <c r="CQ107" s="359"/>
      <c r="CR107" s="365"/>
      <c r="CS107" s="359"/>
      <c r="CT107" s="365"/>
      <c r="CU107" s="359"/>
      <c r="CV107" s="365"/>
      <c r="CW107" s="359"/>
      <c r="CX107" s="365"/>
      <c r="CY107" s="359"/>
      <c r="CZ107" s="365"/>
      <c r="DA107" s="359"/>
      <c r="DB107" s="365"/>
      <c r="DC107" s="359"/>
      <c r="DD107" s="365"/>
      <c r="DE107" s="368"/>
    </row>
    <row r="108" spans="1:109" x14ac:dyDescent="0.2">
      <c r="G108" s="386"/>
      <c r="H108" s="364"/>
      <c r="I108" s="364"/>
      <c r="J108" s="366"/>
      <c r="K108" s="360"/>
      <c r="L108" s="365"/>
      <c r="M108" s="359"/>
      <c r="N108" s="365"/>
      <c r="O108" s="359"/>
      <c r="P108" s="365"/>
      <c r="Q108" s="359"/>
      <c r="R108" s="365"/>
      <c r="S108" s="359"/>
      <c r="T108" s="365"/>
      <c r="U108" s="359"/>
      <c r="V108" s="365"/>
      <c r="W108" s="359"/>
      <c r="X108" s="365"/>
      <c r="Y108" s="359"/>
      <c r="Z108" s="365"/>
      <c r="AA108" s="359"/>
      <c r="AB108" s="365"/>
      <c r="AC108" s="359"/>
      <c r="AD108" s="365"/>
      <c r="AE108" s="359"/>
      <c r="AF108" s="365"/>
      <c r="AG108" s="359"/>
      <c r="AH108" s="365"/>
      <c r="AI108" s="359"/>
      <c r="AJ108" s="365"/>
      <c r="AK108" s="359"/>
      <c r="AL108" s="365"/>
      <c r="AM108" s="359"/>
      <c r="AN108" s="365"/>
      <c r="AO108" s="359"/>
      <c r="AP108" s="365"/>
      <c r="AQ108" s="359"/>
      <c r="AR108" s="365"/>
      <c r="AS108" s="359"/>
      <c r="AT108" s="365"/>
      <c r="AU108" s="359"/>
      <c r="AV108" s="365"/>
      <c r="AW108" s="359"/>
      <c r="AX108" s="365"/>
      <c r="AY108" s="359"/>
      <c r="AZ108" s="365"/>
      <c r="BA108" s="359"/>
      <c r="BB108" s="365"/>
      <c r="BC108" s="359"/>
      <c r="BD108" s="365"/>
      <c r="BE108" s="359"/>
      <c r="BF108" s="365"/>
      <c r="BG108" s="359"/>
      <c r="BH108" s="365"/>
      <c r="BI108" s="359"/>
      <c r="BJ108" s="365"/>
      <c r="BK108" s="359"/>
      <c r="BL108" s="365"/>
      <c r="BM108" s="359"/>
      <c r="BN108" s="365"/>
      <c r="BO108" s="359"/>
      <c r="BP108" s="365"/>
      <c r="BQ108" s="359"/>
      <c r="BR108" s="365"/>
      <c r="BS108" s="359"/>
      <c r="BT108" s="365"/>
      <c r="BU108" s="359"/>
      <c r="BV108" s="365"/>
      <c r="BW108" s="359"/>
      <c r="BX108" s="365"/>
      <c r="BY108" s="359"/>
      <c r="BZ108" s="365"/>
      <c r="CA108" s="359"/>
      <c r="CB108" s="365"/>
      <c r="CC108" s="359"/>
      <c r="CD108" s="365"/>
      <c r="CE108" s="359"/>
      <c r="CF108" s="365"/>
      <c r="CG108" s="359"/>
      <c r="CH108" s="365"/>
      <c r="CI108" s="359"/>
      <c r="CJ108" s="365"/>
      <c r="CK108" s="359"/>
      <c r="CL108" s="365"/>
      <c r="CM108" s="359"/>
      <c r="CN108" s="365"/>
      <c r="CO108" s="359"/>
      <c r="CP108" s="365"/>
      <c r="CQ108" s="359"/>
      <c r="CR108" s="365"/>
      <c r="CS108" s="359"/>
      <c r="CT108" s="365"/>
      <c r="CU108" s="359"/>
      <c r="CV108" s="365"/>
      <c r="CW108" s="359"/>
      <c r="CX108" s="365"/>
      <c r="CY108" s="359"/>
      <c r="CZ108" s="365"/>
      <c r="DA108" s="359"/>
      <c r="DB108" s="365"/>
      <c r="DC108" s="359"/>
      <c r="DD108" s="365"/>
      <c r="DE108" s="368"/>
    </row>
    <row r="109" spans="1:109" x14ac:dyDescent="0.2">
      <c r="G109" s="386"/>
      <c r="H109" s="364"/>
      <c r="I109" s="364"/>
      <c r="J109" s="366"/>
      <c r="K109" s="360"/>
      <c r="L109" s="366"/>
      <c r="M109" s="360"/>
      <c r="N109" s="365"/>
      <c r="O109" s="359"/>
      <c r="P109" s="365"/>
      <c r="Q109" s="359"/>
      <c r="R109" s="365"/>
      <c r="S109" s="359"/>
      <c r="T109" s="365"/>
      <c r="U109" s="359"/>
      <c r="V109" s="365"/>
      <c r="W109" s="359"/>
      <c r="X109" s="365"/>
      <c r="Y109" s="359"/>
      <c r="Z109" s="365"/>
      <c r="AA109" s="359"/>
      <c r="AB109" s="365"/>
      <c r="AC109" s="359"/>
      <c r="AD109" s="365"/>
      <c r="AE109" s="359"/>
      <c r="AF109" s="365"/>
      <c r="AG109" s="359"/>
      <c r="AH109" s="365"/>
      <c r="AI109" s="359"/>
      <c r="AJ109" s="365"/>
      <c r="AK109" s="359"/>
      <c r="AL109" s="365"/>
      <c r="AM109" s="359"/>
      <c r="AN109" s="365"/>
      <c r="AO109" s="359"/>
      <c r="AP109" s="365"/>
      <c r="AQ109" s="359"/>
      <c r="AR109" s="365"/>
      <c r="AS109" s="359"/>
      <c r="AT109" s="365"/>
      <c r="AU109" s="359"/>
      <c r="AV109" s="365"/>
      <c r="AW109" s="359"/>
      <c r="AX109" s="365"/>
      <c r="AY109" s="359"/>
      <c r="AZ109" s="365"/>
      <c r="BA109" s="359"/>
      <c r="BB109" s="365"/>
      <c r="BC109" s="359"/>
      <c r="BD109" s="365"/>
      <c r="BE109" s="359"/>
      <c r="BF109" s="365"/>
      <c r="BG109" s="359"/>
      <c r="BH109" s="365"/>
      <c r="BI109" s="359"/>
      <c r="BJ109" s="365"/>
      <c r="BK109" s="359"/>
      <c r="BL109" s="365"/>
      <c r="BM109" s="359"/>
      <c r="BN109" s="365"/>
      <c r="BO109" s="359"/>
      <c r="BP109" s="365"/>
      <c r="BQ109" s="359"/>
      <c r="BR109" s="365"/>
      <c r="BS109" s="359"/>
      <c r="BT109" s="365"/>
      <c r="BU109" s="359"/>
      <c r="BV109" s="365"/>
      <c r="BW109" s="359"/>
      <c r="BX109" s="365"/>
      <c r="BY109" s="359"/>
      <c r="BZ109" s="365"/>
      <c r="CA109" s="359"/>
      <c r="CB109" s="365"/>
      <c r="CC109" s="359"/>
      <c r="CD109" s="365"/>
      <c r="CE109" s="359"/>
      <c r="CF109" s="365"/>
      <c r="CG109" s="359"/>
      <c r="CH109" s="365"/>
      <c r="CI109" s="359"/>
      <c r="CJ109" s="365"/>
      <c r="CK109" s="359"/>
      <c r="CL109" s="365"/>
      <c r="CM109" s="359"/>
      <c r="CN109" s="365"/>
      <c r="CO109" s="359"/>
      <c r="CP109" s="365"/>
      <c r="CQ109" s="359"/>
      <c r="CR109" s="365"/>
      <c r="CS109" s="359"/>
      <c r="CT109" s="365"/>
      <c r="CU109" s="359"/>
      <c r="CV109" s="365"/>
      <c r="CW109" s="359"/>
      <c r="CX109" s="365"/>
      <c r="CY109" s="359"/>
      <c r="CZ109" s="365"/>
      <c r="DA109" s="359"/>
      <c r="DB109" s="365"/>
      <c r="DC109" s="359"/>
      <c r="DD109" s="365"/>
      <c r="DE109" s="368"/>
    </row>
    <row r="110" spans="1:109" x14ac:dyDescent="0.2">
      <c r="G110" s="386"/>
      <c r="H110" s="364"/>
      <c r="I110" s="364"/>
      <c r="J110" s="366"/>
      <c r="K110" s="360"/>
      <c r="L110" s="365"/>
      <c r="M110" s="359"/>
      <c r="N110" s="365"/>
      <c r="O110" s="359"/>
      <c r="P110" s="365"/>
      <c r="Q110" s="359"/>
      <c r="R110" s="365"/>
      <c r="S110" s="359"/>
      <c r="T110" s="365"/>
      <c r="U110" s="359"/>
      <c r="V110" s="365"/>
      <c r="W110" s="359"/>
      <c r="X110" s="365"/>
      <c r="Y110" s="359"/>
      <c r="Z110" s="365"/>
      <c r="AA110" s="359"/>
      <c r="AB110" s="365"/>
      <c r="AC110" s="359"/>
      <c r="AD110" s="365"/>
      <c r="AE110" s="359"/>
      <c r="AF110" s="365"/>
      <c r="AG110" s="359"/>
      <c r="AH110" s="365"/>
      <c r="AI110" s="359"/>
      <c r="AJ110" s="365"/>
      <c r="AK110" s="359"/>
      <c r="AL110" s="365"/>
      <c r="AM110" s="359"/>
      <c r="AN110" s="365"/>
      <c r="AO110" s="359"/>
      <c r="AP110" s="365"/>
      <c r="AQ110" s="359"/>
      <c r="AR110" s="365"/>
      <c r="AS110" s="359"/>
      <c r="AT110" s="365"/>
      <c r="AU110" s="359"/>
      <c r="AV110" s="365"/>
      <c r="AW110" s="359"/>
      <c r="AX110" s="365"/>
      <c r="AY110" s="359"/>
      <c r="AZ110" s="365"/>
      <c r="BA110" s="359"/>
      <c r="BB110" s="365"/>
      <c r="BC110" s="359"/>
      <c r="BD110" s="365"/>
      <c r="BE110" s="359"/>
      <c r="BF110" s="365"/>
      <c r="BG110" s="359"/>
      <c r="BH110" s="365"/>
      <c r="BI110" s="359"/>
      <c r="BJ110" s="365"/>
      <c r="BK110" s="359"/>
      <c r="BL110" s="365"/>
      <c r="BM110" s="359"/>
      <c r="BN110" s="365"/>
      <c r="BO110" s="359"/>
      <c r="BP110" s="365"/>
      <c r="BQ110" s="359"/>
      <c r="BR110" s="365"/>
      <c r="BS110" s="359"/>
      <c r="BT110" s="365"/>
      <c r="BU110" s="359"/>
      <c r="BV110" s="365"/>
      <c r="BW110" s="359"/>
      <c r="BX110" s="365"/>
      <c r="BY110" s="359"/>
      <c r="BZ110" s="365"/>
      <c r="CA110" s="359"/>
      <c r="CB110" s="365"/>
      <c r="CC110" s="359"/>
      <c r="CD110" s="365"/>
      <c r="CE110" s="359"/>
      <c r="CF110" s="365"/>
      <c r="CG110" s="359"/>
      <c r="CH110" s="365"/>
      <c r="CI110" s="359"/>
      <c r="CJ110" s="365"/>
      <c r="CK110" s="359"/>
      <c r="CL110" s="365"/>
      <c r="CM110" s="359"/>
      <c r="CN110" s="365"/>
      <c r="CO110" s="359"/>
      <c r="CP110" s="365"/>
      <c r="CQ110" s="359"/>
      <c r="CR110" s="365"/>
      <c r="CS110" s="359"/>
      <c r="CT110" s="365"/>
      <c r="CU110" s="359"/>
      <c r="CV110" s="365"/>
      <c r="CW110" s="359"/>
      <c r="CX110" s="365"/>
      <c r="CY110" s="359"/>
      <c r="CZ110" s="365"/>
      <c r="DA110" s="359"/>
      <c r="DB110" s="365"/>
      <c r="DC110" s="359"/>
      <c r="DD110" s="365"/>
      <c r="DE110" s="368"/>
    </row>
    <row r="111" spans="1:109" x14ac:dyDescent="0.2">
      <c r="G111" s="387"/>
      <c r="H111" s="369"/>
      <c r="I111" s="369"/>
      <c r="J111" s="370"/>
      <c r="K111" s="371"/>
      <c r="L111" s="372"/>
      <c r="M111" s="373"/>
      <c r="N111" s="372"/>
      <c r="O111" s="373"/>
      <c r="P111" s="372"/>
      <c r="Q111" s="373"/>
      <c r="R111" s="372"/>
      <c r="S111" s="373"/>
      <c r="T111" s="372"/>
      <c r="U111" s="373"/>
      <c r="V111" s="372"/>
      <c r="W111" s="373"/>
      <c r="X111" s="372"/>
      <c r="Y111" s="373"/>
      <c r="Z111" s="372"/>
      <c r="AA111" s="373"/>
      <c r="AB111" s="372"/>
      <c r="AC111" s="373"/>
      <c r="AD111" s="372"/>
      <c r="AE111" s="373"/>
      <c r="AF111" s="372"/>
      <c r="AG111" s="373"/>
      <c r="AH111" s="372"/>
      <c r="AI111" s="373"/>
      <c r="AJ111" s="372"/>
      <c r="AK111" s="373"/>
      <c r="AL111" s="372"/>
      <c r="AM111" s="373"/>
      <c r="AN111" s="372"/>
      <c r="AO111" s="373"/>
      <c r="AP111" s="372"/>
      <c r="AQ111" s="373"/>
      <c r="AR111" s="372"/>
      <c r="AS111" s="373"/>
      <c r="AT111" s="372"/>
      <c r="AU111" s="373"/>
      <c r="AV111" s="372"/>
      <c r="AW111" s="373"/>
      <c r="AX111" s="372"/>
      <c r="AY111" s="373"/>
      <c r="AZ111" s="372"/>
      <c r="BA111" s="373"/>
      <c r="BB111" s="372"/>
      <c r="BC111" s="373"/>
      <c r="BD111" s="372"/>
      <c r="BE111" s="373"/>
      <c r="BF111" s="372"/>
      <c r="BG111" s="373"/>
      <c r="BH111" s="372"/>
      <c r="BI111" s="373"/>
      <c r="BJ111" s="372"/>
      <c r="BK111" s="373"/>
      <c r="BL111" s="372"/>
      <c r="BM111" s="373"/>
      <c r="BN111" s="372"/>
      <c r="BO111" s="373"/>
      <c r="BP111" s="372"/>
      <c r="BQ111" s="373"/>
      <c r="BR111" s="372"/>
      <c r="BS111" s="373"/>
      <c r="BT111" s="372"/>
      <c r="BU111" s="373"/>
      <c r="BV111" s="372"/>
      <c r="BW111" s="373"/>
      <c r="BX111" s="372"/>
      <c r="BY111" s="373"/>
      <c r="BZ111" s="372"/>
      <c r="CA111" s="373"/>
      <c r="CB111" s="372"/>
      <c r="CC111" s="373"/>
      <c r="CD111" s="372"/>
      <c r="CE111" s="373"/>
      <c r="CF111" s="372"/>
      <c r="CG111" s="373"/>
      <c r="CH111" s="372"/>
      <c r="CI111" s="373"/>
      <c r="CJ111" s="372"/>
      <c r="CK111" s="373"/>
      <c r="CL111" s="372"/>
      <c r="CM111" s="373"/>
      <c r="CN111" s="372"/>
      <c r="CO111" s="373"/>
      <c r="CP111" s="372"/>
      <c r="CQ111" s="373"/>
      <c r="CR111" s="372"/>
      <c r="CS111" s="373"/>
      <c r="CT111" s="372"/>
      <c r="CU111" s="373"/>
      <c r="CV111" s="372"/>
      <c r="CW111" s="373"/>
      <c r="CX111" s="372"/>
      <c r="CY111" s="373"/>
      <c r="CZ111" s="372"/>
      <c r="DA111" s="373"/>
      <c r="DB111" s="372"/>
      <c r="DC111" s="373"/>
      <c r="DD111" s="372"/>
      <c r="DE111" s="374"/>
    </row>
    <row r="112" spans="1:109" ht="13.5" thickBot="1" x14ac:dyDescent="0.25">
      <c r="G112" s="388" t="s">
        <v>232</v>
      </c>
      <c r="H112" s="389"/>
      <c r="I112" s="389"/>
      <c r="J112" s="375"/>
      <c r="K112" s="375"/>
      <c r="L112" s="375"/>
      <c r="M112" s="375"/>
      <c r="N112" s="375"/>
      <c r="O112" s="375"/>
      <c r="P112" s="375"/>
      <c r="Q112" s="375"/>
      <c r="R112" s="375"/>
      <c r="S112" s="375"/>
      <c r="T112" s="375"/>
      <c r="U112" s="375"/>
      <c r="V112" s="375"/>
      <c r="W112" s="375"/>
      <c r="X112" s="375"/>
      <c r="Y112" s="375"/>
      <c r="Z112" s="375"/>
      <c r="AA112" s="375"/>
      <c r="AB112" s="375"/>
      <c r="AC112" s="375"/>
      <c r="AD112" s="375"/>
      <c r="AE112" s="375"/>
      <c r="AF112" s="375"/>
      <c r="AG112" s="375"/>
      <c r="AH112" s="375"/>
      <c r="AI112" s="375"/>
      <c r="AJ112" s="375"/>
      <c r="AK112" s="375"/>
      <c r="AL112" s="375"/>
      <c r="AM112" s="375"/>
      <c r="AN112" s="375"/>
      <c r="AO112" s="375"/>
      <c r="AP112" s="375"/>
      <c r="AQ112" s="375"/>
      <c r="AR112" s="375"/>
      <c r="AS112" s="375"/>
      <c r="AT112" s="375"/>
      <c r="AU112" s="375"/>
      <c r="AV112" s="375"/>
      <c r="AW112" s="375"/>
      <c r="AX112" s="375"/>
      <c r="AY112" s="375"/>
      <c r="AZ112" s="375"/>
      <c r="BA112" s="375"/>
      <c r="BB112" s="375"/>
      <c r="BC112" s="375"/>
      <c r="BD112" s="375"/>
      <c r="BE112" s="375"/>
      <c r="BF112" s="375"/>
      <c r="BG112" s="375"/>
      <c r="BH112" s="375"/>
      <c r="BI112" s="375"/>
      <c r="BJ112" s="375"/>
      <c r="BK112" s="375"/>
      <c r="BL112" s="375"/>
      <c r="BM112" s="375"/>
      <c r="BN112" s="375"/>
      <c r="BO112" s="375"/>
      <c r="BP112" s="375"/>
      <c r="BQ112" s="375"/>
      <c r="BR112" s="375"/>
      <c r="BS112" s="375"/>
      <c r="BT112" s="375"/>
      <c r="BU112" s="375"/>
      <c r="BV112" s="375"/>
      <c r="BW112" s="375"/>
      <c r="BX112" s="375"/>
      <c r="BY112" s="375"/>
      <c r="BZ112" s="375"/>
      <c r="CA112" s="375"/>
      <c r="CB112" s="375"/>
      <c r="CC112" s="375"/>
      <c r="CD112" s="375"/>
      <c r="CE112" s="375"/>
      <c r="CF112" s="375"/>
      <c r="CG112" s="375"/>
      <c r="CH112" s="375"/>
      <c r="CI112" s="375"/>
      <c r="CJ112" s="375"/>
      <c r="CK112" s="375"/>
      <c r="CL112" s="375"/>
      <c r="CM112" s="375"/>
      <c r="CN112" s="375"/>
      <c r="CO112" s="375"/>
      <c r="CP112" s="375"/>
      <c r="CQ112" s="375"/>
      <c r="CR112" s="375"/>
      <c r="CS112" s="375"/>
      <c r="CT112" s="375"/>
      <c r="CU112" s="375"/>
      <c r="CV112" s="375"/>
      <c r="CW112" s="375"/>
      <c r="CX112" s="375"/>
      <c r="CY112" s="375"/>
      <c r="CZ112" s="375"/>
      <c r="DA112" s="375"/>
      <c r="DB112" s="375"/>
      <c r="DC112" s="375"/>
      <c r="DD112" s="375"/>
      <c r="DE112" s="376"/>
    </row>
    <row r="113" spans="7:7" x14ac:dyDescent="0.2">
      <c r="G113" s="401"/>
    </row>
    <row r="114" spans="7:7" x14ac:dyDescent="0.2">
      <c r="G114" s="401"/>
    </row>
    <row r="115" spans="7:7" x14ac:dyDescent="0.2">
      <c r="G115" s="401"/>
    </row>
    <row r="116" spans="7:7" hidden="1" x14ac:dyDescent="0.2">
      <c r="G116" s="401"/>
    </row>
    <row r="117" spans="7:7" hidden="1" x14ac:dyDescent="0.2">
      <c r="G117" s="401"/>
    </row>
    <row r="118" spans="7:7" hidden="1" x14ac:dyDescent="0.2">
      <c r="G118" s="401"/>
    </row>
    <row r="119" spans="7:7" hidden="1" x14ac:dyDescent="0.2">
      <c r="G119" s="401"/>
    </row>
    <row r="120" spans="7:7" hidden="1" x14ac:dyDescent="0.2">
      <c r="G120" s="401"/>
    </row>
    <row r="121" spans="7:7" hidden="1" x14ac:dyDescent="0.2">
      <c r="G121" s="401"/>
    </row>
    <row r="122" spans="7:7" hidden="1" x14ac:dyDescent="0.2">
      <c r="G122" s="401"/>
    </row>
    <row r="123" spans="7:7" hidden="1" x14ac:dyDescent="0.2">
      <c r="G123" s="401"/>
    </row>
    <row r="124" spans="7:7" hidden="1" x14ac:dyDescent="0.2">
      <c r="G124" s="401"/>
    </row>
    <row r="125" spans="7:7" hidden="1" x14ac:dyDescent="0.2">
      <c r="G125" s="401"/>
    </row>
    <row r="126" spans="7:7" hidden="1" x14ac:dyDescent="0.2">
      <c r="G126" s="401"/>
    </row>
    <row r="127" spans="7:7" hidden="1" x14ac:dyDescent="0.2">
      <c r="G127" s="401"/>
    </row>
    <row r="128" spans="7:7" hidden="1" x14ac:dyDescent="0.2">
      <c r="G128" s="401"/>
    </row>
    <row r="129" spans="7:7" hidden="1" x14ac:dyDescent="0.2">
      <c r="G129" s="401"/>
    </row>
    <row r="130" spans="7:7" hidden="1" x14ac:dyDescent="0.2">
      <c r="G130" s="401"/>
    </row>
    <row r="131" spans="7:7" hidden="1" x14ac:dyDescent="0.2">
      <c r="G131" s="401"/>
    </row>
    <row r="132" spans="7:7" hidden="1" x14ac:dyDescent="0.2">
      <c r="G132" s="401"/>
    </row>
    <row r="133" spans="7:7" hidden="1" x14ac:dyDescent="0.2">
      <c r="G133" s="401"/>
    </row>
    <row r="134" spans="7:7" hidden="1" x14ac:dyDescent="0.2">
      <c r="G134" s="401"/>
    </row>
    <row r="135" spans="7:7" hidden="1" x14ac:dyDescent="0.2">
      <c r="G135" s="401"/>
    </row>
    <row r="136" spans="7:7" hidden="1" x14ac:dyDescent="0.2">
      <c r="G136" s="401"/>
    </row>
    <row r="137" spans="7:7" hidden="1" x14ac:dyDescent="0.2">
      <c r="G137" s="401"/>
    </row>
    <row r="138" spans="7:7" hidden="1" x14ac:dyDescent="0.2">
      <c r="G138" s="401"/>
    </row>
    <row r="139" spans="7:7" hidden="1" x14ac:dyDescent="0.2">
      <c r="G139" s="401"/>
    </row>
    <row r="140" spans="7:7" hidden="1" x14ac:dyDescent="0.2">
      <c r="G140" s="401"/>
    </row>
    <row r="141" spans="7:7" hidden="1" x14ac:dyDescent="0.2">
      <c r="G141" s="401"/>
    </row>
    <row r="142" spans="7:7" hidden="1" x14ac:dyDescent="0.2">
      <c r="G142" s="401"/>
    </row>
    <row r="143" spans="7:7" hidden="1" x14ac:dyDescent="0.2">
      <c r="G143" s="401"/>
    </row>
    <row r="144" spans="7:7" hidden="1" x14ac:dyDescent="0.2">
      <c r="G144" s="401"/>
    </row>
    <row r="145" spans="7:7" hidden="1" x14ac:dyDescent="0.2">
      <c r="G145" s="401"/>
    </row>
    <row r="146" spans="7:7" hidden="1" x14ac:dyDescent="0.2">
      <c r="G146" s="401"/>
    </row>
    <row r="147" spans="7:7" hidden="1" x14ac:dyDescent="0.2">
      <c r="G147" s="401"/>
    </row>
    <row r="148" spans="7:7" hidden="1" x14ac:dyDescent="0.2">
      <c r="G148" s="401"/>
    </row>
    <row r="149" spans="7:7" hidden="1" x14ac:dyDescent="0.2">
      <c r="G149" s="401"/>
    </row>
    <row r="150" spans="7:7" hidden="1" x14ac:dyDescent="0.2">
      <c r="G150" s="401"/>
    </row>
    <row r="151" spans="7:7" hidden="1" x14ac:dyDescent="0.2">
      <c r="G151" s="401"/>
    </row>
    <row r="152" spans="7:7" hidden="1" x14ac:dyDescent="0.2">
      <c r="G152" s="401"/>
    </row>
    <row r="153" spans="7:7" hidden="1" x14ac:dyDescent="0.2">
      <c r="G153" s="401"/>
    </row>
    <row r="154" spans="7:7" hidden="1" x14ac:dyDescent="0.2">
      <c r="G154" s="401"/>
    </row>
    <row r="155" spans="7:7" hidden="1" x14ac:dyDescent="0.2">
      <c r="G155" s="401"/>
    </row>
    <row r="156" spans="7:7" hidden="1" x14ac:dyDescent="0.2">
      <c r="G156" s="401"/>
    </row>
    <row r="157" spans="7:7" hidden="1" x14ac:dyDescent="0.2">
      <c r="G157" s="401"/>
    </row>
    <row r="158" spans="7:7" hidden="1" x14ac:dyDescent="0.2">
      <c r="G158" s="401"/>
    </row>
    <row r="159" spans="7:7" hidden="1" x14ac:dyDescent="0.2">
      <c r="G159" s="401"/>
    </row>
    <row r="160" spans="7:7" hidden="1" x14ac:dyDescent="0.2">
      <c r="G160" s="401"/>
    </row>
    <row r="161" spans="7:7" hidden="1" x14ac:dyDescent="0.2">
      <c r="G161" s="401"/>
    </row>
    <row r="162" spans="7:7" hidden="1" x14ac:dyDescent="0.2">
      <c r="G162" s="401"/>
    </row>
    <row r="163" spans="7:7" hidden="1" x14ac:dyDescent="0.2">
      <c r="G163" s="401"/>
    </row>
    <row r="164" spans="7:7" hidden="1" x14ac:dyDescent="0.2">
      <c r="G164" s="401"/>
    </row>
    <row r="165" spans="7:7" hidden="1" x14ac:dyDescent="0.2">
      <c r="G165" s="401"/>
    </row>
    <row r="166" spans="7:7" hidden="1" x14ac:dyDescent="0.2">
      <c r="G166" s="401"/>
    </row>
    <row r="167" spans="7:7" hidden="1" x14ac:dyDescent="0.2">
      <c r="G167" s="401"/>
    </row>
    <row r="168" spans="7:7" hidden="1" x14ac:dyDescent="0.2">
      <c r="G168" s="401"/>
    </row>
    <row r="169" spans="7:7" hidden="1" x14ac:dyDescent="0.2">
      <c r="G169" s="401"/>
    </row>
    <row r="170" spans="7:7" hidden="1" x14ac:dyDescent="0.2">
      <c r="G170" s="401"/>
    </row>
    <row r="171" spans="7:7" hidden="1" x14ac:dyDescent="0.2">
      <c r="G171" s="401"/>
    </row>
    <row r="172" spans="7:7" hidden="1" x14ac:dyDescent="0.2">
      <c r="G172" s="401"/>
    </row>
    <row r="173" spans="7:7" hidden="1" x14ac:dyDescent="0.2">
      <c r="G173" s="401"/>
    </row>
    <row r="174" spans="7:7" hidden="1" x14ac:dyDescent="0.2">
      <c r="G174" s="401"/>
    </row>
    <row r="175" spans="7:7" hidden="1" x14ac:dyDescent="0.2">
      <c r="G175" s="401"/>
    </row>
    <row r="176" spans="7:7" hidden="1" x14ac:dyDescent="0.2">
      <c r="G176" s="401"/>
    </row>
    <row r="177" spans="7:7" hidden="1" x14ac:dyDescent="0.2">
      <c r="G177" s="401"/>
    </row>
    <row r="178" spans="7:7" hidden="1" x14ac:dyDescent="0.2">
      <c r="G178" s="401"/>
    </row>
    <row r="179" spans="7:7" hidden="1" x14ac:dyDescent="0.2">
      <c r="G179" s="401"/>
    </row>
    <row r="180" spans="7:7" hidden="1" x14ac:dyDescent="0.2">
      <c r="G180" s="401"/>
    </row>
    <row r="181" spans="7:7" hidden="1" x14ac:dyDescent="0.2">
      <c r="G181" s="401"/>
    </row>
    <row r="182" spans="7:7" hidden="1" x14ac:dyDescent="0.2">
      <c r="G182" s="401"/>
    </row>
    <row r="183" spans="7:7" hidden="1" x14ac:dyDescent="0.2">
      <c r="G183" s="401"/>
    </row>
    <row r="184" spans="7:7" hidden="1" x14ac:dyDescent="0.2">
      <c r="G184" s="401"/>
    </row>
    <row r="185" spans="7:7" hidden="1" x14ac:dyDescent="0.2">
      <c r="G185" s="401"/>
    </row>
    <row r="186" spans="7:7" hidden="1" x14ac:dyDescent="0.2">
      <c r="G186" s="401"/>
    </row>
    <row r="187" spans="7:7" hidden="1" x14ac:dyDescent="0.2">
      <c r="G187" s="401"/>
    </row>
    <row r="188" spans="7:7" hidden="1" x14ac:dyDescent="0.2">
      <c r="G188" s="401"/>
    </row>
    <row r="189" spans="7:7" hidden="1" x14ac:dyDescent="0.2">
      <c r="G189" s="401"/>
    </row>
    <row r="190" spans="7:7" hidden="1" x14ac:dyDescent="0.2">
      <c r="G190" s="401"/>
    </row>
    <row r="191" spans="7:7" hidden="1" x14ac:dyDescent="0.2">
      <c r="G191" s="401"/>
    </row>
    <row r="192" spans="7:7" hidden="1" x14ac:dyDescent="0.2">
      <c r="G192" s="401"/>
    </row>
    <row r="193" spans="7:7" hidden="1" x14ac:dyDescent="0.2">
      <c r="G193" s="401"/>
    </row>
    <row r="194" spans="7:7" hidden="1" x14ac:dyDescent="0.2">
      <c r="G194" s="401"/>
    </row>
    <row r="195" spans="7:7" hidden="1" x14ac:dyDescent="0.2">
      <c r="G195" s="401"/>
    </row>
    <row r="196" spans="7:7" hidden="1" x14ac:dyDescent="0.2">
      <c r="G196" s="401"/>
    </row>
    <row r="197" spans="7:7" hidden="1" x14ac:dyDescent="0.2">
      <c r="G197" s="401"/>
    </row>
    <row r="198" spans="7:7" hidden="1" x14ac:dyDescent="0.2">
      <c r="G198" s="401"/>
    </row>
    <row r="199" spans="7:7" hidden="1" x14ac:dyDescent="0.2">
      <c r="G199" s="401"/>
    </row>
    <row r="200" spans="7:7" hidden="1" x14ac:dyDescent="0.2">
      <c r="G200" s="401"/>
    </row>
    <row r="201" spans="7:7" hidden="1" x14ac:dyDescent="0.2">
      <c r="G201" s="401"/>
    </row>
    <row r="202" spans="7:7" hidden="1" x14ac:dyDescent="0.2">
      <c r="G202" s="401"/>
    </row>
    <row r="203" spans="7:7" hidden="1" x14ac:dyDescent="0.2">
      <c r="G203" s="401"/>
    </row>
    <row r="204" spans="7:7" hidden="1" x14ac:dyDescent="0.2">
      <c r="G204" s="401"/>
    </row>
    <row r="205" spans="7:7" hidden="1" x14ac:dyDescent="0.2">
      <c r="G205" s="401"/>
    </row>
    <row r="206" spans="7:7" hidden="1" x14ac:dyDescent="0.2">
      <c r="G206" s="401"/>
    </row>
    <row r="207" spans="7:7" hidden="1" x14ac:dyDescent="0.2">
      <c r="G207" s="401"/>
    </row>
    <row r="208" spans="7:7" hidden="1" x14ac:dyDescent="0.2">
      <c r="G208" s="401"/>
    </row>
    <row r="209" spans="7:7" hidden="1" x14ac:dyDescent="0.2">
      <c r="G209" s="401"/>
    </row>
    <row r="210" spans="7:7" hidden="1" x14ac:dyDescent="0.2">
      <c r="G210" s="401"/>
    </row>
    <row r="211" spans="7:7" hidden="1" x14ac:dyDescent="0.2">
      <c r="G211" s="401"/>
    </row>
    <row r="212" spans="7:7" hidden="1" x14ac:dyDescent="0.2">
      <c r="G212" s="401"/>
    </row>
    <row r="213" spans="7:7" hidden="1" x14ac:dyDescent="0.2">
      <c r="G213" s="401"/>
    </row>
    <row r="214" spans="7:7" hidden="1" x14ac:dyDescent="0.2">
      <c r="G214" s="401"/>
    </row>
    <row r="215" spans="7:7" hidden="1" x14ac:dyDescent="0.2">
      <c r="G215" s="401"/>
    </row>
    <row r="216" spans="7:7" hidden="1" x14ac:dyDescent="0.2">
      <c r="G216" s="401"/>
    </row>
    <row r="217" spans="7:7" hidden="1" x14ac:dyDescent="0.2">
      <c r="G217" s="401"/>
    </row>
    <row r="218" spans="7:7" hidden="1" x14ac:dyDescent="0.2">
      <c r="G218" s="401"/>
    </row>
    <row r="219" spans="7:7" hidden="1" x14ac:dyDescent="0.2">
      <c r="G219" s="401"/>
    </row>
    <row r="220" spans="7:7" hidden="1" x14ac:dyDescent="0.2">
      <c r="G220" s="401"/>
    </row>
    <row r="221" spans="7:7" hidden="1" x14ac:dyDescent="0.2">
      <c r="G221" s="401"/>
    </row>
    <row r="222" spans="7:7" hidden="1" x14ac:dyDescent="0.2">
      <c r="G222" s="401"/>
    </row>
    <row r="223" spans="7:7" hidden="1" x14ac:dyDescent="0.2">
      <c r="G223" s="401"/>
    </row>
    <row r="224" spans="7:7" hidden="1" x14ac:dyDescent="0.2">
      <c r="G224" s="401"/>
    </row>
    <row r="225" spans="7:7" hidden="1" x14ac:dyDescent="0.2">
      <c r="G225" s="401"/>
    </row>
    <row r="226" spans="7:7" hidden="1" x14ac:dyDescent="0.2">
      <c r="G226" s="401"/>
    </row>
    <row r="227" spans="7:7" hidden="1" x14ac:dyDescent="0.2">
      <c r="G227" s="401"/>
    </row>
    <row r="228" spans="7:7" hidden="1" x14ac:dyDescent="0.2">
      <c r="G228" s="401"/>
    </row>
    <row r="229" spans="7:7" hidden="1" x14ac:dyDescent="0.2">
      <c r="G229" s="401"/>
    </row>
    <row r="230" spans="7:7" hidden="1" x14ac:dyDescent="0.2">
      <c r="G230" s="401"/>
    </row>
    <row r="231" spans="7:7" hidden="1" x14ac:dyDescent="0.2">
      <c r="G231" s="401"/>
    </row>
    <row r="232" spans="7:7" hidden="1" x14ac:dyDescent="0.2">
      <c r="G232" s="401"/>
    </row>
    <row r="233" spans="7:7" hidden="1" x14ac:dyDescent="0.2">
      <c r="G233" s="401"/>
    </row>
    <row r="234" spans="7:7" hidden="1" x14ac:dyDescent="0.2">
      <c r="G234" s="401"/>
    </row>
    <row r="235" spans="7:7" hidden="1" x14ac:dyDescent="0.2">
      <c r="G235" s="401"/>
    </row>
    <row r="236" spans="7:7" hidden="1" x14ac:dyDescent="0.2">
      <c r="G236" s="401"/>
    </row>
    <row r="237" spans="7:7" hidden="1" x14ac:dyDescent="0.2">
      <c r="G237" s="401"/>
    </row>
    <row r="238" spans="7:7" hidden="1" x14ac:dyDescent="0.2">
      <c r="G238" s="401"/>
    </row>
    <row r="239" spans="7:7" hidden="1" x14ac:dyDescent="0.2">
      <c r="G239" s="401"/>
    </row>
    <row r="240" spans="7:7" hidden="1" x14ac:dyDescent="0.2">
      <c r="G240" s="401"/>
    </row>
    <row r="241" spans="7:7" hidden="1" x14ac:dyDescent="0.2">
      <c r="G241" s="401"/>
    </row>
    <row r="242" spans="7:7" hidden="1" x14ac:dyDescent="0.2">
      <c r="G242" s="401"/>
    </row>
    <row r="243" spans="7:7" hidden="1" x14ac:dyDescent="0.2">
      <c r="G243" s="401"/>
    </row>
    <row r="244" spans="7:7" hidden="1" x14ac:dyDescent="0.2">
      <c r="G244" s="401"/>
    </row>
    <row r="245" spans="7:7" hidden="1" x14ac:dyDescent="0.2">
      <c r="G245" s="401"/>
    </row>
    <row r="246" spans="7:7" hidden="1" x14ac:dyDescent="0.2">
      <c r="G246" s="401"/>
    </row>
    <row r="247" spans="7:7" hidden="1" x14ac:dyDescent="0.2">
      <c r="G247" s="401"/>
    </row>
    <row r="248" spans="7:7" hidden="1" x14ac:dyDescent="0.2">
      <c r="G248" s="401"/>
    </row>
    <row r="249" spans="7:7" hidden="1" x14ac:dyDescent="0.2">
      <c r="G249" s="401"/>
    </row>
    <row r="250" spans="7:7" hidden="1" x14ac:dyDescent="0.2">
      <c r="G250" s="401"/>
    </row>
    <row r="251" spans="7:7" hidden="1" x14ac:dyDescent="0.2">
      <c r="G251" s="401"/>
    </row>
    <row r="252" spans="7:7" hidden="1" x14ac:dyDescent="0.2">
      <c r="G252" s="401"/>
    </row>
    <row r="253" spans="7:7" hidden="1" x14ac:dyDescent="0.2">
      <c r="G253" s="401"/>
    </row>
    <row r="254" spans="7:7" hidden="1" x14ac:dyDescent="0.2">
      <c r="G254" s="401"/>
    </row>
    <row r="255" spans="7:7" hidden="1" x14ac:dyDescent="0.2">
      <c r="G255" s="401"/>
    </row>
    <row r="256" spans="7:7" hidden="1" x14ac:dyDescent="0.2">
      <c r="G256" s="401"/>
    </row>
    <row r="257" spans="7:7" hidden="1" x14ac:dyDescent="0.2">
      <c r="G257" s="401"/>
    </row>
    <row r="258" spans="7:7" hidden="1" x14ac:dyDescent="0.2">
      <c r="G258" s="401"/>
    </row>
    <row r="259" spans="7:7" hidden="1" x14ac:dyDescent="0.2">
      <c r="G259" s="401"/>
    </row>
    <row r="260" spans="7:7" hidden="1" x14ac:dyDescent="0.2">
      <c r="G260" s="401"/>
    </row>
    <row r="261" spans="7:7" hidden="1" x14ac:dyDescent="0.2">
      <c r="G261" s="401"/>
    </row>
    <row r="262" spans="7:7" hidden="1" x14ac:dyDescent="0.2">
      <c r="G262" s="401"/>
    </row>
    <row r="263" spans="7:7" hidden="1" x14ac:dyDescent="0.2">
      <c r="G263" s="401"/>
    </row>
    <row r="264" spans="7:7" hidden="1" x14ac:dyDescent="0.2">
      <c r="G264" s="401"/>
    </row>
    <row r="265" spans="7:7" hidden="1" x14ac:dyDescent="0.2">
      <c r="G265" s="401"/>
    </row>
    <row r="266" spans="7:7" hidden="1" x14ac:dyDescent="0.2">
      <c r="G266" s="401"/>
    </row>
    <row r="267" spans="7:7" hidden="1" x14ac:dyDescent="0.2">
      <c r="G267" s="401"/>
    </row>
    <row r="268" spans="7:7" hidden="1" x14ac:dyDescent="0.2">
      <c r="G268" s="401"/>
    </row>
    <row r="269" spans="7:7" hidden="1" x14ac:dyDescent="0.2">
      <c r="G269" s="401"/>
    </row>
    <row r="270" spans="7:7" hidden="1" x14ac:dyDescent="0.2">
      <c r="G270" s="401"/>
    </row>
    <row r="271" spans="7:7" hidden="1" x14ac:dyDescent="0.2">
      <c r="G271" s="401"/>
    </row>
    <row r="272" spans="7:7" hidden="1" x14ac:dyDescent="0.2">
      <c r="G272" s="401"/>
    </row>
    <row r="273" spans="7:7" hidden="1" x14ac:dyDescent="0.2">
      <c r="G273" s="401"/>
    </row>
    <row r="274" spans="7:7" hidden="1" x14ac:dyDescent="0.2">
      <c r="G274" s="401"/>
    </row>
    <row r="275" spans="7:7" hidden="1" x14ac:dyDescent="0.2">
      <c r="G275" s="401"/>
    </row>
    <row r="276" spans="7:7" hidden="1" x14ac:dyDescent="0.2">
      <c r="G276" s="401"/>
    </row>
    <row r="277" spans="7:7" hidden="1" x14ac:dyDescent="0.2">
      <c r="G277" s="401"/>
    </row>
    <row r="278" spans="7:7" hidden="1" x14ac:dyDescent="0.2">
      <c r="G278" s="401"/>
    </row>
    <row r="279" spans="7:7" hidden="1" x14ac:dyDescent="0.2">
      <c r="G279" s="401"/>
    </row>
    <row r="280" spans="7:7" hidden="1" x14ac:dyDescent="0.2">
      <c r="G280" s="401"/>
    </row>
    <row r="281" spans="7:7" hidden="1" x14ac:dyDescent="0.2">
      <c r="G281" s="401"/>
    </row>
    <row r="282" spans="7:7" hidden="1" x14ac:dyDescent="0.2">
      <c r="G282" s="401"/>
    </row>
    <row r="283" spans="7:7" hidden="1" x14ac:dyDescent="0.2">
      <c r="G283" s="401"/>
    </row>
    <row r="284" spans="7:7" hidden="1" x14ac:dyDescent="0.2">
      <c r="G284" s="401"/>
    </row>
    <row r="285" spans="7:7" hidden="1" x14ac:dyDescent="0.2">
      <c r="G285" s="401"/>
    </row>
    <row r="286" spans="7:7" hidden="1" x14ac:dyDescent="0.2">
      <c r="G286" s="401"/>
    </row>
    <row r="287" spans="7:7" hidden="1" x14ac:dyDescent="0.2">
      <c r="G287" s="401"/>
    </row>
    <row r="288" spans="7:7" hidden="1" x14ac:dyDescent="0.2">
      <c r="G288" s="401"/>
    </row>
    <row r="289" spans="7:7" hidden="1" x14ac:dyDescent="0.2">
      <c r="G289" s="401"/>
    </row>
    <row r="290" spans="7:7" hidden="1" x14ac:dyDescent="0.2">
      <c r="G290" s="401"/>
    </row>
    <row r="291" spans="7:7" hidden="1" x14ac:dyDescent="0.2">
      <c r="G291" s="401"/>
    </row>
    <row r="292" spans="7:7" hidden="1" x14ac:dyDescent="0.2">
      <c r="G292" s="401"/>
    </row>
    <row r="293" spans="7:7" hidden="1" x14ac:dyDescent="0.2">
      <c r="G293" s="401"/>
    </row>
    <row r="294" spans="7:7" hidden="1" x14ac:dyDescent="0.2">
      <c r="G294" s="401"/>
    </row>
    <row r="295" spans="7:7" hidden="1" x14ac:dyDescent="0.2">
      <c r="G295" s="401"/>
    </row>
    <row r="296" spans="7:7" hidden="1" x14ac:dyDescent="0.2">
      <c r="G296" s="401"/>
    </row>
    <row r="297" spans="7:7" hidden="1" x14ac:dyDescent="0.2">
      <c r="G297" s="401"/>
    </row>
    <row r="298" spans="7:7" hidden="1" x14ac:dyDescent="0.2">
      <c r="G298" s="401"/>
    </row>
    <row r="299" spans="7:7" hidden="1" x14ac:dyDescent="0.2">
      <c r="G299" s="401"/>
    </row>
    <row r="300" spans="7:7" hidden="1" x14ac:dyDescent="0.2">
      <c r="G300" s="401"/>
    </row>
    <row r="301" spans="7:7" hidden="1" x14ac:dyDescent="0.2">
      <c r="G301" s="401"/>
    </row>
    <row r="302" spans="7:7" hidden="1" x14ac:dyDescent="0.2">
      <c r="G302" s="401"/>
    </row>
    <row r="303" spans="7:7" hidden="1" x14ac:dyDescent="0.2">
      <c r="G303" s="401"/>
    </row>
    <row r="304" spans="7:7" hidden="1" x14ac:dyDescent="0.2">
      <c r="G304" s="401"/>
    </row>
    <row r="305" spans="7:7" hidden="1" x14ac:dyDescent="0.2">
      <c r="G305" s="401"/>
    </row>
    <row r="306" spans="7:7" hidden="1" x14ac:dyDescent="0.2">
      <c r="G306" s="401"/>
    </row>
    <row r="307" spans="7:7" hidden="1" x14ac:dyDescent="0.2">
      <c r="G307" s="401"/>
    </row>
    <row r="308" spans="7:7" hidden="1" x14ac:dyDescent="0.2">
      <c r="G308" s="401"/>
    </row>
    <row r="309" spans="7:7" hidden="1" x14ac:dyDescent="0.2">
      <c r="G309" s="401"/>
    </row>
    <row r="310" spans="7:7" hidden="1" x14ac:dyDescent="0.2">
      <c r="G310" s="401"/>
    </row>
    <row r="311" spans="7:7" hidden="1" x14ac:dyDescent="0.2">
      <c r="G311" s="401"/>
    </row>
    <row r="312" spans="7:7" hidden="1" x14ac:dyDescent="0.2">
      <c r="G312" s="401"/>
    </row>
    <row r="313" spans="7:7" hidden="1" x14ac:dyDescent="0.2">
      <c r="G313" s="401"/>
    </row>
    <row r="314" spans="7:7" hidden="1" x14ac:dyDescent="0.2">
      <c r="G314" s="401"/>
    </row>
    <row r="315" spans="7:7" hidden="1" x14ac:dyDescent="0.2">
      <c r="G315" s="401"/>
    </row>
    <row r="316" spans="7:7" hidden="1" x14ac:dyDescent="0.2">
      <c r="G316" s="401"/>
    </row>
    <row r="317" spans="7:7" hidden="1" x14ac:dyDescent="0.2">
      <c r="G317" s="401"/>
    </row>
    <row r="318" spans="7:7" hidden="1" x14ac:dyDescent="0.2">
      <c r="G318" s="401"/>
    </row>
    <row r="319" spans="7:7" hidden="1" x14ac:dyDescent="0.2">
      <c r="G319" s="401"/>
    </row>
    <row r="320" spans="7:7" hidden="1" x14ac:dyDescent="0.2">
      <c r="G320" s="401"/>
    </row>
    <row r="321" spans="7:7" hidden="1" x14ac:dyDescent="0.2">
      <c r="G321" s="401"/>
    </row>
    <row r="322" spans="7:7" hidden="1" x14ac:dyDescent="0.2">
      <c r="G322" s="401"/>
    </row>
    <row r="323" spans="7:7" hidden="1" x14ac:dyDescent="0.2">
      <c r="G323" s="401"/>
    </row>
    <row r="324" spans="7:7" hidden="1" x14ac:dyDescent="0.2">
      <c r="G324" s="401"/>
    </row>
    <row r="325" spans="7:7" hidden="1" x14ac:dyDescent="0.2">
      <c r="G325" s="401"/>
    </row>
    <row r="326" spans="7:7" hidden="1" x14ac:dyDescent="0.2">
      <c r="G326" s="401"/>
    </row>
    <row r="327" spans="7:7" hidden="1" x14ac:dyDescent="0.2">
      <c r="G327" s="401"/>
    </row>
    <row r="328" spans="7:7" hidden="1" x14ac:dyDescent="0.2">
      <c r="G328" s="401"/>
    </row>
    <row r="329" spans="7:7" hidden="1" x14ac:dyDescent="0.2">
      <c r="G329" s="401"/>
    </row>
    <row r="330" spans="7:7" hidden="1" x14ac:dyDescent="0.2">
      <c r="G330" s="401"/>
    </row>
    <row r="331" spans="7:7" hidden="1" x14ac:dyDescent="0.2">
      <c r="G331" s="401"/>
    </row>
    <row r="332" spans="7:7" hidden="1" x14ac:dyDescent="0.2">
      <c r="G332" s="401"/>
    </row>
    <row r="333" spans="7:7" hidden="1" x14ac:dyDescent="0.2">
      <c r="G333" s="401"/>
    </row>
    <row r="334" spans="7:7" hidden="1" x14ac:dyDescent="0.2">
      <c r="G334" s="401"/>
    </row>
    <row r="335" spans="7:7" hidden="1" x14ac:dyDescent="0.2">
      <c r="G335" s="401"/>
    </row>
    <row r="336" spans="7:7" hidden="1" x14ac:dyDescent="0.2">
      <c r="G336" s="401"/>
    </row>
    <row r="337" spans="7:7" hidden="1" x14ac:dyDescent="0.2">
      <c r="G337" s="401"/>
    </row>
    <row r="338" spans="7:7" hidden="1" x14ac:dyDescent="0.2">
      <c r="G338" s="401"/>
    </row>
    <row r="339" spans="7:7" hidden="1" x14ac:dyDescent="0.2">
      <c r="G339" s="401"/>
    </row>
    <row r="340" spans="7:7" hidden="1" x14ac:dyDescent="0.2">
      <c r="G340" s="401"/>
    </row>
    <row r="341" spans="7:7" hidden="1" x14ac:dyDescent="0.2">
      <c r="G341" s="401"/>
    </row>
    <row r="342" spans="7:7" hidden="1" x14ac:dyDescent="0.2">
      <c r="G342" s="401"/>
    </row>
    <row r="343" spans="7:7" hidden="1" x14ac:dyDescent="0.2">
      <c r="G343" s="401"/>
    </row>
    <row r="344" spans="7:7" hidden="1" x14ac:dyDescent="0.2">
      <c r="G344" s="401"/>
    </row>
    <row r="345" spans="7:7" hidden="1" x14ac:dyDescent="0.2">
      <c r="G345" s="401"/>
    </row>
    <row r="346" spans="7:7" hidden="1" x14ac:dyDescent="0.2">
      <c r="G346" s="401"/>
    </row>
    <row r="347" spans="7:7" hidden="1" x14ac:dyDescent="0.2">
      <c r="G347" s="401"/>
    </row>
    <row r="348" spans="7:7" hidden="1" x14ac:dyDescent="0.2">
      <c r="G348" s="401"/>
    </row>
    <row r="349" spans="7:7" hidden="1" x14ac:dyDescent="0.2">
      <c r="G349" s="401"/>
    </row>
    <row r="350" spans="7:7" hidden="1" x14ac:dyDescent="0.2">
      <c r="G350" s="401"/>
    </row>
    <row r="351" spans="7:7" hidden="1" x14ac:dyDescent="0.2">
      <c r="G351" s="401"/>
    </row>
    <row r="352" spans="7:7" hidden="1" x14ac:dyDescent="0.2">
      <c r="G352" s="401"/>
    </row>
    <row r="353" spans="7:7" hidden="1" x14ac:dyDescent="0.2">
      <c r="G353" s="401"/>
    </row>
    <row r="354" spans="7:7" hidden="1" x14ac:dyDescent="0.2">
      <c r="G354" s="401"/>
    </row>
    <row r="355" spans="7:7" hidden="1" x14ac:dyDescent="0.2">
      <c r="G355" s="401"/>
    </row>
    <row r="356" spans="7:7" hidden="1" x14ac:dyDescent="0.2">
      <c r="G356" s="401"/>
    </row>
    <row r="357" spans="7:7" hidden="1" x14ac:dyDescent="0.2">
      <c r="G357" s="401"/>
    </row>
    <row r="358" spans="7:7" hidden="1" x14ac:dyDescent="0.2">
      <c r="G358" s="401"/>
    </row>
    <row r="359" spans="7:7" hidden="1" x14ac:dyDescent="0.2">
      <c r="G359" s="401"/>
    </row>
    <row r="360" spans="7:7" hidden="1" x14ac:dyDescent="0.2">
      <c r="G360" s="401"/>
    </row>
    <row r="361" spans="7:7" hidden="1" x14ac:dyDescent="0.2">
      <c r="G361" s="401"/>
    </row>
    <row r="362" spans="7:7" hidden="1" x14ac:dyDescent="0.2">
      <c r="G362" s="401"/>
    </row>
    <row r="363" spans="7:7" hidden="1" x14ac:dyDescent="0.2">
      <c r="G363" s="401"/>
    </row>
    <row r="364" spans="7:7" hidden="1" x14ac:dyDescent="0.2">
      <c r="G364" s="401"/>
    </row>
    <row r="365" spans="7:7" hidden="1" x14ac:dyDescent="0.2">
      <c r="G365" s="401"/>
    </row>
    <row r="366" spans="7:7" hidden="1" x14ac:dyDescent="0.2">
      <c r="G366" s="401"/>
    </row>
    <row r="367" spans="7:7" hidden="1" x14ac:dyDescent="0.2">
      <c r="G367" s="401"/>
    </row>
    <row r="368" spans="7:7" hidden="1" x14ac:dyDescent="0.2">
      <c r="G368" s="401"/>
    </row>
    <row r="369" spans="7:7" hidden="1" x14ac:dyDescent="0.2">
      <c r="G369" s="401"/>
    </row>
    <row r="370" spans="7:7" hidden="1" x14ac:dyDescent="0.2">
      <c r="G370" s="401"/>
    </row>
    <row r="371" spans="7:7" hidden="1" x14ac:dyDescent="0.2">
      <c r="G371" s="401"/>
    </row>
    <row r="372" spans="7:7" hidden="1" x14ac:dyDescent="0.2">
      <c r="G372" s="401"/>
    </row>
    <row r="373" spans="7:7" hidden="1" x14ac:dyDescent="0.2">
      <c r="G373" s="401"/>
    </row>
    <row r="374" spans="7:7" hidden="1" x14ac:dyDescent="0.2">
      <c r="G374" s="401"/>
    </row>
    <row r="375" spans="7:7" hidden="1" x14ac:dyDescent="0.2">
      <c r="G375" s="401"/>
    </row>
    <row r="376" spans="7:7" hidden="1" x14ac:dyDescent="0.2">
      <c r="G376" s="401"/>
    </row>
    <row r="377" spans="7:7" hidden="1" x14ac:dyDescent="0.2">
      <c r="G377" s="401"/>
    </row>
    <row r="378" spans="7:7" hidden="1" x14ac:dyDescent="0.2">
      <c r="G378" s="401"/>
    </row>
    <row r="379" spans="7:7" hidden="1" x14ac:dyDescent="0.2">
      <c r="G379" s="401"/>
    </row>
    <row r="380" spans="7:7" hidden="1" x14ac:dyDescent="0.2">
      <c r="G380" s="401"/>
    </row>
    <row r="381" spans="7:7" hidden="1" x14ac:dyDescent="0.2">
      <c r="G381" s="401"/>
    </row>
    <row r="382" spans="7:7" hidden="1" x14ac:dyDescent="0.2">
      <c r="G382" s="401"/>
    </row>
    <row r="383" spans="7:7" hidden="1" x14ac:dyDescent="0.2">
      <c r="G383" s="401"/>
    </row>
    <row r="384" spans="7:7" hidden="1" x14ac:dyDescent="0.2">
      <c r="G384" s="401"/>
    </row>
    <row r="385" spans="7:7" hidden="1" x14ac:dyDescent="0.2">
      <c r="G385" s="401"/>
    </row>
    <row r="386" spans="7:7" hidden="1" x14ac:dyDescent="0.2">
      <c r="G386" s="401"/>
    </row>
    <row r="387" spans="7:7" hidden="1" x14ac:dyDescent="0.2">
      <c r="G387" s="401"/>
    </row>
    <row r="388" spans="7:7" hidden="1" x14ac:dyDescent="0.2">
      <c r="G388" s="401"/>
    </row>
    <row r="389" spans="7:7" hidden="1" x14ac:dyDescent="0.2">
      <c r="G389" s="401"/>
    </row>
    <row r="390" spans="7:7" hidden="1" x14ac:dyDescent="0.2">
      <c r="G390" s="401"/>
    </row>
    <row r="391" spans="7:7" hidden="1" x14ac:dyDescent="0.2">
      <c r="G391" s="401"/>
    </row>
    <row r="392" spans="7:7" hidden="1" x14ac:dyDescent="0.2">
      <c r="G392" s="401"/>
    </row>
    <row r="393" spans="7:7" hidden="1" x14ac:dyDescent="0.2">
      <c r="G393" s="401"/>
    </row>
    <row r="394" spans="7:7" hidden="1" x14ac:dyDescent="0.2">
      <c r="G394" s="401"/>
    </row>
    <row r="395" spans="7:7" hidden="1" x14ac:dyDescent="0.2">
      <c r="G395" s="401"/>
    </row>
    <row r="396" spans="7:7" hidden="1" x14ac:dyDescent="0.2">
      <c r="G396" s="401"/>
    </row>
    <row r="397" spans="7:7" hidden="1" x14ac:dyDescent="0.2">
      <c r="G397" s="401"/>
    </row>
    <row r="398" spans="7:7" hidden="1" x14ac:dyDescent="0.2">
      <c r="G398" s="401"/>
    </row>
    <row r="399" spans="7:7" hidden="1" x14ac:dyDescent="0.2">
      <c r="G399" s="401"/>
    </row>
    <row r="400" spans="7:7" hidden="1" x14ac:dyDescent="0.2">
      <c r="G400" s="401"/>
    </row>
    <row r="401" spans="7:7" hidden="1" x14ac:dyDescent="0.2">
      <c r="G401" s="401"/>
    </row>
    <row r="402" spans="7:7" hidden="1" x14ac:dyDescent="0.2">
      <c r="G402" s="401"/>
    </row>
    <row r="403" spans="7:7" hidden="1" x14ac:dyDescent="0.2">
      <c r="G403" s="401"/>
    </row>
    <row r="404" spans="7:7" hidden="1" x14ac:dyDescent="0.2">
      <c r="G404" s="401"/>
    </row>
    <row r="405" spans="7:7" hidden="1" x14ac:dyDescent="0.2">
      <c r="G405" s="401"/>
    </row>
    <row r="406" spans="7:7" hidden="1" x14ac:dyDescent="0.2">
      <c r="G406" s="401"/>
    </row>
    <row r="407" spans="7:7" hidden="1" x14ac:dyDescent="0.2">
      <c r="G407" s="401"/>
    </row>
    <row r="408" spans="7:7" hidden="1" x14ac:dyDescent="0.2">
      <c r="G408" s="401"/>
    </row>
    <row r="409" spans="7:7" hidden="1" x14ac:dyDescent="0.2">
      <c r="G409" s="401"/>
    </row>
    <row r="410" spans="7:7" hidden="1" x14ac:dyDescent="0.2">
      <c r="G410" s="401"/>
    </row>
    <row r="411" spans="7:7" hidden="1" x14ac:dyDescent="0.2">
      <c r="G411" s="401"/>
    </row>
    <row r="412" spans="7:7" hidden="1" x14ac:dyDescent="0.2">
      <c r="G412" s="401"/>
    </row>
    <row r="413" spans="7:7" hidden="1" x14ac:dyDescent="0.2">
      <c r="G413" s="401"/>
    </row>
    <row r="414" spans="7:7" hidden="1" x14ac:dyDescent="0.2">
      <c r="G414" s="401"/>
    </row>
    <row r="415" spans="7:7" hidden="1" x14ac:dyDescent="0.2">
      <c r="G415" s="401"/>
    </row>
    <row r="416" spans="7:7" hidden="1" x14ac:dyDescent="0.2">
      <c r="G416" s="401"/>
    </row>
    <row r="417" spans="7:7" hidden="1" x14ac:dyDescent="0.2">
      <c r="G417" s="401"/>
    </row>
    <row r="418" spans="7:7" hidden="1" x14ac:dyDescent="0.2">
      <c r="G418" s="401"/>
    </row>
    <row r="419" spans="7:7" hidden="1" x14ac:dyDescent="0.2">
      <c r="G419" s="401"/>
    </row>
    <row r="420" spans="7:7" hidden="1" x14ac:dyDescent="0.2">
      <c r="G420" s="401"/>
    </row>
    <row r="421" spans="7:7" hidden="1" x14ac:dyDescent="0.2">
      <c r="G421" s="401"/>
    </row>
    <row r="422" spans="7:7" hidden="1" x14ac:dyDescent="0.2">
      <c r="G422" s="401"/>
    </row>
    <row r="423" spans="7:7" hidden="1" x14ac:dyDescent="0.2">
      <c r="G423" s="401"/>
    </row>
    <row r="424" spans="7:7" hidden="1" x14ac:dyDescent="0.2">
      <c r="G424" s="401"/>
    </row>
    <row r="425" spans="7:7" hidden="1" x14ac:dyDescent="0.2">
      <c r="G425" s="401"/>
    </row>
    <row r="426" spans="7:7" hidden="1" x14ac:dyDescent="0.2">
      <c r="G426" s="401"/>
    </row>
    <row r="427" spans="7:7" hidden="1" x14ac:dyDescent="0.2">
      <c r="G427" s="401"/>
    </row>
    <row r="428" spans="7:7" hidden="1" x14ac:dyDescent="0.2">
      <c r="G428" s="401"/>
    </row>
    <row r="429" spans="7:7" hidden="1" x14ac:dyDescent="0.2">
      <c r="G429" s="401"/>
    </row>
    <row r="430" spans="7:7" hidden="1" x14ac:dyDescent="0.2">
      <c r="G430" s="401"/>
    </row>
    <row r="431" spans="7:7" hidden="1" x14ac:dyDescent="0.2">
      <c r="G431" s="401"/>
    </row>
    <row r="432" spans="7:7" hidden="1" x14ac:dyDescent="0.2">
      <c r="G432" s="401"/>
    </row>
    <row r="433" spans="7:7" hidden="1" x14ac:dyDescent="0.2">
      <c r="G433" s="401"/>
    </row>
    <row r="434" spans="7:7" hidden="1" x14ac:dyDescent="0.2">
      <c r="G434" s="401"/>
    </row>
    <row r="435" spans="7:7" hidden="1" x14ac:dyDescent="0.2">
      <c r="G435" s="401"/>
    </row>
    <row r="436" spans="7:7" hidden="1" x14ac:dyDescent="0.2">
      <c r="G436" s="401"/>
    </row>
    <row r="437" spans="7:7" hidden="1" x14ac:dyDescent="0.2">
      <c r="G437" s="401"/>
    </row>
    <row r="438" spans="7:7" hidden="1" x14ac:dyDescent="0.2">
      <c r="G438" s="401"/>
    </row>
    <row r="439" spans="7:7" hidden="1" x14ac:dyDescent="0.2">
      <c r="G439" s="401"/>
    </row>
    <row r="440" spans="7:7" hidden="1" x14ac:dyDescent="0.2">
      <c r="G440" s="401"/>
    </row>
    <row r="441" spans="7:7" hidden="1" x14ac:dyDescent="0.2">
      <c r="G441" s="401"/>
    </row>
    <row r="442" spans="7:7" hidden="1" x14ac:dyDescent="0.2">
      <c r="G442" s="401"/>
    </row>
    <row r="443" spans="7:7" hidden="1" x14ac:dyDescent="0.2">
      <c r="G443" s="401"/>
    </row>
    <row r="444" spans="7:7" hidden="1" x14ac:dyDescent="0.2">
      <c r="G444" s="401"/>
    </row>
    <row r="445" spans="7:7" hidden="1" x14ac:dyDescent="0.2">
      <c r="G445" s="401"/>
    </row>
    <row r="446" spans="7:7" hidden="1" x14ac:dyDescent="0.2">
      <c r="G446" s="401"/>
    </row>
    <row r="447" spans="7:7" hidden="1" x14ac:dyDescent="0.2">
      <c r="G447" s="401"/>
    </row>
    <row r="448" spans="7:7" hidden="1" x14ac:dyDescent="0.2">
      <c r="G448" s="401"/>
    </row>
    <row r="449" spans="7:7" hidden="1" x14ac:dyDescent="0.2">
      <c r="G449" s="401"/>
    </row>
    <row r="450" spans="7:7" hidden="1" x14ac:dyDescent="0.2">
      <c r="G450" s="401"/>
    </row>
    <row r="451" spans="7:7" hidden="1" x14ac:dyDescent="0.2">
      <c r="G451" s="401"/>
    </row>
    <row r="452" spans="7:7" hidden="1" x14ac:dyDescent="0.2">
      <c r="G452" s="401"/>
    </row>
    <row r="453" spans="7:7" hidden="1" x14ac:dyDescent="0.2">
      <c r="G453" s="401"/>
    </row>
    <row r="454" spans="7:7" hidden="1" x14ac:dyDescent="0.2">
      <c r="G454" s="401"/>
    </row>
    <row r="455" spans="7:7" hidden="1" x14ac:dyDescent="0.2">
      <c r="G455" s="401"/>
    </row>
    <row r="456" spans="7:7" hidden="1" x14ac:dyDescent="0.2">
      <c r="G456" s="401"/>
    </row>
    <row r="457" spans="7:7" hidden="1" x14ac:dyDescent="0.2">
      <c r="G457" s="401"/>
    </row>
    <row r="458" spans="7:7" hidden="1" x14ac:dyDescent="0.2">
      <c r="G458" s="401"/>
    </row>
    <row r="459" spans="7:7" hidden="1" x14ac:dyDescent="0.2">
      <c r="G459" s="401"/>
    </row>
    <row r="460" spans="7:7" hidden="1" x14ac:dyDescent="0.2">
      <c r="G460" s="401"/>
    </row>
    <row r="461" spans="7:7" hidden="1" x14ac:dyDescent="0.2">
      <c r="G461" s="401"/>
    </row>
    <row r="462" spans="7:7" hidden="1" x14ac:dyDescent="0.2">
      <c r="G462" s="401"/>
    </row>
    <row r="463" spans="7:7" hidden="1" x14ac:dyDescent="0.2">
      <c r="G463" s="401"/>
    </row>
    <row r="464" spans="7:7" hidden="1" x14ac:dyDescent="0.2">
      <c r="G464" s="401"/>
    </row>
    <row r="465" spans="7:7" hidden="1" x14ac:dyDescent="0.2">
      <c r="G465" s="401"/>
    </row>
    <row r="466" spans="7:7" hidden="1" x14ac:dyDescent="0.2">
      <c r="G466" s="401"/>
    </row>
    <row r="467" spans="7:7" hidden="1" x14ac:dyDescent="0.2">
      <c r="G467" s="401"/>
    </row>
    <row r="468" spans="7:7" hidden="1" x14ac:dyDescent="0.2">
      <c r="G468" s="401"/>
    </row>
    <row r="469" spans="7:7" hidden="1" x14ac:dyDescent="0.2">
      <c r="G469" s="401"/>
    </row>
    <row r="470" spans="7:7" hidden="1" x14ac:dyDescent="0.2">
      <c r="G470" s="401"/>
    </row>
    <row r="471" spans="7:7" hidden="1" x14ac:dyDescent="0.2">
      <c r="G471" s="401"/>
    </row>
    <row r="472" spans="7:7" hidden="1" x14ac:dyDescent="0.2">
      <c r="G472" s="401"/>
    </row>
    <row r="473" spans="7:7" hidden="1" x14ac:dyDescent="0.2">
      <c r="G473" s="401"/>
    </row>
    <row r="474" spans="7:7" hidden="1" x14ac:dyDescent="0.2">
      <c r="G474" s="401"/>
    </row>
    <row r="475" spans="7:7" hidden="1" x14ac:dyDescent="0.2">
      <c r="G475" s="401"/>
    </row>
    <row r="476" spans="7:7" hidden="1" x14ac:dyDescent="0.2">
      <c r="G476" s="401"/>
    </row>
    <row r="477" spans="7:7" hidden="1" x14ac:dyDescent="0.2">
      <c r="G477" s="401"/>
    </row>
    <row r="478" spans="7:7" hidden="1" x14ac:dyDescent="0.2">
      <c r="G478" s="401"/>
    </row>
    <row r="479" spans="7:7" hidden="1" x14ac:dyDescent="0.2">
      <c r="G479" s="401"/>
    </row>
    <row r="480" spans="7:7" hidden="1" x14ac:dyDescent="0.2">
      <c r="G480" s="401"/>
    </row>
    <row r="481" spans="7:7" hidden="1" x14ac:dyDescent="0.2">
      <c r="G481" s="401"/>
    </row>
    <row r="482" spans="7:7" hidden="1" x14ac:dyDescent="0.2">
      <c r="G482" s="401"/>
    </row>
    <row r="483" spans="7:7" hidden="1" x14ac:dyDescent="0.2">
      <c r="G483" s="401"/>
    </row>
    <row r="484" spans="7:7" hidden="1" x14ac:dyDescent="0.2">
      <c r="G484" s="401"/>
    </row>
    <row r="485" spans="7:7" hidden="1" x14ac:dyDescent="0.2">
      <c r="G485" s="401"/>
    </row>
    <row r="486" spans="7:7" hidden="1" x14ac:dyDescent="0.2">
      <c r="G486" s="401"/>
    </row>
    <row r="487" spans="7:7" hidden="1" x14ac:dyDescent="0.2">
      <c r="G487" s="401"/>
    </row>
    <row r="488" spans="7:7" hidden="1" x14ac:dyDescent="0.2">
      <c r="G488" s="401"/>
    </row>
    <row r="489" spans="7:7" hidden="1" x14ac:dyDescent="0.2">
      <c r="G489" s="401"/>
    </row>
    <row r="490" spans="7:7" hidden="1" x14ac:dyDescent="0.2">
      <c r="G490" s="401"/>
    </row>
    <row r="491" spans="7:7" hidden="1" x14ac:dyDescent="0.2">
      <c r="G491" s="401"/>
    </row>
    <row r="492" spans="7:7" hidden="1" x14ac:dyDescent="0.2">
      <c r="G492" s="401"/>
    </row>
    <row r="493" spans="7:7" hidden="1" x14ac:dyDescent="0.2">
      <c r="G493" s="401"/>
    </row>
    <row r="494" spans="7:7" hidden="1" x14ac:dyDescent="0.2">
      <c r="G494" s="401"/>
    </row>
    <row r="495" spans="7:7" hidden="1" x14ac:dyDescent="0.2">
      <c r="G495" s="401"/>
    </row>
    <row r="496" spans="7:7" hidden="1" x14ac:dyDescent="0.2">
      <c r="G496" s="401"/>
    </row>
    <row r="497" spans="7:7" hidden="1" x14ac:dyDescent="0.2">
      <c r="G497" s="401"/>
    </row>
    <row r="498" spans="7:7" hidden="1" x14ac:dyDescent="0.2">
      <c r="G498" s="401"/>
    </row>
    <row r="499" spans="7:7" hidden="1" x14ac:dyDescent="0.2">
      <c r="G499" s="401"/>
    </row>
    <row r="500" spans="7:7" hidden="1" x14ac:dyDescent="0.2">
      <c r="G500" s="401"/>
    </row>
    <row r="501" spans="7:7" hidden="1" x14ac:dyDescent="0.2">
      <c r="G501" s="401"/>
    </row>
    <row r="502" spans="7:7" hidden="1" x14ac:dyDescent="0.2">
      <c r="G502" s="401"/>
    </row>
    <row r="503" spans="7:7" hidden="1" x14ac:dyDescent="0.2">
      <c r="G503" s="401"/>
    </row>
    <row r="504" spans="7:7" hidden="1" x14ac:dyDescent="0.2">
      <c r="G504" s="401"/>
    </row>
    <row r="505" spans="7:7" hidden="1" x14ac:dyDescent="0.2">
      <c r="G505" s="401"/>
    </row>
    <row r="506" spans="7:7" hidden="1" x14ac:dyDescent="0.2">
      <c r="G506" s="401"/>
    </row>
    <row r="507" spans="7:7" hidden="1" x14ac:dyDescent="0.2">
      <c r="G507" s="401"/>
    </row>
    <row r="508" spans="7:7" hidden="1" x14ac:dyDescent="0.2">
      <c r="G508" s="401"/>
    </row>
    <row r="509" spans="7:7" hidden="1" x14ac:dyDescent="0.2">
      <c r="G509" s="401"/>
    </row>
    <row r="510" spans="7:7" hidden="1" x14ac:dyDescent="0.2">
      <c r="G510" s="401"/>
    </row>
    <row r="511" spans="7:7" hidden="1" x14ac:dyDescent="0.2">
      <c r="G511" s="401"/>
    </row>
    <row r="512" spans="7:7" hidden="1" x14ac:dyDescent="0.2">
      <c r="G512" s="401"/>
    </row>
    <row r="513" spans="7:7" hidden="1" x14ac:dyDescent="0.2">
      <c r="G513" s="401"/>
    </row>
    <row r="514" spans="7:7" hidden="1" x14ac:dyDescent="0.2">
      <c r="G514" s="401"/>
    </row>
    <row r="515" spans="7:7" hidden="1" x14ac:dyDescent="0.2">
      <c r="G515" s="401"/>
    </row>
    <row r="516" spans="7:7" hidden="1" x14ac:dyDescent="0.2">
      <c r="G516" s="401"/>
    </row>
    <row r="517" spans="7:7" hidden="1" x14ac:dyDescent="0.2">
      <c r="G517" s="401"/>
    </row>
    <row r="518" spans="7:7" hidden="1" x14ac:dyDescent="0.2">
      <c r="G518" s="401"/>
    </row>
    <row r="519" spans="7:7" hidden="1" x14ac:dyDescent="0.2">
      <c r="G519" s="401"/>
    </row>
    <row r="520" spans="7:7" hidden="1" x14ac:dyDescent="0.2">
      <c r="G520" s="401"/>
    </row>
    <row r="521" spans="7:7" hidden="1" x14ac:dyDescent="0.2">
      <c r="G521" s="401"/>
    </row>
    <row r="522" spans="7:7" hidden="1" x14ac:dyDescent="0.2">
      <c r="G522" s="401"/>
    </row>
    <row r="523" spans="7:7" hidden="1" x14ac:dyDescent="0.2">
      <c r="G523" s="401"/>
    </row>
    <row r="524" spans="7:7" hidden="1" x14ac:dyDescent="0.2">
      <c r="G524" s="401"/>
    </row>
    <row r="525" spans="7:7" hidden="1" x14ac:dyDescent="0.2">
      <c r="G525" s="401"/>
    </row>
    <row r="526" spans="7:7" hidden="1" x14ac:dyDescent="0.2">
      <c r="G526" s="401"/>
    </row>
    <row r="527" spans="7:7" hidden="1" x14ac:dyDescent="0.2">
      <c r="G527" s="401"/>
    </row>
    <row r="528" spans="7:7" hidden="1" x14ac:dyDescent="0.2">
      <c r="G528" s="401"/>
    </row>
    <row r="529" spans="7:7" hidden="1" x14ac:dyDescent="0.2">
      <c r="G529" s="401"/>
    </row>
    <row r="530" spans="7:7" hidden="1" x14ac:dyDescent="0.2">
      <c r="G530" s="401"/>
    </row>
    <row r="531" spans="7:7" hidden="1" x14ac:dyDescent="0.2">
      <c r="G531" s="401"/>
    </row>
    <row r="532" spans="7:7" hidden="1" x14ac:dyDescent="0.2">
      <c r="G532" s="401"/>
    </row>
    <row r="533" spans="7:7" hidden="1" x14ac:dyDescent="0.2">
      <c r="G533" s="401"/>
    </row>
    <row r="534" spans="7:7" hidden="1" x14ac:dyDescent="0.2">
      <c r="G534" s="401"/>
    </row>
    <row r="535" spans="7:7" hidden="1" x14ac:dyDescent="0.2">
      <c r="G535" s="401"/>
    </row>
    <row r="536" spans="7:7" hidden="1" x14ac:dyDescent="0.2">
      <c r="G536" s="401"/>
    </row>
    <row r="537" spans="7:7" hidden="1" x14ac:dyDescent="0.2">
      <c r="G537" s="401"/>
    </row>
    <row r="538" spans="7:7" hidden="1" x14ac:dyDescent="0.2">
      <c r="G538" s="401"/>
    </row>
    <row r="539" spans="7:7" hidden="1" x14ac:dyDescent="0.2">
      <c r="G539" s="401"/>
    </row>
    <row r="540" spans="7:7" hidden="1" x14ac:dyDescent="0.2">
      <c r="G540" s="401"/>
    </row>
    <row r="541" spans="7:7" hidden="1" x14ac:dyDescent="0.2">
      <c r="G541" s="401"/>
    </row>
    <row r="542" spans="7:7" hidden="1" x14ac:dyDescent="0.2">
      <c r="G542" s="401"/>
    </row>
    <row r="543" spans="7:7" hidden="1" x14ac:dyDescent="0.2">
      <c r="G543" s="401"/>
    </row>
    <row r="544" spans="7:7" hidden="1" x14ac:dyDescent="0.2">
      <c r="G544" s="401"/>
    </row>
    <row r="545" spans="7:7" hidden="1" x14ac:dyDescent="0.2">
      <c r="G545" s="401"/>
    </row>
    <row r="546" spans="7:7" hidden="1" x14ac:dyDescent="0.2">
      <c r="G546" s="401"/>
    </row>
    <row r="547" spans="7:7" hidden="1" x14ac:dyDescent="0.2">
      <c r="G547" s="401"/>
    </row>
    <row r="548" spans="7:7" hidden="1" x14ac:dyDescent="0.2">
      <c r="G548" s="401"/>
    </row>
    <row r="549" spans="7:7" hidden="1" x14ac:dyDescent="0.2">
      <c r="G549" s="401"/>
    </row>
    <row r="550" spans="7:7" hidden="1" x14ac:dyDescent="0.2">
      <c r="G550" s="401"/>
    </row>
    <row r="551" spans="7:7" hidden="1" x14ac:dyDescent="0.2">
      <c r="G551" s="401"/>
    </row>
    <row r="552" spans="7:7" hidden="1" x14ac:dyDescent="0.2">
      <c r="G552" s="401"/>
    </row>
    <row r="553" spans="7:7" hidden="1" x14ac:dyDescent="0.2">
      <c r="G553" s="401"/>
    </row>
    <row r="554" spans="7:7" hidden="1" x14ac:dyDescent="0.2">
      <c r="G554" s="401"/>
    </row>
    <row r="555" spans="7:7" hidden="1" x14ac:dyDescent="0.2">
      <c r="G555" s="401"/>
    </row>
    <row r="556" spans="7:7" hidden="1" x14ac:dyDescent="0.2">
      <c r="G556" s="401"/>
    </row>
    <row r="557" spans="7:7" hidden="1" x14ac:dyDescent="0.2">
      <c r="G557" s="401"/>
    </row>
    <row r="558" spans="7:7" hidden="1" x14ac:dyDescent="0.2">
      <c r="G558" s="401"/>
    </row>
    <row r="559" spans="7:7" hidden="1" x14ac:dyDescent="0.2">
      <c r="G559" s="401"/>
    </row>
    <row r="560" spans="7:7" hidden="1" x14ac:dyDescent="0.2">
      <c r="G560" s="401"/>
    </row>
    <row r="561" spans="7:7" hidden="1" x14ac:dyDescent="0.2">
      <c r="G561" s="401"/>
    </row>
    <row r="562" spans="7:7" hidden="1" x14ac:dyDescent="0.2">
      <c r="G562" s="401"/>
    </row>
    <row r="563" spans="7:7" hidden="1" x14ac:dyDescent="0.2">
      <c r="G563" s="401"/>
    </row>
    <row r="564" spans="7:7" hidden="1" x14ac:dyDescent="0.2">
      <c r="G564" s="401"/>
    </row>
    <row r="565" spans="7:7" hidden="1" x14ac:dyDescent="0.2">
      <c r="G565" s="401"/>
    </row>
    <row r="566" spans="7:7" hidden="1" x14ac:dyDescent="0.2">
      <c r="G566" s="401"/>
    </row>
    <row r="567" spans="7:7" hidden="1" x14ac:dyDescent="0.2">
      <c r="G567" s="401"/>
    </row>
    <row r="568" spans="7:7" hidden="1" x14ac:dyDescent="0.2">
      <c r="G568" s="401"/>
    </row>
    <row r="569" spans="7:7" hidden="1" x14ac:dyDescent="0.2">
      <c r="G569" s="401"/>
    </row>
    <row r="570" spans="7:7" hidden="1" x14ac:dyDescent="0.2">
      <c r="G570" s="401"/>
    </row>
    <row r="571" spans="7:7" hidden="1" x14ac:dyDescent="0.2">
      <c r="G571" s="401"/>
    </row>
    <row r="572" spans="7:7" hidden="1" x14ac:dyDescent="0.2">
      <c r="G572" s="401"/>
    </row>
    <row r="573" spans="7:7" hidden="1" x14ac:dyDescent="0.2">
      <c r="G573" s="401"/>
    </row>
    <row r="574" spans="7:7" hidden="1" x14ac:dyDescent="0.2">
      <c r="G574" s="401"/>
    </row>
    <row r="575" spans="7:7" hidden="1" x14ac:dyDescent="0.2">
      <c r="G575" s="401"/>
    </row>
    <row r="576" spans="7:7" hidden="1" x14ac:dyDescent="0.2">
      <c r="G576" s="401"/>
    </row>
    <row r="577" spans="7:7" hidden="1" x14ac:dyDescent="0.2">
      <c r="G577" s="401"/>
    </row>
    <row r="578" spans="7:7" hidden="1" x14ac:dyDescent="0.2">
      <c r="G578" s="401"/>
    </row>
    <row r="579" spans="7:7" hidden="1" x14ac:dyDescent="0.2">
      <c r="G579" s="401"/>
    </row>
    <row r="580" spans="7:7" hidden="1" x14ac:dyDescent="0.2">
      <c r="G580" s="401"/>
    </row>
    <row r="581" spans="7:7" hidden="1" x14ac:dyDescent="0.2">
      <c r="G581" s="401"/>
    </row>
    <row r="582" spans="7:7" hidden="1" x14ac:dyDescent="0.2">
      <c r="G582" s="401"/>
    </row>
    <row r="583" spans="7:7" hidden="1" x14ac:dyDescent="0.2">
      <c r="G583" s="401"/>
    </row>
    <row r="584" spans="7:7" hidden="1" x14ac:dyDescent="0.2">
      <c r="G584" s="401"/>
    </row>
    <row r="585" spans="7:7" hidden="1" x14ac:dyDescent="0.2">
      <c r="G585" s="401"/>
    </row>
    <row r="586" spans="7:7" hidden="1" x14ac:dyDescent="0.2">
      <c r="G586" s="401"/>
    </row>
    <row r="587" spans="7:7" hidden="1" x14ac:dyDescent="0.2">
      <c r="G587" s="401"/>
    </row>
    <row r="588" spans="7:7" hidden="1" x14ac:dyDescent="0.2">
      <c r="G588" s="401"/>
    </row>
    <row r="589" spans="7:7" hidden="1" x14ac:dyDescent="0.2">
      <c r="G589" s="401"/>
    </row>
    <row r="590" spans="7:7" hidden="1" x14ac:dyDescent="0.2">
      <c r="G590" s="401"/>
    </row>
    <row r="591" spans="7:7" hidden="1" x14ac:dyDescent="0.2">
      <c r="G591" s="401"/>
    </row>
    <row r="592" spans="7:7" hidden="1" x14ac:dyDescent="0.2">
      <c r="G592" s="401"/>
    </row>
    <row r="593" spans="7:7" hidden="1" x14ac:dyDescent="0.2">
      <c r="G593" s="401"/>
    </row>
    <row r="594" spans="7:7" hidden="1" x14ac:dyDescent="0.2">
      <c r="G594" s="401"/>
    </row>
    <row r="595" spans="7:7" hidden="1" x14ac:dyDescent="0.2">
      <c r="G595" s="401"/>
    </row>
    <row r="596" spans="7:7" hidden="1" x14ac:dyDescent="0.2">
      <c r="G596" s="401"/>
    </row>
    <row r="597" spans="7:7" hidden="1" x14ac:dyDescent="0.2">
      <c r="G597" s="401"/>
    </row>
    <row r="598" spans="7:7" hidden="1" x14ac:dyDescent="0.2">
      <c r="G598" s="401"/>
    </row>
    <row r="599" spans="7:7" hidden="1" x14ac:dyDescent="0.2">
      <c r="G599" s="401"/>
    </row>
    <row r="600" spans="7:7" hidden="1" x14ac:dyDescent="0.2">
      <c r="G600" s="401"/>
    </row>
    <row r="601" spans="7:7" hidden="1" x14ac:dyDescent="0.2">
      <c r="G601" s="401"/>
    </row>
    <row r="602" spans="7:7" hidden="1" x14ac:dyDescent="0.2">
      <c r="G602" s="401"/>
    </row>
    <row r="603" spans="7:7" hidden="1" x14ac:dyDescent="0.2">
      <c r="G603" s="401"/>
    </row>
    <row r="604" spans="7:7" hidden="1" x14ac:dyDescent="0.2">
      <c r="G604" s="401"/>
    </row>
    <row r="605" spans="7:7" hidden="1" x14ac:dyDescent="0.2">
      <c r="G605" s="401"/>
    </row>
    <row r="606" spans="7:7" hidden="1" x14ac:dyDescent="0.2">
      <c r="G606" s="401"/>
    </row>
    <row r="607" spans="7:7" hidden="1" x14ac:dyDescent="0.2">
      <c r="G607" s="401"/>
    </row>
    <row r="608" spans="7:7" hidden="1" x14ac:dyDescent="0.2">
      <c r="G608" s="401"/>
    </row>
    <row r="609" spans="7:7" hidden="1" x14ac:dyDescent="0.2">
      <c r="G609" s="401"/>
    </row>
    <row r="610" spans="7:7" hidden="1" x14ac:dyDescent="0.2">
      <c r="G610" s="401"/>
    </row>
    <row r="611" spans="7:7" hidden="1" x14ac:dyDescent="0.2">
      <c r="G611" s="401"/>
    </row>
    <row r="612" spans="7:7" hidden="1" x14ac:dyDescent="0.2">
      <c r="G612" s="401"/>
    </row>
    <row r="613" spans="7:7" hidden="1" x14ac:dyDescent="0.2">
      <c r="G613" s="401"/>
    </row>
    <row r="614" spans="7:7" hidden="1" x14ac:dyDescent="0.2">
      <c r="G614" s="401"/>
    </row>
    <row r="615" spans="7:7" hidden="1" x14ac:dyDescent="0.2">
      <c r="G615" s="401"/>
    </row>
    <row r="616" spans="7:7" hidden="1" x14ac:dyDescent="0.2">
      <c r="G616" s="401"/>
    </row>
    <row r="617" spans="7:7" hidden="1" x14ac:dyDescent="0.2">
      <c r="G617" s="401"/>
    </row>
    <row r="618" spans="7:7" hidden="1" x14ac:dyDescent="0.2">
      <c r="G618" s="401"/>
    </row>
    <row r="619" spans="7:7" hidden="1" x14ac:dyDescent="0.2">
      <c r="G619" s="401"/>
    </row>
    <row r="620" spans="7:7" hidden="1" x14ac:dyDescent="0.2">
      <c r="G620" s="401"/>
    </row>
    <row r="621" spans="7:7" hidden="1" x14ac:dyDescent="0.2">
      <c r="G621" s="401"/>
    </row>
    <row r="622" spans="7:7" hidden="1" x14ac:dyDescent="0.2">
      <c r="G622" s="401"/>
    </row>
    <row r="623" spans="7:7" hidden="1" x14ac:dyDescent="0.2">
      <c r="G623" s="401"/>
    </row>
    <row r="624" spans="7:7" hidden="1" x14ac:dyDescent="0.2">
      <c r="G624" s="401"/>
    </row>
    <row r="625" spans="7:7" hidden="1" x14ac:dyDescent="0.2">
      <c r="G625" s="401"/>
    </row>
    <row r="626" spans="7:7" hidden="1" x14ac:dyDescent="0.2">
      <c r="G626" s="401"/>
    </row>
    <row r="627" spans="7:7" hidden="1" x14ac:dyDescent="0.2">
      <c r="G627" s="401"/>
    </row>
    <row r="628" spans="7:7" hidden="1" x14ac:dyDescent="0.2">
      <c r="G628" s="401"/>
    </row>
    <row r="629" spans="7:7" hidden="1" x14ac:dyDescent="0.2">
      <c r="G629" s="401"/>
    </row>
    <row r="630" spans="7:7" hidden="1" x14ac:dyDescent="0.2">
      <c r="G630" s="401"/>
    </row>
    <row r="631" spans="7:7" hidden="1" x14ac:dyDescent="0.2">
      <c r="G631" s="401"/>
    </row>
    <row r="632" spans="7:7" hidden="1" x14ac:dyDescent="0.2">
      <c r="G632" s="401"/>
    </row>
    <row r="633" spans="7:7" hidden="1" x14ac:dyDescent="0.2">
      <c r="G633" s="401"/>
    </row>
    <row r="634" spans="7:7" hidden="1" x14ac:dyDescent="0.2">
      <c r="G634" s="401"/>
    </row>
    <row r="635" spans="7:7" hidden="1" x14ac:dyDescent="0.2">
      <c r="G635" s="401"/>
    </row>
    <row r="636" spans="7:7" hidden="1" x14ac:dyDescent="0.2">
      <c r="G636" s="401"/>
    </row>
    <row r="637" spans="7:7" hidden="1" x14ac:dyDescent="0.2">
      <c r="G637" s="401"/>
    </row>
    <row r="638" spans="7:7" hidden="1" x14ac:dyDescent="0.2">
      <c r="G638" s="401"/>
    </row>
    <row r="639" spans="7:7" hidden="1" x14ac:dyDescent="0.2">
      <c r="G639" s="401"/>
    </row>
    <row r="640" spans="7:7" hidden="1" x14ac:dyDescent="0.2">
      <c r="G640" s="401"/>
    </row>
    <row r="641" spans="7:7" hidden="1" x14ac:dyDescent="0.2">
      <c r="G641" s="401"/>
    </row>
    <row r="642" spans="7:7" hidden="1" x14ac:dyDescent="0.2">
      <c r="G642" s="401"/>
    </row>
    <row r="643" spans="7:7" hidden="1" x14ac:dyDescent="0.2">
      <c r="G643" s="401"/>
    </row>
    <row r="644" spans="7:7" hidden="1" x14ac:dyDescent="0.2">
      <c r="G644" s="401"/>
    </row>
    <row r="645" spans="7:7" hidden="1" x14ac:dyDescent="0.2">
      <c r="G645" s="401"/>
    </row>
    <row r="646" spans="7:7" hidden="1" x14ac:dyDescent="0.2">
      <c r="G646" s="401"/>
    </row>
    <row r="647" spans="7:7" hidden="1" x14ac:dyDescent="0.2">
      <c r="G647" s="401"/>
    </row>
    <row r="648" spans="7:7" hidden="1" x14ac:dyDescent="0.2">
      <c r="G648" s="401"/>
    </row>
    <row r="649" spans="7:7" hidden="1" x14ac:dyDescent="0.2">
      <c r="G649" s="401"/>
    </row>
    <row r="650" spans="7:7" hidden="1" x14ac:dyDescent="0.2">
      <c r="G650" s="401"/>
    </row>
    <row r="651" spans="7:7" hidden="1" x14ac:dyDescent="0.2">
      <c r="G651" s="401"/>
    </row>
    <row r="652" spans="7:7" hidden="1" x14ac:dyDescent="0.2">
      <c r="G652" s="401"/>
    </row>
    <row r="653" spans="7:7" hidden="1" x14ac:dyDescent="0.2">
      <c r="G653" s="401"/>
    </row>
    <row r="654" spans="7:7" hidden="1" x14ac:dyDescent="0.2">
      <c r="G654" s="401"/>
    </row>
    <row r="655" spans="7:7" hidden="1" x14ac:dyDescent="0.2">
      <c r="G655" s="401"/>
    </row>
    <row r="656" spans="7:7" hidden="1" x14ac:dyDescent="0.2">
      <c r="G656" s="401"/>
    </row>
    <row r="657" spans="7:7" hidden="1" x14ac:dyDescent="0.2">
      <c r="G657" s="401"/>
    </row>
    <row r="658" spans="7:7" hidden="1" x14ac:dyDescent="0.2">
      <c r="G658" s="401"/>
    </row>
    <row r="659" spans="7:7" hidden="1" x14ac:dyDescent="0.2">
      <c r="G659" s="401"/>
    </row>
    <row r="660" spans="7:7" hidden="1" x14ac:dyDescent="0.2">
      <c r="G660" s="401"/>
    </row>
    <row r="661" spans="7:7" hidden="1" x14ac:dyDescent="0.2">
      <c r="G661" s="401"/>
    </row>
    <row r="662" spans="7:7" hidden="1" x14ac:dyDescent="0.2">
      <c r="G662" s="401"/>
    </row>
    <row r="663" spans="7:7" hidden="1" x14ac:dyDescent="0.2">
      <c r="G663" s="401"/>
    </row>
    <row r="664" spans="7:7" hidden="1" x14ac:dyDescent="0.2">
      <c r="G664" s="401"/>
    </row>
    <row r="665" spans="7:7" hidden="1" x14ac:dyDescent="0.2">
      <c r="G665" s="401"/>
    </row>
    <row r="666" spans="7:7" hidden="1" x14ac:dyDescent="0.2">
      <c r="G666" s="401"/>
    </row>
    <row r="667" spans="7:7" hidden="1" x14ac:dyDescent="0.2">
      <c r="G667" s="401"/>
    </row>
    <row r="668" spans="7:7" hidden="1" x14ac:dyDescent="0.2">
      <c r="G668" s="401"/>
    </row>
    <row r="669" spans="7:7" hidden="1" x14ac:dyDescent="0.2">
      <c r="G669" s="401"/>
    </row>
    <row r="670" spans="7:7" hidden="1" x14ac:dyDescent="0.2">
      <c r="G670" s="401"/>
    </row>
    <row r="671" spans="7:7" hidden="1" x14ac:dyDescent="0.2">
      <c r="G671" s="401"/>
    </row>
    <row r="672" spans="7:7" hidden="1" x14ac:dyDescent="0.2">
      <c r="G672" s="401"/>
    </row>
    <row r="673" spans="7:7" hidden="1" x14ac:dyDescent="0.2">
      <c r="G673" s="401"/>
    </row>
    <row r="674" spans="7:7" hidden="1" x14ac:dyDescent="0.2">
      <c r="G674" s="401"/>
    </row>
    <row r="675" spans="7:7" hidden="1" x14ac:dyDescent="0.2">
      <c r="G675" s="401"/>
    </row>
    <row r="676" spans="7:7" hidden="1" x14ac:dyDescent="0.2">
      <c r="G676" s="401"/>
    </row>
    <row r="677" spans="7:7" hidden="1" x14ac:dyDescent="0.2">
      <c r="G677" s="401"/>
    </row>
    <row r="678" spans="7:7" hidden="1" x14ac:dyDescent="0.2">
      <c r="G678" s="401"/>
    </row>
    <row r="679" spans="7:7" hidden="1" x14ac:dyDescent="0.2">
      <c r="G679" s="401"/>
    </row>
    <row r="680" spans="7:7" hidden="1" x14ac:dyDescent="0.2">
      <c r="G680" s="401"/>
    </row>
    <row r="681" spans="7:7" hidden="1" x14ac:dyDescent="0.2">
      <c r="G681" s="401"/>
    </row>
    <row r="682" spans="7:7" hidden="1" x14ac:dyDescent="0.2">
      <c r="G682" s="401"/>
    </row>
    <row r="683" spans="7:7" hidden="1" x14ac:dyDescent="0.2">
      <c r="G683" s="401"/>
    </row>
    <row r="684" spans="7:7" hidden="1" x14ac:dyDescent="0.2">
      <c r="G684" s="401"/>
    </row>
    <row r="685" spans="7:7" hidden="1" x14ac:dyDescent="0.2">
      <c r="G685" s="401"/>
    </row>
    <row r="686" spans="7:7" hidden="1" x14ac:dyDescent="0.2">
      <c r="G686" s="401"/>
    </row>
    <row r="687" spans="7:7" hidden="1" x14ac:dyDescent="0.2">
      <c r="G687" s="401"/>
    </row>
    <row r="688" spans="7:7" hidden="1" x14ac:dyDescent="0.2">
      <c r="G688" s="401"/>
    </row>
    <row r="689" spans="7:7" hidden="1" x14ac:dyDescent="0.2">
      <c r="G689" s="401"/>
    </row>
    <row r="690" spans="7:7" hidden="1" x14ac:dyDescent="0.2">
      <c r="G690" s="401"/>
    </row>
    <row r="691" spans="7:7" hidden="1" x14ac:dyDescent="0.2">
      <c r="G691" s="401"/>
    </row>
    <row r="692" spans="7:7" hidden="1" x14ac:dyDescent="0.2">
      <c r="G692" s="401"/>
    </row>
    <row r="693" spans="7:7" hidden="1" x14ac:dyDescent="0.2">
      <c r="G693" s="401"/>
    </row>
    <row r="694" spans="7:7" hidden="1" x14ac:dyDescent="0.2">
      <c r="G694" s="401"/>
    </row>
    <row r="695" spans="7:7" hidden="1" x14ac:dyDescent="0.2">
      <c r="G695" s="401"/>
    </row>
    <row r="696" spans="7:7" hidden="1" x14ac:dyDescent="0.2">
      <c r="G696" s="401"/>
    </row>
    <row r="697" spans="7:7" hidden="1" x14ac:dyDescent="0.2">
      <c r="G697" s="401"/>
    </row>
    <row r="698" spans="7:7" hidden="1" x14ac:dyDescent="0.2">
      <c r="G698" s="401"/>
    </row>
    <row r="699" spans="7:7" hidden="1" x14ac:dyDescent="0.2">
      <c r="G699" s="401"/>
    </row>
    <row r="700" spans="7:7" hidden="1" x14ac:dyDescent="0.2">
      <c r="G700" s="401"/>
    </row>
    <row r="701" spans="7:7" hidden="1" x14ac:dyDescent="0.2">
      <c r="G701" s="401"/>
    </row>
    <row r="702" spans="7:7" hidden="1" x14ac:dyDescent="0.2">
      <c r="G702" s="401"/>
    </row>
    <row r="703" spans="7:7" hidden="1" x14ac:dyDescent="0.2">
      <c r="G703" s="401"/>
    </row>
    <row r="704" spans="7:7" hidden="1" x14ac:dyDescent="0.2">
      <c r="G704" s="401"/>
    </row>
    <row r="705" spans="7:7" hidden="1" x14ac:dyDescent="0.2">
      <c r="G705" s="401"/>
    </row>
    <row r="706" spans="7:7" hidden="1" x14ac:dyDescent="0.2">
      <c r="G706" s="401"/>
    </row>
    <row r="707" spans="7:7" hidden="1" x14ac:dyDescent="0.2">
      <c r="G707" s="401"/>
    </row>
    <row r="708" spans="7:7" hidden="1" x14ac:dyDescent="0.2">
      <c r="G708" s="401"/>
    </row>
    <row r="709" spans="7:7" hidden="1" x14ac:dyDescent="0.2">
      <c r="G709" s="401"/>
    </row>
    <row r="710" spans="7:7" hidden="1" x14ac:dyDescent="0.2">
      <c r="G710" s="401"/>
    </row>
    <row r="711" spans="7:7" hidden="1" x14ac:dyDescent="0.2">
      <c r="G711" s="401"/>
    </row>
    <row r="712" spans="7:7" hidden="1" x14ac:dyDescent="0.2">
      <c r="G712" s="401"/>
    </row>
    <row r="713" spans="7:7" hidden="1" x14ac:dyDescent="0.2">
      <c r="G713" s="401"/>
    </row>
    <row r="714" spans="7:7" hidden="1" x14ac:dyDescent="0.2">
      <c r="G714" s="401"/>
    </row>
    <row r="715" spans="7:7" hidden="1" x14ac:dyDescent="0.2">
      <c r="G715" s="401"/>
    </row>
    <row r="716" spans="7:7" hidden="1" x14ac:dyDescent="0.2">
      <c r="G716" s="401"/>
    </row>
    <row r="717" spans="7:7" hidden="1" x14ac:dyDescent="0.2">
      <c r="G717" s="401"/>
    </row>
    <row r="718" spans="7:7" hidden="1" x14ac:dyDescent="0.2">
      <c r="G718" s="401"/>
    </row>
    <row r="719" spans="7:7" hidden="1" x14ac:dyDescent="0.2">
      <c r="G719" s="401"/>
    </row>
    <row r="720" spans="7:7" hidden="1" x14ac:dyDescent="0.2">
      <c r="G720" s="401"/>
    </row>
    <row r="721" spans="7:7" hidden="1" x14ac:dyDescent="0.2">
      <c r="G721" s="401"/>
    </row>
    <row r="722" spans="7:7" hidden="1" x14ac:dyDescent="0.2">
      <c r="G722" s="401"/>
    </row>
    <row r="723" spans="7:7" hidden="1" x14ac:dyDescent="0.2">
      <c r="G723" s="401"/>
    </row>
    <row r="724" spans="7:7" hidden="1" x14ac:dyDescent="0.2">
      <c r="G724" s="401"/>
    </row>
    <row r="725" spans="7:7" hidden="1" x14ac:dyDescent="0.2">
      <c r="G725" s="401"/>
    </row>
    <row r="726" spans="7:7" hidden="1" x14ac:dyDescent="0.2">
      <c r="G726" s="401"/>
    </row>
    <row r="727" spans="7:7" hidden="1" x14ac:dyDescent="0.2">
      <c r="G727" s="401"/>
    </row>
    <row r="728" spans="7:7" hidden="1" x14ac:dyDescent="0.2">
      <c r="G728" s="401"/>
    </row>
    <row r="729" spans="7:7" hidden="1" x14ac:dyDescent="0.2">
      <c r="G729" s="401"/>
    </row>
    <row r="730" spans="7:7" hidden="1" x14ac:dyDescent="0.2">
      <c r="G730" s="401"/>
    </row>
    <row r="731" spans="7:7" hidden="1" x14ac:dyDescent="0.2">
      <c r="G731" s="401"/>
    </row>
    <row r="732" spans="7:7" hidden="1" x14ac:dyDescent="0.2">
      <c r="G732" s="401"/>
    </row>
    <row r="733" spans="7:7" hidden="1" x14ac:dyDescent="0.2">
      <c r="G733" s="401"/>
    </row>
    <row r="734" spans="7:7" hidden="1" x14ac:dyDescent="0.2">
      <c r="G734" s="401"/>
    </row>
    <row r="735" spans="7:7" hidden="1" x14ac:dyDescent="0.2">
      <c r="G735" s="401"/>
    </row>
    <row r="736" spans="7:7" hidden="1" x14ac:dyDescent="0.2">
      <c r="G736" s="401"/>
    </row>
    <row r="737" spans="7:7" hidden="1" x14ac:dyDescent="0.2">
      <c r="G737" s="401"/>
    </row>
    <row r="738" spans="7:7" hidden="1" x14ac:dyDescent="0.2">
      <c r="G738" s="401"/>
    </row>
    <row r="739" spans="7:7" hidden="1" x14ac:dyDescent="0.2">
      <c r="G739" s="401"/>
    </row>
    <row r="740" spans="7:7" hidden="1" x14ac:dyDescent="0.2">
      <c r="G740" s="401"/>
    </row>
    <row r="741" spans="7:7" hidden="1" x14ac:dyDescent="0.2">
      <c r="G741" s="401"/>
    </row>
    <row r="742" spans="7:7" hidden="1" x14ac:dyDescent="0.2">
      <c r="G742" s="401"/>
    </row>
    <row r="743" spans="7:7" hidden="1" x14ac:dyDescent="0.2">
      <c r="G743" s="401"/>
    </row>
    <row r="744" spans="7:7" hidden="1" x14ac:dyDescent="0.2">
      <c r="G744" s="401"/>
    </row>
    <row r="745" spans="7:7" hidden="1" x14ac:dyDescent="0.2">
      <c r="G745" s="401"/>
    </row>
    <row r="746" spans="7:7" hidden="1" x14ac:dyDescent="0.2">
      <c r="G746" s="401"/>
    </row>
    <row r="747" spans="7:7" hidden="1" x14ac:dyDescent="0.2">
      <c r="G747" s="401"/>
    </row>
    <row r="748" spans="7:7" hidden="1" x14ac:dyDescent="0.2">
      <c r="G748" s="401"/>
    </row>
    <row r="749" spans="7:7" hidden="1" x14ac:dyDescent="0.2">
      <c r="G749" s="401"/>
    </row>
    <row r="750" spans="7:7" hidden="1" x14ac:dyDescent="0.2">
      <c r="G750" s="401"/>
    </row>
    <row r="751" spans="7:7" hidden="1" x14ac:dyDescent="0.2">
      <c r="G751" s="401"/>
    </row>
    <row r="752" spans="7:7" hidden="1" x14ac:dyDescent="0.2">
      <c r="G752" s="401"/>
    </row>
    <row r="753" spans="7:7" hidden="1" x14ac:dyDescent="0.2">
      <c r="G753" s="401"/>
    </row>
    <row r="754" spans="7:7" hidden="1" x14ac:dyDescent="0.2">
      <c r="G754" s="401"/>
    </row>
    <row r="755" spans="7:7" hidden="1" x14ac:dyDescent="0.2">
      <c r="G755" s="401"/>
    </row>
    <row r="756" spans="7:7" hidden="1" x14ac:dyDescent="0.2">
      <c r="G756" s="401"/>
    </row>
    <row r="757" spans="7:7" hidden="1" x14ac:dyDescent="0.2">
      <c r="G757" s="401"/>
    </row>
    <row r="758" spans="7:7" hidden="1" x14ac:dyDescent="0.2">
      <c r="G758" s="401"/>
    </row>
    <row r="759" spans="7:7" hidden="1" x14ac:dyDescent="0.2">
      <c r="G759" s="401"/>
    </row>
    <row r="760" spans="7:7" hidden="1" x14ac:dyDescent="0.2">
      <c r="G760" s="401"/>
    </row>
    <row r="761" spans="7:7" hidden="1" x14ac:dyDescent="0.2">
      <c r="G761" s="401"/>
    </row>
    <row r="762" spans="7:7" hidden="1" x14ac:dyDescent="0.2">
      <c r="G762" s="401"/>
    </row>
    <row r="763" spans="7:7" hidden="1" x14ac:dyDescent="0.2">
      <c r="G763" s="401"/>
    </row>
    <row r="764" spans="7:7" hidden="1" x14ac:dyDescent="0.2">
      <c r="G764" s="401"/>
    </row>
    <row r="765" spans="7:7" hidden="1" x14ac:dyDescent="0.2">
      <c r="G765" s="401"/>
    </row>
    <row r="766" spans="7:7" hidden="1" x14ac:dyDescent="0.2">
      <c r="G766" s="401"/>
    </row>
    <row r="767" spans="7:7" hidden="1" x14ac:dyDescent="0.2">
      <c r="G767" s="401"/>
    </row>
    <row r="768" spans="7:7" hidden="1" x14ac:dyDescent="0.2">
      <c r="G768" s="401"/>
    </row>
    <row r="769" spans="7:7" hidden="1" x14ac:dyDescent="0.2">
      <c r="G769" s="401"/>
    </row>
    <row r="770" spans="7:7" hidden="1" x14ac:dyDescent="0.2">
      <c r="G770" s="401"/>
    </row>
    <row r="771" spans="7:7" hidden="1" x14ac:dyDescent="0.2">
      <c r="G771" s="401"/>
    </row>
    <row r="772" spans="7:7" hidden="1" x14ac:dyDescent="0.2">
      <c r="G772" s="401"/>
    </row>
    <row r="773" spans="7:7" hidden="1" x14ac:dyDescent="0.2">
      <c r="G773" s="401"/>
    </row>
    <row r="774" spans="7:7" hidden="1" x14ac:dyDescent="0.2">
      <c r="G774" s="401"/>
    </row>
    <row r="775" spans="7:7" hidden="1" x14ac:dyDescent="0.2">
      <c r="G775" s="401"/>
    </row>
    <row r="776" spans="7:7" hidden="1" x14ac:dyDescent="0.2">
      <c r="G776" s="401"/>
    </row>
    <row r="777" spans="7:7" hidden="1" x14ac:dyDescent="0.2">
      <c r="G777" s="401"/>
    </row>
    <row r="778" spans="7:7" hidden="1" x14ac:dyDescent="0.2">
      <c r="G778" s="401"/>
    </row>
    <row r="779" spans="7:7" hidden="1" x14ac:dyDescent="0.2">
      <c r="G779" s="401"/>
    </row>
    <row r="780" spans="7:7" hidden="1" x14ac:dyDescent="0.2">
      <c r="G780" s="401"/>
    </row>
    <row r="781" spans="7:7" hidden="1" x14ac:dyDescent="0.2">
      <c r="G781" s="401"/>
    </row>
    <row r="782" spans="7:7" hidden="1" x14ac:dyDescent="0.2">
      <c r="G782" s="401"/>
    </row>
    <row r="783" spans="7:7" hidden="1" x14ac:dyDescent="0.2">
      <c r="G783" s="401"/>
    </row>
    <row r="784" spans="7:7" hidden="1" x14ac:dyDescent="0.2">
      <c r="G784" s="401"/>
    </row>
    <row r="785" spans="7:7" hidden="1" x14ac:dyDescent="0.2">
      <c r="G785" s="401"/>
    </row>
    <row r="786" spans="7:7" hidden="1" x14ac:dyDescent="0.2">
      <c r="G786" s="401"/>
    </row>
    <row r="787" spans="7:7" hidden="1" x14ac:dyDescent="0.2">
      <c r="G787" s="401"/>
    </row>
    <row r="788" spans="7:7" hidden="1" x14ac:dyDescent="0.2">
      <c r="G788" s="401"/>
    </row>
    <row r="789" spans="7:7" hidden="1" x14ac:dyDescent="0.2">
      <c r="G789" s="401"/>
    </row>
    <row r="790" spans="7:7" hidden="1" x14ac:dyDescent="0.2">
      <c r="G790" s="401"/>
    </row>
    <row r="791" spans="7:7" hidden="1" x14ac:dyDescent="0.2">
      <c r="G791" s="401"/>
    </row>
    <row r="792" spans="7:7" hidden="1" x14ac:dyDescent="0.2">
      <c r="G792" s="401"/>
    </row>
    <row r="793" spans="7:7" hidden="1" x14ac:dyDescent="0.2">
      <c r="G793" s="401"/>
    </row>
    <row r="794" spans="7:7" hidden="1" x14ac:dyDescent="0.2">
      <c r="G794" s="401"/>
    </row>
    <row r="795" spans="7:7" hidden="1" x14ac:dyDescent="0.2">
      <c r="G795" s="401"/>
    </row>
    <row r="796" spans="7:7" hidden="1" x14ac:dyDescent="0.2">
      <c r="G796" s="401"/>
    </row>
    <row r="797" spans="7:7" hidden="1" x14ac:dyDescent="0.2">
      <c r="G797" s="401"/>
    </row>
    <row r="798" spans="7:7" hidden="1" x14ac:dyDescent="0.2">
      <c r="G798" s="401"/>
    </row>
    <row r="799" spans="7:7" hidden="1" x14ac:dyDescent="0.2">
      <c r="G799" s="401"/>
    </row>
    <row r="800" spans="7:7" hidden="1" x14ac:dyDescent="0.2">
      <c r="G800" s="401"/>
    </row>
    <row r="801" spans="7:7" hidden="1" x14ac:dyDescent="0.2">
      <c r="G801" s="401"/>
    </row>
    <row r="802" spans="7:7" hidden="1" x14ac:dyDescent="0.2">
      <c r="G802" s="401"/>
    </row>
    <row r="803" spans="7:7" hidden="1" x14ac:dyDescent="0.2">
      <c r="G803" s="401"/>
    </row>
    <row r="804" spans="7:7" hidden="1" x14ac:dyDescent="0.2">
      <c r="G804" s="401"/>
    </row>
    <row r="805" spans="7:7" hidden="1" x14ac:dyDescent="0.2">
      <c r="G805" s="401"/>
    </row>
    <row r="806" spans="7:7" hidden="1" x14ac:dyDescent="0.2">
      <c r="G806" s="401"/>
    </row>
    <row r="807" spans="7:7" hidden="1" x14ac:dyDescent="0.2">
      <c r="G807" s="401"/>
    </row>
    <row r="808" spans="7:7" hidden="1" x14ac:dyDescent="0.2">
      <c r="G808" s="401"/>
    </row>
    <row r="809" spans="7:7" hidden="1" x14ac:dyDescent="0.2">
      <c r="G809" s="401"/>
    </row>
    <row r="810" spans="7:7" hidden="1" x14ac:dyDescent="0.2">
      <c r="G810" s="401"/>
    </row>
    <row r="811" spans="7:7" hidden="1" x14ac:dyDescent="0.2">
      <c r="G811" s="401"/>
    </row>
    <row r="812" spans="7:7" hidden="1" x14ac:dyDescent="0.2">
      <c r="G812" s="401"/>
    </row>
    <row r="813" spans="7:7" hidden="1" x14ac:dyDescent="0.2">
      <c r="G813" s="401"/>
    </row>
    <row r="814" spans="7:7" hidden="1" x14ac:dyDescent="0.2">
      <c r="G814" s="401"/>
    </row>
    <row r="815" spans="7:7" hidden="1" x14ac:dyDescent="0.2">
      <c r="G815" s="401"/>
    </row>
    <row r="816" spans="7:7" hidden="1" x14ac:dyDescent="0.2">
      <c r="G816" s="401"/>
    </row>
    <row r="817" spans="7:7" hidden="1" x14ac:dyDescent="0.2">
      <c r="G817" s="401"/>
    </row>
    <row r="818" spans="7:7" hidden="1" x14ac:dyDescent="0.2">
      <c r="G818" s="401"/>
    </row>
    <row r="819" spans="7:7" hidden="1" x14ac:dyDescent="0.2">
      <c r="G819" s="401"/>
    </row>
    <row r="820" spans="7:7" hidden="1" x14ac:dyDescent="0.2">
      <c r="G820" s="401"/>
    </row>
    <row r="821" spans="7:7" hidden="1" x14ac:dyDescent="0.2">
      <c r="G821" s="401"/>
    </row>
    <row r="822" spans="7:7" hidden="1" x14ac:dyDescent="0.2">
      <c r="G822" s="401"/>
    </row>
    <row r="823" spans="7:7" hidden="1" x14ac:dyDescent="0.2">
      <c r="G823" s="401"/>
    </row>
    <row r="824" spans="7:7" hidden="1" x14ac:dyDescent="0.2">
      <c r="G824" s="401"/>
    </row>
    <row r="825" spans="7:7" hidden="1" x14ac:dyDescent="0.2">
      <c r="G825" s="401"/>
    </row>
    <row r="826" spans="7:7" hidden="1" x14ac:dyDescent="0.2">
      <c r="G826" s="401"/>
    </row>
    <row r="827" spans="7:7" hidden="1" x14ac:dyDescent="0.2">
      <c r="G827" s="401"/>
    </row>
    <row r="828" spans="7:7" hidden="1" x14ac:dyDescent="0.2">
      <c r="G828" s="401"/>
    </row>
    <row r="829" spans="7:7" hidden="1" x14ac:dyDescent="0.2">
      <c r="G829" s="401"/>
    </row>
    <row r="830" spans="7:7" hidden="1" x14ac:dyDescent="0.2">
      <c r="G830" s="401"/>
    </row>
    <row r="831" spans="7:7" hidden="1" x14ac:dyDescent="0.2">
      <c r="G831" s="401"/>
    </row>
    <row r="832" spans="7:7" hidden="1" x14ac:dyDescent="0.2">
      <c r="G832" s="401"/>
    </row>
    <row r="833" spans="7:7" hidden="1" x14ac:dyDescent="0.2">
      <c r="G833" s="401"/>
    </row>
    <row r="834" spans="7:7" hidden="1" x14ac:dyDescent="0.2">
      <c r="G834" s="401"/>
    </row>
    <row r="835" spans="7:7" hidden="1" x14ac:dyDescent="0.2">
      <c r="G835" s="401"/>
    </row>
    <row r="836" spans="7:7" hidden="1" x14ac:dyDescent="0.2">
      <c r="G836" s="401"/>
    </row>
    <row r="837" spans="7:7" hidden="1" x14ac:dyDescent="0.2">
      <c r="G837" s="401"/>
    </row>
    <row r="838" spans="7:7" hidden="1" x14ac:dyDescent="0.2">
      <c r="G838" s="401"/>
    </row>
    <row r="839" spans="7:7" hidden="1" x14ac:dyDescent="0.2">
      <c r="G839" s="401"/>
    </row>
    <row r="840" spans="7:7" hidden="1" x14ac:dyDescent="0.2">
      <c r="G840" s="401"/>
    </row>
    <row r="841" spans="7:7" hidden="1" x14ac:dyDescent="0.2">
      <c r="G841" s="401"/>
    </row>
    <row r="842" spans="7:7" hidden="1" x14ac:dyDescent="0.2">
      <c r="G842" s="401"/>
    </row>
    <row r="843" spans="7:7" hidden="1" x14ac:dyDescent="0.2">
      <c r="G843" s="401"/>
    </row>
    <row r="844" spans="7:7" hidden="1" x14ac:dyDescent="0.2">
      <c r="G844" s="401"/>
    </row>
    <row r="845" spans="7:7" hidden="1" x14ac:dyDescent="0.2">
      <c r="G845" s="401"/>
    </row>
    <row r="846" spans="7:7" hidden="1" x14ac:dyDescent="0.2">
      <c r="G846" s="401"/>
    </row>
    <row r="847" spans="7:7" hidden="1" x14ac:dyDescent="0.2">
      <c r="G847" s="401"/>
    </row>
    <row r="848" spans="7:7" hidden="1" x14ac:dyDescent="0.2">
      <c r="G848" s="401"/>
    </row>
    <row r="849" spans="7:7" hidden="1" x14ac:dyDescent="0.2">
      <c r="G849" s="401"/>
    </row>
    <row r="850" spans="7:7" hidden="1" x14ac:dyDescent="0.2">
      <c r="G850" s="401"/>
    </row>
    <row r="851" spans="7:7" hidden="1" x14ac:dyDescent="0.2">
      <c r="G851" s="401"/>
    </row>
    <row r="852" spans="7:7" hidden="1" x14ac:dyDescent="0.2">
      <c r="G852" s="401"/>
    </row>
    <row r="853" spans="7:7" hidden="1" x14ac:dyDescent="0.2">
      <c r="G853" s="401"/>
    </row>
    <row r="854" spans="7:7" hidden="1" x14ac:dyDescent="0.2">
      <c r="G854" s="401"/>
    </row>
    <row r="855" spans="7:7" hidden="1" x14ac:dyDescent="0.2">
      <c r="G855" s="401"/>
    </row>
    <row r="856" spans="7:7" hidden="1" x14ac:dyDescent="0.2">
      <c r="G856" s="401"/>
    </row>
    <row r="857" spans="7:7" hidden="1" x14ac:dyDescent="0.2">
      <c r="G857" s="401"/>
    </row>
    <row r="858" spans="7:7" hidden="1" x14ac:dyDescent="0.2">
      <c r="G858" s="401"/>
    </row>
    <row r="859" spans="7:7" hidden="1" x14ac:dyDescent="0.2">
      <c r="G859" s="401"/>
    </row>
    <row r="860" spans="7:7" hidden="1" x14ac:dyDescent="0.2">
      <c r="G860" s="401"/>
    </row>
    <row r="861" spans="7:7" hidden="1" x14ac:dyDescent="0.2">
      <c r="G861" s="401"/>
    </row>
    <row r="862" spans="7:7" hidden="1" x14ac:dyDescent="0.2">
      <c r="G862" s="401"/>
    </row>
    <row r="863" spans="7:7" hidden="1" x14ac:dyDescent="0.2">
      <c r="G863" s="401"/>
    </row>
    <row r="864" spans="7:7" hidden="1" x14ac:dyDescent="0.2">
      <c r="G864" s="401"/>
    </row>
    <row r="865" spans="7:7" hidden="1" x14ac:dyDescent="0.2">
      <c r="G865" s="401"/>
    </row>
    <row r="866" spans="7:7" hidden="1" x14ac:dyDescent="0.2">
      <c r="G866" s="401"/>
    </row>
    <row r="867" spans="7:7" hidden="1" x14ac:dyDescent="0.2">
      <c r="G867" s="401"/>
    </row>
    <row r="868" spans="7:7" hidden="1" x14ac:dyDescent="0.2">
      <c r="G868" s="401"/>
    </row>
    <row r="869" spans="7:7" hidden="1" x14ac:dyDescent="0.2">
      <c r="G869" s="401"/>
    </row>
    <row r="870" spans="7:7" hidden="1" x14ac:dyDescent="0.2">
      <c r="G870" s="401"/>
    </row>
    <row r="871" spans="7:7" hidden="1" x14ac:dyDescent="0.2">
      <c r="G871" s="401"/>
    </row>
    <row r="872" spans="7:7" hidden="1" x14ac:dyDescent="0.2">
      <c r="G872" s="401"/>
    </row>
    <row r="873" spans="7:7" hidden="1" x14ac:dyDescent="0.2">
      <c r="G873" s="401"/>
    </row>
    <row r="874" spans="7:7" hidden="1" x14ac:dyDescent="0.2">
      <c r="G874" s="401"/>
    </row>
    <row r="875" spans="7:7" hidden="1" x14ac:dyDescent="0.2">
      <c r="G875" s="401"/>
    </row>
    <row r="876" spans="7:7" hidden="1" x14ac:dyDescent="0.2">
      <c r="G876" s="401"/>
    </row>
    <row r="877" spans="7:7" hidden="1" x14ac:dyDescent="0.2">
      <c r="G877" s="401"/>
    </row>
    <row r="878" spans="7:7" hidden="1" x14ac:dyDescent="0.2">
      <c r="G878" s="401"/>
    </row>
    <row r="879" spans="7:7" hidden="1" x14ac:dyDescent="0.2">
      <c r="G879" s="401"/>
    </row>
    <row r="880" spans="7:7" hidden="1" x14ac:dyDescent="0.2">
      <c r="G880" s="401"/>
    </row>
    <row r="881" spans="7:7" hidden="1" x14ac:dyDescent="0.2">
      <c r="G881" s="401"/>
    </row>
    <row r="882" spans="7:7" hidden="1" x14ac:dyDescent="0.2">
      <c r="G882" s="401"/>
    </row>
    <row r="883" spans="7:7" hidden="1" x14ac:dyDescent="0.2">
      <c r="G883" s="401"/>
    </row>
    <row r="884" spans="7:7" hidden="1" x14ac:dyDescent="0.2">
      <c r="G884" s="401"/>
    </row>
    <row r="885" spans="7:7" hidden="1" x14ac:dyDescent="0.2">
      <c r="G885" s="401"/>
    </row>
    <row r="886" spans="7:7" hidden="1" x14ac:dyDescent="0.2">
      <c r="G886" s="401"/>
    </row>
    <row r="887" spans="7:7" hidden="1" x14ac:dyDescent="0.2">
      <c r="G887" s="401"/>
    </row>
    <row r="888" spans="7:7" hidden="1" x14ac:dyDescent="0.2">
      <c r="G888" s="401"/>
    </row>
    <row r="889" spans="7:7" hidden="1" x14ac:dyDescent="0.2">
      <c r="G889" s="401"/>
    </row>
    <row r="890" spans="7:7" hidden="1" x14ac:dyDescent="0.2">
      <c r="G890" s="401"/>
    </row>
    <row r="891" spans="7:7" hidden="1" x14ac:dyDescent="0.2">
      <c r="G891" s="401"/>
    </row>
    <row r="892" spans="7:7" hidden="1" x14ac:dyDescent="0.2">
      <c r="G892" s="401"/>
    </row>
    <row r="893" spans="7:7" hidden="1" x14ac:dyDescent="0.2">
      <c r="G893" s="401"/>
    </row>
    <row r="894" spans="7:7" hidden="1" x14ac:dyDescent="0.2">
      <c r="G894" s="401"/>
    </row>
    <row r="895" spans="7:7" hidden="1" x14ac:dyDescent="0.2">
      <c r="G895" s="401"/>
    </row>
    <row r="896" spans="7:7" hidden="1" x14ac:dyDescent="0.2">
      <c r="G896" s="401"/>
    </row>
    <row r="897" spans="7:7" hidden="1" x14ac:dyDescent="0.2">
      <c r="G897" s="401"/>
    </row>
    <row r="898" spans="7:7" hidden="1" x14ac:dyDescent="0.2">
      <c r="G898" s="401"/>
    </row>
    <row r="899" spans="7:7" hidden="1" x14ac:dyDescent="0.2">
      <c r="G899" s="401"/>
    </row>
    <row r="900" spans="7:7" hidden="1" x14ac:dyDescent="0.2">
      <c r="G900" s="401"/>
    </row>
    <row r="901" spans="7:7" hidden="1" x14ac:dyDescent="0.2">
      <c r="G901" s="401"/>
    </row>
    <row r="902" spans="7:7" hidden="1" x14ac:dyDescent="0.2">
      <c r="G902" s="401"/>
    </row>
    <row r="903" spans="7:7" hidden="1" x14ac:dyDescent="0.2">
      <c r="G903" s="401"/>
    </row>
    <row r="904" spans="7:7" hidden="1" x14ac:dyDescent="0.2">
      <c r="G904" s="401"/>
    </row>
    <row r="905" spans="7:7" hidden="1" x14ac:dyDescent="0.2">
      <c r="G905" s="401"/>
    </row>
    <row r="906" spans="7:7" hidden="1" x14ac:dyDescent="0.2">
      <c r="G906" s="401"/>
    </row>
    <row r="907" spans="7:7" hidden="1" x14ac:dyDescent="0.2">
      <c r="G907" s="401"/>
    </row>
    <row r="908" spans="7:7" hidden="1" x14ac:dyDescent="0.2">
      <c r="G908" s="401"/>
    </row>
    <row r="909" spans="7:7" hidden="1" x14ac:dyDescent="0.2">
      <c r="G909" s="401"/>
    </row>
    <row r="910" spans="7:7" hidden="1" x14ac:dyDescent="0.2">
      <c r="G910" s="401"/>
    </row>
    <row r="911" spans="7:7" hidden="1" x14ac:dyDescent="0.2">
      <c r="G911" s="401"/>
    </row>
    <row r="912" spans="7:7" hidden="1" x14ac:dyDescent="0.2">
      <c r="G912" s="401"/>
    </row>
    <row r="913" spans="7:7" hidden="1" x14ac:dyDescent="0.2">
      <c r="G913" s="401"/>
    </row>
    <row r="914" spans="7:7" hidden="1" x14ac:dyDescent="0.2">
      <c r="G914" s="401"/>
    </row>
    <row r="915" spans="7:7" hidden="1" x14ac:dyDescent="0.2">
      <c r="G915" s="401"/>
    </row>
    <row r="916" spans="7:7" hidden="1" x14ac:dyDescent="0.2">
      <c r="G916" s="401"/>
    </row>
    <row r="917" spans="7:7" hidden="1" x14ac:dyDescent="0.2">
      <c r="G917" s="401"/>
    </row>
    <row r="918" spans="7:7" hidden="1" x14ac:dyDescent="0.2">
      <c r="G918" s="401"/>
    </row>
    <row r="919" spans="7:7" hidden="1" x14ac:dyDescent="0.2">
      <c r="G919" s="401"/>
    </row>
    <row r="920" spans="7:7" hidden="1" x14ac:dyDescent="0.2">
      <c r="G920" s="401"/>
    </row>
    <row r="921" spans="7:7" hidden="1" x14ac:dyDescent="0.2">
      <c r="G921" s="401"/>
    </row>
    <row r="922" spans="7:7" hidden="1" x14ac:dyDescent="0.2">
      <c r="G922" s="401"/>
    </row>
    <row r="923" spans="7:7" hidden="1" x14ac:dyDescent="0.2">
      <c r="G923" s="401"/>
    </row>
    <row r="924" spans="7:7" hidden="1" x14ac:dyDescent="0.2">
      <c r="G924" s="401"/>
    </row>
    <row r="925" spans="7:7" hidden="1" x14ac:dyDescent="0.2">
      <c r="G925" s="401"/>
    </row>
    <row r="926" spans="7:7" hidden="1" x14ac:dyDescent="0.2">
      <c r="G926" s="401"/>
    </row>
    <row r="927" spans="7:7" hidden="1" x14ac:dyDescent="0.2">
      <c r="G927" s="401"/>
    </row>
    <row r="928" spans="7:7" hidden="1" x14ac:dyDescent="0.2">
      <c r="G928" s="401"/>
    </row>
    <row r="929" spans="7:7" hidden="1" x14ac:dyDescent="0.2">
      <c r="G929" s="401"/>
    </row>
    <row r="930" spans="7:7" hidden="1" x14ac:dyDescent="0.2">
      <c r="G930" s="401"/>
    </row>
    <row r="931" spans="7:7" hidden="1" x14ac:dyDescent="0.2">
      <c r="G931" s="401"/>
    </row>
    <row r="932" spans="7:7" hidden="1" x14ac:dyDescent="0.2">
      <c r="G932" s="401"/>
    </row>
    <row r="933" spans="7:7" hidden="1" x14ac:dyDescent="0.2">
      <c r="G933" s="401"/>
    </row>
    <row r="934" spans="7:7" hidden="1" x14ac:dyDescent="0.2">
      <c r="G934" s="401"/>
    </row>
    <row r="935" spans="7:7" hidden="1" x14ac:dyDescent="0.2">
      <c r="G935" s="401"/>
    </row>
    <row r="936" spans="7:7" hidden="1" x14ac:dyDescent="0.2">
      <c r="G936" s="401"/>
    </row>
    <row r="937" spans="7:7" hidden="1" x14ac:dyDescent="0.2">
      <c r="G937" s="401"/>
    </row>
    <row r="938" spans="7:7" hidden="1" x14ac:dyDescent="0.2">
      <c r="G938" s="401"/>
    </row>
    <row r="939" spans="7:7" hidden="1" x14ac:dyDescent="0.2">
      <c r="G939" s="401"/>
    </row>
    <row r="940" spans="7:7" hidden="1" x14ac:dyDescent="0.2">
      <c r="G940" s="401"/>
    </row>
    <row r="941" spans="7:7" hidden="1" x14ac:dyDescent="0.2">
      <c r="G941" s="401"/>
    </row>
    <row r="942" spans="7:7" hidden="1" x14ac:dyDescent="0.2">
      <c r="G942" s="401"/>
    </row>
    <row r="943" spans="7:7" hidden="1" x14ac:dyDescent="0.2">
      <c r="G943" s="401"/>
    </row>
    <row r="944" spans="7:7" hidden="1" x14ac:dyDescent="0.2">
      <c r="G944" s="401"/>
    </row>
    <row r="945" spans="7:7" hidden="1" x14ac:dyDescent="0.2">
      <c r="G945" s="401"/>
    </row>
    <row r="946" spans="7:7" hidden="1" x14ac:dyDescent="0.2">
      <c r="G946" s="401"/>
    </row>
    <row r="947" spans="7:7" hidden="1" x14ac:dyDescent="0.2">
      <c r="G947" s="401"/>
    </row>
    <row r="948" spans="7:7" hidden="1" x14ac:dyDescent="0.2">
      <c r="G948" s="401"/>
    </row>
    <row r="949" spans="7:7" hidden="1" x14ac:dyDescent="0.2">
      <c r="G949" s="401"/>
    </row>
    <row r="950" spans="7:7" hidden="1" x14ac:dyDescent="0.2">
      <c r="G950" s="401"/>
    </row>
    <row r="951" spans="7:7" hidden="1" x14ac:dyDescent="0.2">
      <c r="G951" s="401"/>
    </row>
    <row r="952" spans="7:7" hidden="1" x14ac:dyDescent="0.2">
      <c r="G952" s="401"/>
    </row>
    <row r="953" spans="7:7" hidden="1" x14ac:dyDescent="0.2">
      <c r="G953" s="401"/>
    </row>
    <row r="954" spans="7:7" hidden="1" x14ac:dyDescent="0.2">
      <c r="G954" s="401"/>
    </row>
    <row r="955" spans="7:7" hidden="1" x14ac:dyDescent="0.2">
      <c r="G955" s="401"/>
    </row>
    <row r="956" spans="7:7" hidden="1" x14ac:dyDescent="0.2">
      <c r="G956" s="401"/>
    </row>
    <row r="957" spans="7:7" hidden="1" x14ac:dyDescent="0.2">
      <c r="G957" s="401"/>
    </row>
    <row r="958" spans="7:7" hidden="1" x14ac:dyDescent="0.2">
      <c r="G958" s="401"/>
    </row>
    <row r="959" spans="7:7" hidden="1" x14ac:dyDescent="0.2">
      <c r="G959" s="401"/>
    </row>
    <row r="960" spans="7:7" hidden="1" x14ac:dyDescent="0.2">
      <c r="G960" s="401"/>
    </row>
    <row r="961" spans="7:7" hidden="1" x14ac:dyDescent="0.2">
      <c r="G961" s="401"/>
    </row>
    <row r="962" spans="7:7" hidden="1" x14ac:dyDescent="0.2">
      <c r="G962" s="401"/>
    </row>
    <row r="963" spans="7:7" hidden="1" x14ac:dyDescent="0.2">
      <c r="G963" s="401"/>
    </row>
    <row r="964" spans="7:7" hidden="1" x14ac:dyDescent="0.2">
      <c r="G964" s="401"/>
    </row>
    <row r="965" spans="7:7" hidden="1" x14ac:dyDescent="0.2">
      <c r="G965" s="401"/>
    </row>
    <row r="966" spans="7:7" hidden="1" x14ac:dyDescent="0.2">
      <c r="G966" s="401"/>
    </row>
    <row r="967" spans="7:7" hidden="1" x14ac:dyDescent="0.2">
      <c r="G967" s="401"/>
    </row>
    <row r="968" spans="7:7" hidden="1" x14ac:dyDescent="0.2">
      <c r="G968" s="401"/>
    </row>
    <row r="969" spans="7:7" hidden="1" x14ac:dyDescent="0.2">
      <c r="G969" s="401"/>
    </row>
    <row r="970" spans="7:7" hidden="1" x14ac:dyDescent="0.2">
      <c r="G970" s="401"/>
    </row>
    <row r="971" spans="7:7" hidden="1" x14ac:dyDescent="0.2">
      <c r="G971" s="401"/>
    </row>
    <row r="972" spans="7:7" hidden="1" x14ac:dyDescent="0.2">
      <c r="G972" s="401"/>
    </row>
    <row r="973" spans="7:7" hidden="1" x14ac:dyDescent="0.2">
      <c r="G973" s="401"/>
    </row>
    <row r="974" spans="7:7" hidden="1" x14ac:dyDescent="0.2">
      <c r="G974" s="401"/>
    </row>
    <row r="975" spans="7:7" hidden="1" x14ac:dyDescent="0.2">
      <c r="G975" s="401"/>
    </row>
    <row r="976" spans="7:7" hidden="1" x14ac:dyDescent="0.2">
      <c r="G976" s="401"/>
    </row>
    <row r="977" spans="7:7" hidden="1" x14ac:dyDescent="0.2">
      <c r="G977" s="401"/>
    </row>
    <row r="978" spans="7:7" hidden="1" x14ac:dyDescent="0.2">
      <c r="G978" s="401"/>
    </row>
    <row r="979" spans="7:7" hidden="1" x14ac:dyDescent="0.2">
      <c r="G979" s="401"/>
    </row>
    <row r="980" spans="7:7" hidden="1" x14ac:dyDescent="0.2">
      <c r="G980" s="401"/>
    </row>
    <row r="981" spans="7:7" hidden="1" x14ac:dyDescent="0.2">
      <c r="G981" s="401"/>
    </row>
    <row r="982" spans="7:7" hidden="1" x14ac:dyDescent="0.2">
      <c r="G982" s="401"/>
    </row>
    <row r="983" spans="7:7" hidden="1" x14ac:dyDescent="0.2">
      <c r="G983" s="401"/>
    </row>
    <row r="984" spans="7:7" hidden="1" x14ac:dyDescent="0.2">
      <c r="G984" s="401"/>
    </row>
    <row r="985" spans="7:7" hidden="1" x14ac:dyDescent="0.2">
      <c r="G985" s="401"/>
    </row>
    <row r="986" spans="7:7" hidden="1" x14ac:dyDescent="0.2">
      <c r="G986" s="401"/>
    </row>
    <row r="987" spans="7:7" hidden="1" x14ac:dyDescent="0.2">
      <c r="G987" s="401"/>
    </row>
    <row r="988" spans="7:7" hidden="1" x14ac:dyDescent="0.2">
      <c r="G988" s="401"/>
    </row>
    <row r="989" spans="7:7" hidden="1" x14ac:dyDescent="0.2">
      <c r="G989" s="401"/>
    </row>
    <row r="990" spans="7:7" hidden="1" x14ac:dyDescent="0.2">
      <c r="G990" s="401"/>
    </row>
    <row r="991" spans="7:7" hidden="1" x14ac:dyDescent="0.2">
      <c r="G991" s="401"/>
    </row>
    <row r="992" spans="7:7" hidden="1" x14ac:dyDescent="0.2">
      <c r="G992" s="401"/>
    </row>
    <row r="993" spans="7:7" hidden="1" x14ac:dyDescent="0.2">
      <c r="G993" s="401"/>
    </row>
    <row r="994" spans="7:7" hidden="1" x14ac:dyDescent="0.2">
      <c r="G994" s="401"/>
    </row>
    <row r="995" spans="7:7" hidden="1" x14ac:dyDescent="0.2">
      <c r="G995" s="401"/>
    </row>
    <row r="996" spans="7:7" hidden="1" x14ac:dyDescent="0.2">
      <c r="G996" s="401"/>
    </row>
    <row r="997" spans="7:7" hidden="1" x14ac:dyDescent="0.2">
      <c r="G997" s="401"/>
    </row>
    <row r="998" spans="7:7" hidden="1" x14ac:dyDescent="0.2">
      <c r="G998" s="401"/>
    </row>
    <row r="999" spans="7:7" hidden="1" x14ac:dyDescent="0.2">
      <c r="G999" s="401"/>
    </row>
    <row r="1000" spans="7:7" hidden="1" x14ac:dyDescent="0.2">
      <c r="G1000" s="401"/>
    </row>
    <row r="1001" spans="7:7" hidden="1" x14ac:dyDescent="0.2">
      <c r="G1001" s="401"/>
    </row>
    <row r="1002" spans="7:7" hidden="1" x14ac:dyDescent="0.2">
      <c r="G1002" s="401"/>
    </row>
    <row r="1003" spans="7:7" hidden="1" x14ac:dyDescent="0.2">
      <c r="G1003" s="401"/>
    </row>
    <row r="1004" spans="7:7" hidden="1" x14ac:dyDescent="0.2">
      <c r="G1004" s="401"/>
    </row>
    <row r="1005" spans="7:7" hidden="1" x14ac:dyDescent="0.2">
      <c r="G1005" s="401"/>
    </row>
    <row r="1006" spans="7:7" hidden="1" x14ac:dyDescent="0.2">
      <c r="G1006" s="401"/>
    </row>
    <row r="1007" spans="7:7" hidden="1" x14ac:dyDescent="0.2">
      <c r="G1007" s="401"/>
    </row>
    <row r="1008" spans="7:7" hidden="1" x14ac:dyDescent="0.2">
      <c r="G1008" s="401"/>
    </row>
    <row r="1009" spans="7:7" hidden="1" x14ac:dyDescent="0.2">
      <c r="G1009" s="401"/>
    </row>
    <row r="1010" spans="7:7" hidden="1" x14ac:dyDescent="0.2">
      <c r="G1010" s="401"/>
    </row>
    <row r="1011" spans="7:7" hidden="1" x14ac:dyDescent="0.2">
      <c r="G1011" s="401"/>
    </row>
    <row r="1012" spans="7:7" hidden="1" x14ac:dyDescent="0.2">
      <c r="G1012" s="401"/>
    </row>
    <row r="1013" spans="7:7" hidden="1" x14ac:dyDescent="0.2">
      <c r="G1013" s="401"/>
    </row>
    <row r="1014" spans="7:7" hidden="1" x14ac:dyDescent="0.2">
      <c r="G1014" s="401"/>
    </row>
    <row r="1015" spans="7:7" hidden="1" x14ac:dyDescent="0.2">
      <c r="G1015" s="401"/>
    </row>
    <row r="1016" spans="7:7" hidden="1" x14ac:dyDescent="0.2">
      <c r="G1016" s="401"/>
    </row>
    <row r="1017" spans="7:7" hidden="1" x14ac:dyDescent="0.2">
      <c r="G1017" s="401"/>
    </row>
    <row r="1018" spans="7:7" hidden="1" x14ac:dyDescent="0.2">
      <c r="G1018" s="401"/>
    </row>
    <row r="1019" spans="7:7" hidden="1" x14ac:dyDescent="0.2">
      <c r="G1019" s="401"/>
    </row>
    <row r="1020" spans="7:7" hidden="1" x14ac:dyDescent="0.2">
      <c r="G1020" s="401"/>
    </row>
    <row r="1021" spans="7:7" hidden="1" x14ac:dyDescent="0.2">
      <c r="G1021" s="401"/>
    </row>
    <row r="1022" spans="7:7" hidden="1" x14ac:dyDescent="0.2">
      <c r="G1022" s="401"/>
    </row>
    <row r="1023" spans="7:7" hidden="1" x14ac:dyDescent="0.2">
      <c r="G1023" s="401"/>
    </row>
    <row r="1024" spans="7:7" hidden="1" x14ac:dyDescent="0.2">
      <c r="G1024" s="401"/>
    </row>
    <row r="1025" spans="7:7" hidden="1" x14ac:dyDescent="0.2">
      <c r="G1025" s="401"/>
    </row>
    <row r="1026" spans="7:7" hidden="1" x14ac:dyDescent="0.2">
      <c r="G1026" s="401"/>
    </row>
    <row r="1027" spans="7:7" hidden="1" x14ac:dyDescent="0.2">
      <c r="G1027" s="401"/>
    </row>
    <row r="1028" spans="7:7" hidden="1" x14ac:dyDescent="0.2">
      <c r="G1028" s="401"/>
    </row>
    <row r="1029" spans="7:7" hidden="1" x14ac:dyDescent="0.2">
      <c r="G1029" s="401"/>
    </row>
    <row r="1030" spans="7:7" hidden="1" x14ac:dyDescent="0.2">
      <c r="G1030" s="401"/>
    </row>
    <row r="1031" spans="7:7" hidden="1" x14ac:dyDescent="0.2">
      <c r="G1031" s="401"/>
    </row>
    <row r="1032" spans="7:7" hidden="1" x14ac:dyDescent="0.2">
      <c r="G1032" s="401"/>
    </row>
    <row r="1033" spans="7:7" hidden="1" x14ac:dyDescent="0.2">
      <c r="G1033" s="401"/>
    </row>
    <row r="1034" spans="7:7" hidden="1" x14ac:dyDescent="0.2">
      <c r="G1034" s="401"/>
    </row>
    <row r="1035" spans="7:7" hidden="1" x14ac:dyDescent="0.2">
      <c r="G1035" s="401"/>
    </row>
    <row r="1036" spans="7:7" hidden="1" x14ac:dyDescent="0.2">
      <c r="G1036" s="401"/>
    </row>
    <row r="1037" spans="7:7" hidden="1" x14ac:dyDescent="0.2">
      <c r="G1037" s="401"/>
    </row>
    <row r="1038" spans="7:7" hidden="1" x14ac:dyDescent="0.2">
      <c r="G1038" s="401"/>
    </row>
    <row r="1039" spans="7:7" hidden="1" x14ac:dyDescent="0.2">
      <c r="G1039" s="401"/>
    </row>
    <row r="1040" spans="7:7" hidden="1" x14ac:dyDescent="0.2">
      <c r="G1040" s="401"/>
    </row>
    <row r="1041" spans="7:7" hidden="1" x14ac:dyDescent="0.2">
      <c r="G1041" s="401"/>
    </row>
    <row r="1042" spans="7:7" hidden="1" x14ac:dyDescent="0.2">
      <c r="G1042" s="401"/>
    </row>
    <row r="1043" spans="7:7" hidden="1" x14ac:dyDescent="0.2">
      <c r="G1043" s="401"/>
    </row>
    <row r="1044" spans="7:7" hidden="1" x14ac:dyDescent="0.2">
      <c r="G1044" s="401"/>
    </row>
    <row r="1045" spans="7:7" hidden="1" x14ac:dyDescent="0.2">
      <c r="G1045" s="401"/>
    </row>
    <row r="1046" spans="7:7" hidden="1" x14ac:dyDescent="0.2">
      <c r="G1046" s="401"/>
    </row>
    <row r="1047" spans="7:7" hidden="1" x14ac:dyDescent="0.2">
      <c r="G1047" s="401"/>
    </row>
    <row r="1048" spans="7:7" hidden="1" x14ac:dyDescent="0.2">
      <c r="G1048" s="401"/>
    </row>
    <row r="1049" spans="7:7" hidden="1" x14ac:dyDescent="0.2">
      <c r="G1049" s="401"/>
    </row>
    <row r="1050" spans="7:7" hidden="1" x14ac:dyDescent="0.2">
      <c r="G1050" s="401"/>
    </row>
    <row r="1051" spans="7:7" hidden="1" x14ac:dyDescent="0.2">
      <c r="G1051" s="401"/>
    </row>
    <row r="1052" spans="7:7" hidden="1" x14ac:dyDescent="0.2">
      <c r="G1052" s="401"/>
    </row>
    <row r="1053" spans="7:7" hidden="1" x14ac:dyDescent="0.2">
      <c r="G1053" s="401"/>
    </row>
    <row r="1054" spans="7:7" hidden="1" x14ac:dyDescent="0.2">
      <c r="G1054" s="401"/>
    </row>
    <row r="1055" spans="7:7" hidden="1" x14ac:dyDescent="0.2">
      <c r="G1055" s="401"/>
    </row>
    <row r="1056" spans="7:7" hidden="1" x14ac:dyDescent="0.2">
      <c r="G1056" s="401"/>
    </row>
    <row r="1057" spans="7:7" hidden="1" x14ac:dyDescent="0.2">
      <c r="G1057" s="401"/>
    </row>
    <row r="1058" spans="7:7" hidden="1" x14ac:dyDescent="0.2">
      <c r="G1058" s="401"/>
    </row>
    <row r="1059" spans="7:7" hidden="1" x14ac:dyDescent="0.2">
      <c r="G1059" s="401"/>
    </row>
    <row r="1060" spans="7:7" hidden="1" x14ac:dyDescent="0.2">
      <c r="G1060" s="401"/>
    </row>
    <row r="1061" spans="7:7" hidden="1" x14ac:dyDescent="0.2">
      <c r="G1061" s="401"/>
    </row>
    <row r="1062" spans="7:7" hidden="1" x14ac:dyDescent="0.2">
      <c r="G1062" s="401"/>
    </row>
    <row r="1063" spans="7:7" hidden="1" x14ac:dyDescent="0.2">
      <c r="G1063" s="401"/>
    </row>
    <row r="1064" spans="7:7" hidden="1" x14ac:dyDescent="0.2">
      <c r="G1064" s="401"/>
    </row>
    <row r="1065" spans="7:7" hidden="1" x14ac:dyDescent="0.2">
      <c r="G1065" s="401"/>
    </row>
    <row r="1066" spans="7:7" hidden="1" x14ac:dyDescent="0.2">
      <c r="G1066" s="401"/>
    </row>
    <row r="1067" spans="7:7" hidden="1" x14ac:dyDescent="0.2">
      <c r="G1067" s="401"/>
    </row>
    <row r="1068" spans="7:7" hidden="1" x14ac:dyDescent="0.2">
      <c r="G1068" s="401"/>
    </row>
    <row r="1069" spans="7:7" hidden="1" x14ac:dyDescent="0.2">
      <c r="G1069" s="401"/>
    </row>
    <row r="1070" spans="7:7" hidden="1" x14ac:dyDescent="0.2">
      <c r="G1070" s="401"/>
    </row>
    <row r="1071" spans="7:7" hidden="1" x14ac:dyDescent="0.2">
      <c r="G1071" s="401"/>
    </row>
    <row r="1072" spans="7:7" hidden="1" x14ac:dyDescent="0.2">
      <c r="G1072" s="401"/>
    </row>
    <row r="1073" spans="7:7" hidden="1" x14ac:dyDescent="0.2">
      <c r="G1073" s="401"/>
    </row>
    <row r="1074" spans="7:7" hidden="1" x14ac:dyDescent="0.2">
      <c r="G1074" s="401"/>
    </row>
    <row r="1075" spans="7:7" hidden="1" x14ac:dyDescent="0.2">
      <c r="G1075" s="401"/>
    </row>
    <row r="1076" spans="7:7" hidden="1" x14ac:dyDescent="0.2">
      <c r="G1076" s="401"/>
    </row>
    <row r="1077" spans="7:7" hidden="1" x14ac:dyDescent="0.2">
      <c r="G1077" s="401"/>
    </row>
    <row r="1078" spans="7:7" hidden="1" x14ac:dyDescent="0.2">
      <c r="G1078" s="401"/>
    </row>
    <row r="1079" spans="7:7" hidden="1" x14ac:dyDescent="0.2">
      <c r="G1079" s="401"/>
    </row>
    <row r="1080" spans="7:7" hidden="1" x14ac:dyDescent="0.2">
      <c r="G1080" s="401"/>
    </row>
    <row r="1081" spans="7:7" hidden="1" x14ac:dyDescent="0.2">
      <c r="G1081" s="401"/>
    </row>
    <row r="1082" spans="7:7" hidden="1" x14ac:dyDescent="0.2">
      <c r="G1082" s="401"/>
    </row>
    <row r="1083" spans="7:7" hidden="1" x14ac:dyDescent="0.2">
      <c r="G1083" s="401"/>
    </row>
    <row r="1084" spans="7:7" hidden="1" x14ac:dyDescent="0.2">
      <c r="G1084" s="401"/>
    </row>
    <row r="1085" spans="7:7" hidden="1" x14ac:dyDescent="0.2">
      <c r="G1085" s="401"/>
    </row>
    <row r="1086" spans="7:7" hidden="1" x14ac:dyDescent="0.2">
      <c r="G1086" s="401"/>
    </row>
    <row r="1087" spans="7:7" hidden="1" x14ac:dyDescent="0.2">
      <c r="G1087" s="401"/>
    </row>
    <row r="1088" spans="7:7" hidden="1" x14ac:dyDescent="0.2">
      <c r="G1088" s="401"/>
    </row>
    <row r="1089" spans="7:7" hidden="1" x14ac:dyDescent="0.2">
      <c r="G1089" s="401"/>
    </row>
    <row r="1090" spans="7:7" hidden="1" x14ac:dyDescent="0.2">
      <c r="G1090" s="401"/>
    </row>
    <row r="1091" spans="7:7" hidden="1" x14ac:dyDescent="0.2">
      <c r="G1091" s="401"/>
    </row>
    <row r="1092" spans="7:7" hidden="1" x14ac:dyDescent="0.2">
      <c r="G1092" s="401"/>
    </row>
    <row r="1093" spans="7:7" hidden="1" x14ac:dyDescent="0.2">
      <c r="G1093" s="401"/>
    </row>
    <row r="1094" spans="7:7" hidden="1" x14ac:dyDescent="0.2">
      <c r="G1094" s="401"/>
    </row>
    <row r="1095" spans="7:7" hidden="1" x14ac:dyDescent="0.2">
      <c r="G1095" s="401"/>
    </row>
    <row r="1096" spans="7:7" hidden="1" x14ac:dyDescent="0.2">
      <c r="G1096" s="401"/>
    </row>
    <row r="1097" spans="7:7" hidden="1" x14ac:dyDescent="0.2">
      <c r="G1097" s="401"/>
    </row>
    <row r="1098" spans="7:7" hidden="1" x14ac:dyDescent="0.2">
      <c r="G1098" s="401"/>
    </row>
    <row r="1099" spans="7:7" hidden="1" x14ac:dyDescent="0.2">
      <c r="G1099" s="401"/>
    </row>
    <row r="1100" spans="7:7" hidden="1" x14ac:dyDescent="0.2">
      <c r="G1100" s="401"/>
    </row>
    <row r="1101" spans="7:7" hidden="1" x14ac:dyDescent="0.2">
      <c r="G1101" s="401"/>
    </row>
    <row r="1102" spans="7:7" hidden="1" x14ac:dyDescent="0.2">
      <c r="G1102" s="401"/>
    </row>
    <row r="1103" spans="7:7" hidden="1" x14ac:dyDescent="0.2">
      <c r="G1103" s="401"/>
    </row>
    <row r="1104" spans="7:7" hidden="1" x14ac:dyDescent="0.2">
      <c r="G1104" s="401"/>
    </row>
    <row r="1105" spans="7:7" hidden="1" x14ac:dyDescent="0.2">
      <c r="G1105" s="401"/>
    </row>
    <row r="1106" spans="7:7" hidden="1" x14ac:dyDescent="0.2">
      <c r="G1106" s="401"/>
    </row>
    <row r="1107" spans="7:7" hidden="1" x14ac:dyDescent="0.2">
      <c r="G1107" s="401"/>
    </row>
    <row r="1108" spans="7:7" hidden="1" x14ac:dyDescent="0.2">
      <c r="G1108" s="401"/>
    </row>
    <row r="1109" spans="7:7" hidden="1" x14ac:dyDescent="0.2">
      <c r="G1109" s="401"/>
    </row>
    <row r="1110" spans="7:7" hidden="1" x14ac:dyDescent="0.2">
      <c r="G1110" s="401"/>
    </row>
    <row r="1111" spans="7:7" hidden="1" x14ac:dyDescent="0.2">
      <c r="G1111" s="401"/>
    </row>
    <row r="1112" spans="7:7" hidden="1" x14ac:dyDescent="0.2">
      <c r="G1112" s="401"/>
    </row>
    <row r="1113" spans="7:7" hidden="1" x14ac:dyDescent="0.2">
      <c r="G1113" s="401"/>
    </row>
    <row r="1114" spans="7:7" hidden="1" x14ac:dyDescent="0.2">
      <c r="G1114" s="401"/>
    </row>
    <row r="1115" spans="7:7" hidden="1" x14ac:dyDescent="0.2">
      <c r="G1115" s="401"/>
    </row>
    <row r="1116" spans="7:7" hidden="1" x14ac:dyDescent="0.2">
      <c r="G1116" s="401"/>
    </row>
    <row r="1117" spans="7:7" hidden="1" x14ac:dyDescent="0.2">
      <c r="G1117" s="401"/>
    </row>
    <row r="1118" spans="7:7" hidden="1" x14ac:dyDescent="0.2">
      <c r="G1118" s="401"/>
    </row>
    <row r="1119" spans="7:7" hidden="1" x14ac:dyDescent="0.2">
      <c r="G1119" s="401"/>
    </row>
    <row r="1120" spans="7:7" hidden="1" x14ac:dyDescent="0.2">
      <c r="G1120" s="401"/>
    </row>
    <row r="1121" spans="7:7" hidden="1" x14ac:dyDescent="0.2">
      <c r="G1121" s="401"/>
    </row>
    <row r="1122" spans="7:7" hidden="1" x14ac:dyDescent="0.2">
      <c r="G1122" s="401"/>
    </row>
    <row r="1123" spans="7:7" hidden="1" x14ac:dyDescent="0.2">
      <c r="G1123" s="401"/>
    </row>
    <row r="1124" spans="7:7" hidden="1" x14ac:dyDescent="0.2">
      <c r="G1124" s="401"/>
    </row>
    <row r="1125" spans="7:7" hidden="1" x14ac:dyDescent="0.2">
      <c r="G1125" s="401"/>
    </row>
    <row r="1126" spans="7:7" hidden="1" x14ac:dyDescent="0.2">
      <c r="G1126" s="401"/>
    </row>
    <row r="1127" spans="7:7" hidden="1" x14ac:dyDescent="0.2">
      <c r="G1127" s="401"/>
    </row>
    <row r="1128" spans="7:7" hidden="1" x14ac:dyDescent="0.2">
      <c r="G1128" s="401"/>
    </row>
    <row r="1129" spans="7:7" hidden="1" x14ac:dyDescent="0.2">
      <c r="G1129" s="401"/>
    </row>
    <row r="1130" spans="7:7" hidden="1" x14ac:dyDescent="0.2">
      <c r="G1130" s="401"/>
    </row>
    <row r="1131" spans="7:7" hidden="1" x14ac:dyDescent="0.2">
      <c r="G1131" s="401"/>
    </row>
    <row r="1132" spans="7:7" hidden="1" x14ac:dyDescent="0.2">
      <c r="G1132" s="401"/>
    </row>
    <row r="1133" spans="7:7" hidden="1" x14ac:dyDescent="0.2">
      <c r="G1133" s="401"/>
    </row>
    <row r="1134" spans="7:7" hidden="1" x14ac:dyDescent="0.2">
      <c r="G1134" s="401"/>
    </row>
    <row r="1135" spans="7:7" hidden="1" x14ac:dyDescent="0.2">
      <c r="G1135" s="401"/>
    </row>
    <row r="1136" spans="7:7" hidden="1" x14ac:dyDescent="0.2">
      <c r="G1136" s="401"/>
    </row>
    <row r="1137" spans="7:7" hidden="1" x14ac:dyDescent="0.2">
      <c r="G1137" s="401"/>
    </row>
    <row r="1138" spans="7:7" hidden="1" x14ac:dyDescent="0.2">
      <c r="G1138" s="401"/>
    </row>
    <row r="1139" spans="7:7" hidden="1" x14ac:dyDescent="0.2">
      <c r="G1139" s="401"/>
    </row>
    <row r="1140" spans="7:7" hidden="1" x14ac:dyDescent="0.2">
      <c r="G1140" s="401"/>
    </row>
    <row r="1141" spans="7:7" hidden="1" x14ac:dyDescent="0.2">
      <c r="G1141" s="401"/>
    </row>
    <row r="1142" spans="7:7" hidden="1" x14ac:dyDescent="0.2">
      <c r="G1142" s="401"/>
    </row>
    <row r="1143" spans="7:7" hidden="1" x14ac:dyDescent="0.2">
      <c r="G1143" s="401"/>
    </row>
    <row r="1144" spans="7:7" hidden="1" x14ac:dyDescent="0.2">
      <c r="G1144" s="401"/>
    </row>
    <row r="1145" spans="7:7" hidden="1" x14ac:dyDescent="0.2">
      <c r="G1145" s="401"/>
    </row>
    <row r="1146" spans="7:7" hidden="1" x14ac:dyDescent="0.2">
      <c r="G1146" s="401"/>
    </row>
    <row r="1147" spans="7:7" hidden="1" x14ac:dyDescent="0.2">
      <c r="G1147" s="401"/>
    </row>
    <row r="1148" spans="7:7" hidden="1" x14ac:dyDescent="0.2">
      <c r="G1148" s="401"/>
    </row>
    <row r="1149" spans="7:7" hidden="1" x14ac:dyDescent="0.2">
      <c r="G1149" s="401"/>
    </row>
    <row r="1150" spans="7:7" hidden="1" x14ac:dyDescent="0.2">
      <c r="G1150" s="401"/>
    </row>
    <row r="1151" spans="7:7" hidden="1" x14ac:dyDescent="0.2">
      <c r="G1151" s="401"/>
    </row>
    <row r="1152" spans="7:7" hidden="1" x14ac:dyDescent="0.2">
      <c r="G1152" s="401"/>
    </row>
    <row r="1153" spans="7:7" hidden="1" x14ac:dyDescent="0.2">
      <c r="G1153" s="401"/>
    </row>
    <row r="1154" spans="7:7" hidden="1" x14ac:dyDescent="0.2">
      <c r="G1154" s="401"/>
    </row>
    <row r="1155" spans="7:7" hidden="1" x14ac:dyDescent="0.2">
      <c r="G1155" s="401"/>
    </row>
    <row r="1156" spans="7:7" hidden="1" x14ac:dyDescent="0.2">
      <c r="G1156" s="401"/>
    </row>
    <row r="1157" spans="7:7" hidden="1" x14ac:dyDescent="0.2">
      <c r="G1157" s="401"/>
    </row>
    <row r="1158" spans="7:7" hidden="1" x14ac:dyDescent="0.2">
      <c r="G1158" s="401"/>
    </row>
    <row r="1159" spans="7:7" hidden="1" x14ac:dyDescent="0.2">
      <c r="G1159" s="401"/>
    </row>
    <row r="1160" spans="7:7" hidden="1" x14ac:dyDescent="0.2">
      <c r="G1160" s="401"/>
    </row>
    <row r="1161" spans="7:7" hidden="1" x14ac:dyDescent="0.2">
      <c r="G1161" s="401"/>
    </row>
    <row r="1162" spans="7:7" hidden="1" x14ac:dyDescent="0.2">
      <c r="G1162" s="401"/>
    </row>
    <row r="1163" spans="7:7" hidden="1" x14ac:dyDescent="0.2">
      <c r="G1163" s="401"/>
    </row>
    <row r="1164" spans="7:7" hidden="1" x14ac:dyDescent="0.2">
      <c r="G1164" s="401"/>
    </row>
    <row r="1165" spans="7:7" hidden="1" x14ac:dyDescent="0.2">
      <c r="G1165" s="401"/>
    </row>
    <row r="1166" spans="7:7" hidden="1" x14ac:dyDescent="0.2">
      <c r="G1166" s="401"/>
    </row>
    <row r="1167" spans="7:7" hidden="1" x14ac:dyDescent="0.2">
      <c r="G1167" s="401"/>
    </row>
    <row r="1168" spans="7:7" hidden="1" x14ac:dyDescent="0.2">
      <c r="G1168" s="401"/>
    </row>
    <row r="1169" spans="7:7" hidden="1" x14ac:dyDescent="0.2">
      <c r="G1169" s="401"/>
    </row>
    <row r="1170" spans="7:7" hidden="1" x14ac:dyDescent="0.2">
      <c r="G1170" s="401"/>
    </row>
    <row r="1171" spans="7:7" hidden="1" x14ac:dyDescent="0.2">
      <c r="G1171" s="401"/>
    </row>
    <row r="1172" spans="7:7" hidden="1" x14ac:dyDescent="0.2">
      <c r="G1172" s="401"/>
    </row>
    <row r="1173" spans="7:7" hidden="1" x14ac:dyDescent="0.2">
      <c r="G1173" s="401"/>
    </row>
    <row r="1174" spans="7:7" hidden="1" x14ac:dyDescent="0.2">
      <c r="G1174" s="401"/>
    </row>
    <row r="1175" spans="7:7" hidden="1" x14ac:dyDescent="0.2">
      <c r="G1175" s="401"/>
    </row>
    <row r="1176" spans="7:7" hidden="1" x14ac:dyDescent="0.2">
      <c r="G1176" s="401"/>
    </row>
    <row r="1177" spans="7:7" hidden="1" x14ac:dyDescent="0.2">
      <c r="G1177" s="401"/>
    </row>
    <row r="1178" spans="7:7" hidden="1" x14ac:dyDescent="0.2">
      <c r="G1178" s="401"/>
    </row>
    <row r="1179" spans="7:7" hidden="1" x14ac:dyDescent="0.2">
      <c r="G1179" s="401"/>
    </row>
    <row r="1180" spans="7:7" hidden="1" x14ac:dyDescent="0.2">
      <c r="G1180" s="401"/>
    </row>
    <row r="1181" spans="7:7" hidden="1" x14ac:dyDescent="0.2">
      <c r="G1181" s="401"/>
    </row>
    <row r="1182" spans="7:7" hidden="1" x14ac:dyDescent="0.2">
      <c r="G1182" s="401"/>
    </row>
    <row r="1183" spans="7:7" hidden="1" x14ac:dyDescent="0.2">
      <c r="G1183" s="401"/>
    </row>
    <row r="1184" spans="7:7" hidden="1" x14ac:dyDescent="0.2">
      <c r="G1184" s="401"/>
    </row>
    <row r="1185" spans="7:7" hidden="1" x14ac:dyDescent="0.2">
      <c r="G1185" s="401"/>
    </row>
    <row r="1186" spans="7:7" hidden="1" x14ac:dyDescent="0.2">
      <c r="G1186" s="401"/>
    </row>
    <row r="1187" spans="7:7" hidden="1" x14ac:dyDescent="0.2">
      <c r="G1187" s="401"/>
    </row>
    <row r="1188" spans="7:7" hidden="1" x14ac:dyDescent="0.2">
      <c r="G1188" s="401"/>
    </row>
    <row r="1189" spans="7:7" hidden="1" x14ac:dyDescent="0.2">
      <c r="G1189" s="401"/>
    </row>
    <row r="1190" spans="7:7" hidden="1" x14ac:dyDescent="0.2">
      <c r="G1190" s="401"/>
    </row>
    <row r="1191" spans="7:7" hidden="1" x14ac:dyDescent="0.2">
      <c r="G1191" s="401"/>
    </row>
    <row r="1192" spans="7:7" hidden="1" x14ac:dyDescent="0.2">
      <c r="G1192" s="401"/>
    </row>
    <row r="1193" spans="7:7" hidden="1" x14ac:dyDescent="0.2">
      <c r="G1193" s="401"/>
    </row>
    <row r="1194" spans="7:7" hidden="1" x14ac:dyDescent="0.2">
      <c r="G1194" s="401"/>
    </row>
    <row r="1195" spans="7:7" hidden="1" x14ac:dyDescent="0.2">
      <c r="G1195" s="401"/>
    </row>
    <row r="1196" spans="7:7" hidden="1" x14ac:dyDescent="0.2">
      <c r="G1196" s="401"/>
    </row>
    <row r="1197" spans="7:7" hidden="1" x14ac:dyDescent="0.2">
      <c r="G1197" s="401"/>
    </row>
    <row r="1198" spans="7:7" hidden="1" x14ac:dyDescent="0.2">
      <c r="G1198" s="401"/>
    </row>
    <row r="1199" spans="7:7" hidden="1" x14ac:dyDescent="0.2">
      <c r="G1199" s="401"/>
    </row>
    <row r="1200" spans="7:7" hidden="1" x14ac:dyDescent="0.2">
      <c r="G1200" s="401"/>
    </row>
    <row r="1201" spans="7:7" hidden="1" x14ac:dyDescent="0.2">
      <c r="G1201" s="401"/>
    </row>
    <row r="1202" spans="7:7" hidden="1" x14ac:dyDescent="0.2">
      <c r="G1202" s="401"/>
    </row>
    <row r="1203" spans="7:7" hidden="1" x14ac:dyDescent="0.2">
      <c r="G1203" s="401"/>
    </row>
    <row r="1204" spans="7:7" hidden="1" x14ac:dyDescent="0.2">
      <c r="G1204" s="401"/>
    </row>
    <row r="1205" spans="7:7" hidden="1" x14ac:dyDescent="0.2">
      <c r="G1205" s="401"/>
    </row>
    <row r="1206" spans="7:7" hidden="1" x14ac:dyDescent="0.2">
      <c r="G1206" s="401"/>
    </row>
    <row r="1207" spans="7:7" hidden="1" x14ac:dyDescent="0.2">
      <c r="G1207" s="401"/>
    </row>
    <row r="1208" spans="7:7" hidden="1" x14ac:dyDescent="0.2">
      <c r="G1208" s="401"/>
    </row>
    <row r="1209" spans="7:7" hidden="1" x14ac:dyDescent="0.2">
      <c r="G1209" s="401"/>
    </row>
    <row r="1210" spans="7:7" hidden="1" x14ac:dyDescent="0.2">
      <c r="G1210" s="401"/>
    </row>
    <row r="1211" spans="7:7" hidden="1" x14ac:dyDescent="0.2">
      <c r="G1211" s="401"/>
    </row>
    <row r="1212" spans="7:7" hidden="1" x14ac:dyDescent="0.2">
      <c r="G1212" s="401"/>
    </row>
    <row r="1213" spans="7:7" hidden="1" x14ac:dyDescent="0.2">
      <c r="G1213" s="401"/>
    </row>
    <row r="1214" spans="7:7" hidden="1" x14ac:dyDescent="0.2">
      <c r="G1214" s="401"/>
    </row>
    <row r="1215" spans="7:7" hidden="1" x14ac:dyDescent="0.2">
      <c r="G1215" s="401"/>
    </row>
    <row r="1216" spans="7:7" hidden="1" x14ac:dyDescent="0.2">
      <c r="G1216" s="401"/>
    </row>
    <row r="1217" spans="7:7" hidden="1" x14ac:dyDescent="0.2">
      <c r="G1217" s="401"/>
    </row>
    <row r="1218" spans="7:7" hidden="1" x14ac:dyDescent="0.2">
      <c r="G1218" s="401"/>
    </row>
    <row r="1219" spans="7:7" hidden="1" x14ac:dyDescent="0.2">
      <c r="G1219" s="401"/>
    </row>
    <row r="1220" spans="7:7" hidden="1" x14ac:dyDescent="0.2">
      <c r="G1220" s="401"/>
    </row>
    <row r="1221" spans="7:7" hidden="1" x14ac:dyDescent="0.2">
      <c r="G1221" s="401"/>
    </row>
    <row r="1222" spans="7:7" hidden="1" x14ac:dyDescent="0.2">
      <c r="G1222" s="401"/>
    </row>
    <row r="1223" spans="7:7" hidden="1" x14ac:dyDescent="0.2">
      <c r="G1223" s="401"/>
    </row>
    <row r="1224" spans="7:7" hidden="1" x14ac:dyDescent="0.2">
      <c r="G1224" s="401"/>
    </row>
    <row r="1225" spans="7:7" hidden="1" x14ac:dyDescent="0.2">
      <c r="G1225" s="401"/>
    </row>
    <row r="1226" spans="7:7" hidden="1" x14ac:dyDescent="0.2">
      <c r="G1226" s="401"/>
    </row>
    <row r="1227" spans="7:7" hidden="1" x14ac:dyDescent="0.2">
      <c r="G1227" s="401"/>
    </row>
    <row r="1228" spans="7:7" hidden="1" x14ac:dyDescent="0.2">
      <c r="G1228" s="401"/>
    </row>
    <row r="1229" spans="7:7" hidden="1" x14ac:dyDescent="0.2">
      <c r="G1229" s="401"/>
    </row>
    <row r="1230" spans="7:7" hidden="1" x14ac:dyDescent="0.2">
      <c r="G1230" s="401"/>
    </row>
    <row r="1231" spans="7:7" hidden="1" x14ac:dyDescent="0.2">
      <c r="G1231" s="401"/>
    </row>
    <row r="1232" spans="7:7" hidden="1" x14ac:dyDescent="0.2">
      <c r="G1232" s="401"/>
    </row>
    <row r="1233" spans="7:7" hidden="1" x14ac:dyDescent="0.2">
      <c r="G1233" s="401"/>
    </row>
    <row r="1234" spans="7:7" hidden="1" x14ac:dyDescent="0.2">
      <c r="G1234" s="401"/>
    </row>
    <row r="1235" spans="7:7" hidden="1" x14ac:dyDescent="0.2">
      <c r="G1235" s="401"/>
    </row>
    <row r="1236" spans="7:7" hidden="1" x14ac:dyDescent="0.2">
      <c r="G1236" s="401"/>
    </row>
    <row r="1237" spans="7:7" hidden="1" x14ac:dyDescent="0.2">
      <c r="G1237" s="401"/>
    </row>
    <row r="1238" spans="7:7" hidden="1" x14ac:dyDescent="0.2">
      <c r="G1238" s="401"/>
    </row>
    <row r="1239" spans="7:7" hidden="1" x14ac:dyDescent="0.2">
      <c r="G1239" s="401"/>
    </row>
    <row r="1240" spans="7:7" hidden="1" x14ac:dyDescent="0.2">
      <c r="G1240" s="401"/>
    </row>
    <row r="1241" spans="7:7" hidden="1" x14ac:dyDescent="0.2">
      <c r="G1241" s="401"/>
    </row>
    <row r="1242" spans="7:7" hidden="1" x14ac:dyDescent="0.2">
      <c r="G1242" s="401"/>
    </row>
    <row r="1243" spans="7:7" hidden="1" x14ac:dyDescent="0.2">
      <c r="G1243" s="401"/>
    </row>
    <row r="1244" spans="7:7" hidden="1" x14ac:dyDescent="0.2">
      <c r="G1244" s="401"/>
    </row>
    <row r="1245" spans="7:7" hidden="1" x14ac:dyDescent="0.2">
      <c r="G1245" s="401"/>
    </row>
    <row r="1246" spans="7:7" hidden="1" x14ac:dyDescent="0.2">
      <c r="G1246" s="401"/>
    </row>
    <row r="1247" spans="7:7" hidden="1" x14ac:dyDescent="0.2">
      <c r="G1247" s="401"/>
    </row>
    <row r="1248" spans="7:7" hidden="1" x14ac:dyDescent="0.2">
      <c r="G1248" s="401"/>
    </row>
    <row r="1249" spans="7:7" hidden="1" x14ac:dyDescent="0.2">
      <c r="G1249" s="401"/>
    </row>
    <row r="1250" spans="7:7" hidden="1" x14ac:dyDescent="0.2">
      <c r="G1250" s="401"/>
    </row>
    <row r="1251" spans="7:7" hidden="1" x14ac:dyDescent="0.2">
      <c r="G1251" s="401"/>
    </row>
    <row r="1252" spans="7:7" hidden="1" x14ac:dyDescent="0.2">
      <c r="G1252" s="401"/>
    </row>
    <row r="1253" spans="7:7" hidden="1" x14ac:dyDescent="0.2">
      <c r="G1253" s="401"/>
    </row>
    <row r="1254" spans="7:7" hidden="1" x14ac:dyDescent="0.2">
      <c r="G1254" s="401"/>
    </row>
    <row r="1255" spans="7:7" hidden="1" x14ac:dyDescent="0.2">
      <c r="G1255" s="401"/>
    </row>
    <row r="1256" spans="7:7" hidden="1" x14ac:dyDescent="0.2">
      <c r="G1256" s="401"/>
    </row>
    <row r="1257" spans="7:7" hidden="1" x14ac:dyDescent="0.2">
      <c r="G1257" s="401"/>
    </row>
    <row r="1258" spans="7:7" hidden="1" x14ac:dyDescent="0.2">
      <c r="G1258" s="401"/>
    </row>
    <row r="1259" spans="7:7" hidden="1" x14ac:dyDescent="0.2">
      <c r="G1259" s="401"/>
    </row>
    <row r="1260" spans="7:7" hidden="1" x14ac:dyDescent="0.2">
      <c r="G1260" s="401"/>
    </row>
    <row r="1261" spans="7:7" hidden="1" x14ac:dyDescent="0.2">
      <c r="G1261" s="401"/>
    </row>
    <row r="1262" spans="7:7" hidden="1" x14ac:dyDescent="0.2">
      <c r="G1262" s="401"/>
    </row>
    <row r="1263" spans="7:7" hidden="1" x14ac:dyDescent="0.2">
      <c r="G1263" s="401"/>
    </row>
    <row r="1264" spans="7:7" hidden="1" x14ac:dyDescent="0.2">
      <c r="G1264" s="401"/>
    </row>
    <row r="1265" spans="7:7" hidden="1" x14ac:dyDescent="0.2">
      <c r="G1265" s="401"/>
    </row>
    <row r="1266" spans="7:7" hidden="1" x14ac:dyDescent="0.2">
      <c r="G1266" s="401"/>
    </row>
    <row r="1267" spans="7:7" hidden="1" x14ac:dyDescent="0.2">
      <c r="G1267" s="401"/>
    </row>
    <row r="1268" spans="7:7" hidden="1" x14ac:dyDescent="0.2">
      <c r="G1268" s="401"/>
    </row>
    <row r="1269" spans="7:7" hidden="1" x14ac:dyDescent="0.2">
      <c r="G1269" s="401"/>
    </row>
    <row r="1270" spans="7:7" hidden="1" x14ac:dyDescent="0.2">
      <c r="G1270" s="401"/>
    </row>
    <row r="1271" spans="7:7" hidden="1" x14ac:dyDescent="0.2">
      <c r="G1271" s="401"/>
    </row>
    <row r="1272" spans="7:7" hidden="1" x14ac:dyDescent="0.2">
      <c r="G1272" s="401"/>
    </row>
    <row r="1273" spans="7:7" hidden="1" x14ac:dyDescent="0.2">
      <c r="G1273" s="401"/>
    </row>
    <row r="1274" spans="7:7" hidden="1" x14ac:dyDescent="0.2">
      <c r="G1274" s="401"/>
    </row>
    <row r="1275" spans="7:7" hidden="1" x14ac:dyDescent="0.2">
      <c r="G1275" s="401"/>
    </row>
    <row r="1276" spans="7:7" hidden="1" x14ac:dyDescent="0.2">
      <c r="G1276" s="401"/>
    </row>
    <row r="1277" spans="7:7" hidden="1" x14ac:dyDescent="0.2">
      <c r="G1277" s="401"/>
    </row>
    <row r="1278" spans="7:7" hidden="1" x14ac:dyDescent="0.2">
      <c r="G1278" s="401"/>
    </row>
    <row r="1279" spans="7:7" hidden="1" x14ac:dyDescent="0.2">
      <c r="G1279" s="401"/>
    </row>
    <row r="1280" spans="7:7" hidden="1" x14ac:dyDescent="0.2">
      <c r="G1280" s="401"/>
    </row>
    <row r="1281" spans="7:7" hidden="1" x14ac:dyDescent="0.2">
      <c r="G1281" s="401"/>
    </row>
    <row r="1282" spans="7:7" hidden="1" x14ac:dyDescent="0.2">
      <c r="G1282" s="401"/>
    </row>
    <row r="1283" spans="7:7" hidden="1" x14ac:dyDescent="0.2">
      <c r="G1283" s="401"/>
    </row>
    <row r="1284" spans="7:7" hidden="1" x14ac:dyDescent="0.2">
      <c r="G1284" s="401"/>
    </row>
    <row r="1285" spans="7:7" hidden="1" x14ac:dyDescent="0.2">
      <c r="G1285" s="401"/>
    </row>
    <row r="1286" spans="7:7" hidden="1" x14ac:dyDescent="0.2">
      <c r="G1286" s="401"/>
    </row>
    <row r="1287" spans="7:7" hidden="1" x14ac:dyDescent="0.2">
      <c r="G1287" s="401"/>
    </row>
    <row r="1288" spans="7:7" hidden="1" x14ac:dyDescent="0.2">
      <c r="G1288" s="401"/>
    </row>
    <row r="1289" spans="7:7" hidden="1" x14ac:dyDescent="0.2">
      <c r="G1289" s="401"/>
    </row>
    <row r="1290" spans="7:7" hidden="1" x14ac:dyDescent="0.2">
      <c r="G1290" s="401"/>
    </row>
    <row r="1291" spans="7:7" hidden="1" x14ac:dyDescent="0.2">
      <c r="G1291" s="401"/>
    </row>
    <row r="1292" spans="7:7" hidden="1" x14ac:dyDescent="0.2">
      <c r="G1292" s="401"/>
    </row>
    <row r="1293" spans="7:7" hidden="1" x14ac:dyDescent="0.2">
      <c r="G1293" s="401"/>
    </row>
    <row r="1294" spans="7:7" hidden="1" x14ac:dyDescent="0.2">
      <c r="G1294" s="401"/>
    </row>
    <row r="1295" spans="7:7" hidden="1" x14ac:dyDescent="0.2">
      <c r="G1295" s="401"/>
    </row>
    <row r="1296" spans="7:7" hidden="1" x14ac:dyDescent="0.2">
      <c r="G1296" s="401"/>
    </row>
    <row r="1297" spans="7:7" hidden="1" x14ac:dyDescent="0.2">
      <c r="G1297" s="401"/>
    </row>
    <row r="1298" spans="7:7" hidden="1" x14ac:dyDescent="0.2">
      <c r="G1298" s="401"/>
    </row>
    <row r="1299" spans="7:7" hidden="1" x14ac:dyDescent="0.2">
      <c r="G1299" s="401"/>
    </row>
    <row r="1300" spans="7:7" hidden="1" x14ac:dyDescent="0.2">
      <c r="G1300" s="401"/>
    </row>
    <row r="1301" spans="7:7" hidden="1" x14ac:dyDescent="0.2">
      <c r="G1301" s="401"/>
    </row>
    <row r="1302" spans="7:7" hidden="1" x14ac:dyDescent="0.2">
      <c r="G1302" s="401"/>
    </row>
    <row r="1303" spans="7:7" hidden="1" x14ac:dyDescent="0.2">
      <c r="G1303" s="401"/>
    </row>
    <row r="1304" spans="7:7" hidden="1" x14ac:dyDescent="0.2">
      <c r="G1304" s="401"/>
    </row>
    <row r="1305" spans="7:7" hidden="1" x14ac:dyDescent="0.2">
      <c r="G1305" s="401"/>
    </row>
    <row r="1306" spans="7:7" hidden="1" x14ac:dyDescent="0.2">
      <c r="G1306" s="401"/>
    </row>
    <row r="1307" spans="7:7" hidden="1" x14ac:dyDescent="0.2">
      <c r="G1307" s="401"/>
    </row>
    <row r="1308" spans="7:7" hidden="1" x14ac:dyDescent="0.2">
      <c r="G1308" s="401"/>
    </row>
    <row r="1309" spans="7:7" hidden="1" x14ac:dyDescent="0.2">
      <c r="G1309" s="401"/>
    </row>
    <row r="1310" spans="7:7" hidden="1" x14ac:dyDescent="0.2">
      <c r="G1310" s="401"/>
    </row>
    <row r="1311" spans="7:7" hidden="1" x14ac:dyDescent="0.2">
      <c r="G1311" s="401"/>
    </row>
    <row r="1312" spans="7:7" hidden="1" x14ac:dyDescent="0.2">
      <c r="G1312" s="401"/>
    </row>
    <row r="1313" spans="7:7" hidden="1" x14ac:dyDescent="0.2">
      <c r="G1313" s="401"/>
    </row>
    <row r="1314" spans="7:7" hidden="1" x14ac:dyDescent="0.2">
      <c r="G1314" s="401"/>
    </row>
    <row r="1315" spans="7:7" hidden="1" x14ac:dyDescent="0.2">
      <c r="G1315" s="401"/>
    </row>
    <row r="1316" spans="7:7" hidden="1" x14ac:dyDescent="0.2">
      <c r="G1316" s="401"/>
    </row>
    <row r="1317" spans="7:7" hidden="1" x14ac:dyDescent="0.2">
      <c r="G1317" s="401"/>
    </row>
    <row r="1318" spans="7:7" hidden="1" x14ac:dyDescent="0.2">
      <c r="G1318" s="401"/>
    </row>
    <row r="1319" spans="7:7" hidden="1" x14ac:dyDescent="0.2">
      <c r="G1319" s="401"/>
    </row>
    <row r="1320" spans="7:7" hidden="1" x14ac:dyDescent="0.2">
      <c r="G1320" s="401"/>
    </row>
    <row r="1321" spans="7:7" hidden="1" x14ac:dyDescent="0.2">
      <c r="G1321" s="401"/>
    </row>
    <row r="1322" spans="7:7" hidden="1" x14ac:dyDescent="0.2">
      <c r="G1322" s="401"/>
    </row>
    <row r="1323" spans="7:7" hidden="1" x14ac:dyDescent="0.2">
      <c r="G1323" s="401"/>
    </row>
    <row r="1324" spans="7:7" hidden="1" x14ac:dyDescent="0.2">
      <c r="G1324" s="401"/>
    </row>
    <row r="1325" spans="7:7" hidden="1" x14ac:dyDescent="0.2">
      <c r="G1325" s="401"/>
    </row>
    <row r="1326" spans="7:7" hidden="1" x14ac:dyDescent="0.2">
      <c r="G1326" s="401"/>
    </row>
    <row r="1327" spans="7:7" hidden="1" x14ac:dyDescent="0.2">
      <c r="G1327" s="401"/>
    </row>
    <row r="1328" spans="7:7" hidden="1" x14ac:dyDescent="0.2">
      <c r="G1328" s="401"/>
    </row>
    <row r="1329" spans="7:7" hidden="1" x14ac:dyDescent="0.2">
      <c r="G1329" s="401"/>
    </row>
    <row r="1330" spans="7:7" hidden="1" x14ac:dyDescent="0.2">
      <c r="G1330" s="401"/>
    </row>
    <row r="1331" spans="7:7" hidden="1" x14ac:dyDescent="0.2">
      <c r="G1331" s="401"/>
    </row>
    <row r="1332" spans="7:7" hidden="1" x14ac:dyDescent="0.2">
      <c r="G1332" s="401"/>
    </row>
    <row r="1333" spans="7:7" hidden="1" x14ac:dyDescent="0.2">
      <c r="G1333" s="401"/>
    </row>
    <row r="1334" spans="7:7" hidden="1" x14ac:dyDescent="0.2">
      <c r="G1334" s="401"/>
    </row>
    <row r="1335" spans="7:7" hidden="1" x14ac:dyDescent="0.2">
      <c r="G1335" s="401"/>
    </row>
    <row r="1336" spans="7:7" hidden="1" x14ac:dyDescent="0.2">
      <c r="G1336" s="401"/>
    </row>
    <row r="1337" spans="7:7" hidden="1" x14ac:dyDescent="0.2">
      <c r="G1337" s="401"/>
    </row>
    <row r="1338" spans="7:7" hidden="1" x14ac:dyDescent="0.2">
      <c r="G1338" s="401"/>
    </row>
    <row r="1339" spans="7:7" hidden="1" x14ac:dyDescent="0.2">
      <c r="G1339" s="401"/>
    </row>
    <row r="1340" spans="7:7" hidden="1" x14ac:dyDescent="0.2">
      <c r="G1340" s="401"/>
    </row>
    <row r="1341" spans="7:7" hidden="1" x14ac:dyDescent="0.2">
      <c r="G1341" s="401"/>
    </row>
    <row r="1342" spans="7:7" hidden="1" x14ac:dyDescent="0.2">
      <c r="G1342" s="401"/>
    </row>
    <row r="1343" spans="7:7" hidden="1" x14ac:dyDescent="0.2">
      <c r="G1343" s="401"/>
    </row>
    <row r="1344" spans="7:7" hidden="1" x14ac:dyDescent="0.2">
      <c r="G1344" s="401"/>
    </row>
    <row r="1345" spans="7:7" hidden="1" x14ac:dyDescent="0.2">
      <c r="G1345" s="401"/>
    </row>
    <row r="1346" spans="7:7" hidden="1" x14ac:dyDescent="0.2">
      <c r="G1346" s="401"/>
    </row>
    <row r="1347" spans="7:7" hidden="1" x14ac:dyDescent="0.2">
      <c r="G1347" s="401"/>
    </row>
    <row r="1348" spans="7:7" hidden="1" x14ac:dyDescent="0.2">
      <c r="G1348" s="401"/>
    </row>
    <row r="1349" spans="7:7" hidden="1" x14ac:dyDescent="0.2">
      <c r="G1349" s="401"/>
    </row>
    <row r="1350" spans="7:7" hidden="1" x14ac:dyDescent="0.2">
      <c r="G1350" s="401"/>
    </row>
    <row r="1351" spans="7:7" hidden="1" x14ac:dyDescent="0.2">
      <c r="G1351" s="401"/>
    </row>
    <row r="1352" spans="7:7" hidden="1" x14ac:dyDescent="0.2">
      <c r="G1352" s="401"/>
    </row>
    <row r="1353" spans="7:7" hidden="1" x14ac:dyDescent="0.2">
      <c r="G1353" s="401"/>
    </row>
    <row r="1354" spans="7:7" hidden="1" x14ac:dyDescent="0.2">
      <c r="G1354" s="401"/>
    </row>
    <row r="1355" spans="7:7" hidden="1" x14ac:dyDescent="0.2">
      <c r="G1355" s="401"/>
    </row>
    <row r="1356" spans="7:7" hidden="1" x14ac:dyDescent="0.2">
      <c r="G1356" s="401"/>
    </row>
    <row r="1357" spans="7:7" hidden="1" x14ac:dyDescent="0.2">
      <c r="G1357" s="401"/>
    </row>
    <row r="1358" spans="7:7" hidden="1" x14ac:dyDescent="0.2">
      <c r="G1358" s="401"/>
    </row>
    <row r="1359" spans="7:7" hidden="1" x14ac:dyDescent="0.2">
      <c r="G1359" s="401"/>
    </row>
    <row r="1360" spans="7:7" hidden="1" x14ac:dyDescent="0.2">
      <c r="G1360" s="401"/>
    </row>
    <row r="1361" spans="7:7" hidden="1" x14ac:dyDescent="0.2">
      <c r="G1361" s="401"/>
    </row>
    <row r="1362" spans="7:7" hidden="1" x14ac:dyDescent="0.2">
      <c r="G1362" s="401"/>
    </row>
    <row r="1363" spans="7:7" hidden="1" x14ac:dyDescent="0.2">
      <c r="G1363" s="401"/>
    </row>
    <row r="1364" spans="7:7" hidden="1" x14ac:dyDescent="0.2">
      <c r="G1364" s="401"/>
    </row>
    <row r="1365" spans="7:7" hidden="1" x14ac:dyDescent="0.2">
      <c r="G1365" s="401"/>
    </row>
    <row r="1366" spans="7:7" hidden="1" x14ac:dyDescent="0.2">
      <c r="G1366" s="401"/>
    </row>
    <row r="1367" spans="7:7" hidden="1" x14ac:dyDescent="0.2">
      <c r="G1367" s="401"/>
    </row>
    <row r="1368" spans="7:7" hidden="1" x14ac:dyDescent="0.2">
      <c r="G1368" s="401"/>
    </row>
    <row r="1369" spans="7:7" hidden="1" x14ac:dyDescent="0.2">
      <c r="G1369" s="401"/>
    </row>
    <row r="1370" spans="7:7" hidden="1" x14ac:dyDescent="0.2">
      <c r="G1370" s="401"/>
    </row>
    <row r="1371" spans="7:7" hidden="1" x14ac:dyDescent="0.2">
      <c r="G1371" s="401"/>
    </row>
    <row r="1372" spans="7:7" hidden="1" x14ac:dyDescent="0.2">
      <c r="G1372" s="401"/>
    </row>
    <row r="1373" spans="7:7" hidden="1" x14ac:dyDescent="0.2">
      <c r="G1373" s="401"/>
    </row>
    <row r="1374" spans="7:7" hidden="1" x14ac:dyDescent="0.2">
      <c r="G1374" s="401"/>
    </row>
    <row r="1375" spans="7:7" hidden="1" x14ac:dyDescent="0.2">
      <c r="G1375" s="401"/>
    </row>
    <row r="1376" spans="7:7" hidden="1" x14ac:dyDescent="0.2">
      <c r="G1376" s="401"/>
    </row>
    <row r="1377" spans="7:7" hidden="1" x14ac:dyDescent="0.2">
      <c r="G1377" s="401"/>
    </row>
    <row r="1378" spans="7:7" hidden="1" x14ac:dyDescent="0.2">
      <c r="G1378" s="401"/>
    </row>
    <row r="1379" spans="7:7" hidden="1" x14ac:dyDescent="0.2">
      <c r="G1379" s="401"/>
    </row>
    <row r="1380" spans="7:7" hidden="1" x14ac:dyDescent="0.2">
      <c r="G1380" s="401"/>
    </row>
    <row r="1381" spans="7:7" hidden="1" x14ac:dyDescent="0.2">
      <c r="G1381" s="401"/>
    </row>
    <row r="1382" spans="7:7" hidden="1" x14ac:dyDescent="0.2">
      <c r="G1382" s="401"/>
    </row>
    <row r="1383" spans="7:7" hidden="1" x14ac:dyDescent="0.2">
      <c r="G1383" s="401"/>
    </row>
    <row r="1384" spans="7:7" hidden="1" x14ac:dyDescent="0.2">
      <c r="G1384" s="401"/>
    </row>
    <row r="1385" spans="7:7" hidden="1" x14ac:dyDescent="0.2">
      <c r="G1385" s="401"/>
    </row>
    <row r="1386" spans="7:7" hidden="1" x14ac:dyDescent="0.2">
      <c r="G1386" s="401"/>
    </row>
    <row r="1387" spans="7:7" hidden="1" x14ac:dyDescent="0.2">
      <c r="G1387" s="401"/>
    </row>
    <row r="1388" spans="7:7" hidden="1" x14ac:dyDescent="0.2">
      <c r="G1388" s="401"/>
    </row>
    <row r="1389" spans="7:7" hidden="1" x14ac:dyDescent="0.2">
      <c r="G1389" s="401"/>
    </row>
    <row r="1390" spans="7:7" hidden="1" x14ac:dyDescent="0.2">
      <c r="G1390" s="401"/>
    </row>
    <row r="1391" spans="7:7" hidden="1" x14ac:dyDescent="0.2">
      <c r="G1391" s="401"/>
    </row>
    <row r="1392" spans="7:7" hidden="1" x14ac:dyDescent="0.2">
      <c r="G1392" s="401"/>
    </row>
    <row r="1393" spans="7:7" hidden="1" x14ac:dyDescent="0.2">
      <c r="G1393" s="401"/>
    </row>
    <row r="1394" spans="7:7" hidden="1" x14ac:dyDescent="0.2">
      <c r="G1394" s="401"/>
    </row>
    <row r="1395" spans="7:7" hidden="1" x14ac:dyDescent="0.2">
      <c r="G1395" s="401"/>
    </row>
    <row r="1396" spans="7:7" hidden="1" x14ac:dyDescent="0.2">
      <c r="G1396" s="401"/>
    </row>
    <row r="1397" spans="7:7" hidden="1" x14ac:dyDescent="0.2">
      <c r="G1397" s="401"/>
    </row>
    <row r="1398" spans="7:7" hidden="1" x14ac:dyDescent="0.2">
      <c r="G1398" s="401"/>
    </row>
    <row r="1399" spans="7:7" hidden="1" x14ac:dyDescent="0.2">
      <c r="G1399" s="401"/>
    </row>
    <row r="1400" spans="7:7" hidden="1" x14ac:dyDescent="0.2">
      <c r="G1400" s="401"/>
    </row>
    <row r="1401" spans="7:7" hidden="1" x14ac:dyDescent="0.2">
      <c r="G1401" s="401"/>
    </row>
    <row r="1402" spans="7:7" hidden="1" x14ac:dyDescent="0.2">
      <c r="G1402" s="401"/>
    </row>
    <row r="1403" spans="7:7" hidden="1" x14ac:dyDescent="0.2">
      <c r="G1403" s="401"/>
    </row>
    <row r="1404" spans="7:7" hidden="1" x14ac:dyDescent="0.2">
      <c r="G1404" s="401"/>
    </row>
    <row r="1405" spans="7:7" hidden="1" x14ac:dyDescent="0.2">
      <c r="G1405" s="401"/>
    </row>
    <row r="1406" spans="7:7" hidden="1" x14ac:dyDescent="0.2">
      <c r="G1406" s="401"/>
    </row>
    <row r="1407" spans="7:7" hidden="1" x14ac:dyDescent="0.2">
      <c r="G1407" s="401"/>
    </row>
    <row r="1408" spans="7:7" hidden="1" x14ac:dyDescent="0.2">
      <c r="G1408" s="401"/>
    </row>
    <row r="1409" spans="7:7" hidden="1" x14ac:dyDescent="0.2">
      <c r="G1409" s="401"/>
    </row>
    <row r="1410" spans="7:7" hidden="1" x14ac:dyDescent="0.2">
      <c r="G1410" s="401"/>
    </row>
    <row r="1411" spans="7:7" hidden="1" x14ac:dyDescent="0.2">
      <c r="G1411" s="401"/>
    </row>
    <row r="1412" spans="7:7" hidden="1" x14ac:dyDescent="0.2">
      <c r="G1412" s="401"/>
    </row>
    <row r="1413" spans="7:7" hidden="1" x14ac:dyDescent="0.2">
      <c r="G1413" s="401"/>
    </row>
    <row r="1414" spans="7:7" hidden="1" x14ac:dyDescent="0.2">
      <c r="G1414" s="401"/>
    </row>
    <row r="1415" spans="7:7" hidden="1" x14ac:dyDescent="0.2">
      <c r="G1415" s="401"/>
    </row>
    <row r="1416" spans="7:7" hidden="1" x14ac:dyDescent="0.2">
      <c r="G1416" s="401"/>
    </row>
    <row r="1417" spans="7:7" hidden="1" x14ac:dyDescent="0.2">
      <c r="G1417" s="401"/>
    </row>
    <row r="1418" spans="7:7" hidden="1" x14ac:dyDescent="0.2">
      <c r="G1418" s="401"/>
    </row>
    <row r="1419" spans="7:7" hidden="1" x14ac:dyDescent="0.2">
      <c r="G1419" s="401"/>
    </row>
    <row r="1420" spans="7:7" hidden="1" x14ac:dyDescent="0.2">
      <c r="G1420" s="401"/>
    </row>
    <row r="1421" spans="7:7" hidden="1" x14ac:dyDescent="0.2">
      <c r="G1421" s="401"/>
    </row>
    <row r="1422" spans="7:7" hidden="1" x14ac:dyDescent="0.2">
      <c r="G1422" s="401"/>
    </row>
    <row r="1423" spans="7:7" hidden="1" x14ac:dyDescent="0.2">
      <c r="G1423" s="401"/>
    </row>
    <row r="1424" spans="7:7" hidden="1" x14ac:dyDescent="0.2">
      <c r="G1424" s="401"/>
    </row>
    <row r="1425" spans="7:7" hidden="1" x14ac:dyDescent="0.2">
      <c r="G1425" s="401"/>
    </row>
    <row r="1426" spans="7:7" hidden="1" x14ac:dyDescent="0.2">
      <c r="G1426" s="401"/>
    </row>
    <row r="1427" spans="7:7" hidden="1" x14ac:dyDescent="0.2">
      <c r="G1427" s="401"/>
    </row>
    <row r="1428" spans="7:7" hidden="1" x14ac:dyDescent="0.2">
      <c r="G1428" s="401"/>
    </row>
    <row r="1429" spans="7:7" hidden="1" x14ac:dyDescent="0.2">
      <c r="G1429" s="401"/>
    </row>
    <row r="1430" spans="7:7" hidden="1" x14ac:dyDescent="0.2">
      <c r="G1430" s="401"/>
    </row>
    <row r="1431" spans="7:7" hidden="1" x14ac:dyDescent="0.2">
      <c r="G1431" s="401"/>
    </row>
    <row r="1432" spans="7:7" hidden="1" x14ac:dyDescent="0.2">
      <c r="G1432" s="401"/>
    </row>
    <row r="1433" spans="7:7" hidden="1" x14ac:dyDescent="0.2">
      <c r="G1433" s="401"/>
    </row>
    <row r="1434" spans="7:7" hidden="1" x14ac:dyDescent="0.2">
      <c r="G1434" s="401"/>
    </row>
    <row r="1435" spans="7:7" hidden="1" x14ac:dyDescent="0.2">
      <c r="G1435" s="401"/>
    </row>
    <row r="1436" spans="7:7" hidden="1" x14ac:dyDescent="0.2">
      <c r="G1436" s="401"/>
    </row>
    <row r="1437" spans="7:7" hidden="1" x14ac:dyDescent="0.2">
      <c r="G1437" s="401"/>
    </row>
    <row r="1438" spans="7:7" hidden="1" x14ac:dyDescent="0.2">
      <c r="G1438" s="401"/>
    </row>
    <row r="1439" spans="7:7" hidden="1" x14ac:dyDescent="0.2">
      <c r="G1439" s="401"/>
    </row>
    <row r="1440" spans="7:7" hidden="1" x14ac:dyDescent="0.2">
      <c r="G1440" s="401"/>
    </row>
    <row r="1441" spans="7:7" hidden="1" x14ac:dyDescent="0.2">
      <c r="G1441" s="401"/>
    </row>
    <row r="1442" spans="7:7" hidden="1" x14ac:dyDescent="0.2">
      <c r="G1442" s="401"/>
    </row>
    <row r="1443" spans="7:7" hidden="1" x14ac:dyDescent="0.2">
      <c r="G1443" s="401"/>
    </row>
    <row r="1444" spans="7:7" hidden="1" x14ac:dyDescent="0.2">
      <c r="G1444" s="401"/>
    </row>
    <row r="1445" spans="7:7" hidden="1" x14ac:dyDescent="0.2">
      <c r="G1445" s="401"/>
    </row>
    <row r="1446" spans="7:7" hidden="1" x14ac:dyDescent="0.2">
      <c r="G1446" s="401"/>
    </row>
    <row r="1447" spans="7:7" hidden="1" x14ac:dyDescent="0.2">
      <c r="G1447" s="401"/>
    </row>
    <row r="1448" spans="7:7" hidden="1" x14ac:dyDescent="0.2">
      <c r="G1448" s="401"/>
    </row>
    <row r="1449" spans="7:7" hidden="1" x14ac:dyDescent="0.2">
      <c r="G1449" s="401"/>
    </row>
    <row r="1450" spans="7:7" hidden="1" x14ac:dyDescent="0.2">
      <c r="G1450" s="401"/>
    </row>
    <row r="1451" spans="7:7" hidden="1" x14ac:dyDescent="0.2">
      <c r="G1451" s="401"/>
    </row>
    <row r="1452" spans="7:7" hidden="1" x14ac:dyDescent="0.2">
      <c r="G1452" s="401"/>
    </row>
    <row r="1453" spans="7:7" hidden="1" x14ac:dyDescent="0.2">
      <c r="G1453" s="401"/>
    </row>
    <row r="1454" spans="7:7" hidden="1" x14ac:dyDescent="0.2">
      <c r="G1454" s="401"/>
    </row>
    <row r="1455" spans="7:7" hidden="1" x14ac:dyDescent="0.2">
      <c r="G1455" s="401"/>
    </row>
    <row r="1456" spans="7:7" hidden="1" x14ac:dyDescent="0.2">
      <c r="G1456" s="401"/>
    </row>
    <row r="1457" spans="7:7" hidden="1" x14ac:dyDescent="0.2">
      <c r="G1457" s="401"/>
    </row>
    <row r="1458" spans="7:7" hidden="1" x14ac:dyDescent="0.2">
      <c r="G1458" s="401"/>
    </row>
    <row r="1459" spans="7:7" hidden="1" x14ac:dyDescent="0.2">
      <c r="G1459" s="401"/>
    </row>
    <row r="1460" spans="7:7" hidden="1" x14ac:dyDescent="0.2">
      <c r="G1460" s="401"/>
    </row>
    <row r="1461" spans="7:7" hidden="1" x14ac:dyDescent="0.2">
      <c r="G1461" s="401"/>
    </row>
    <row r="1462" spans="7:7" hidden="1" x14ac:dyDescent="0.2">
      <c r="G1462" s="401"/>
    </row>
    <row r="1463" spans="7:7" hidden="1" x14ac:dyDescent="0.2">
      <c r="G1463" s="401"/>
    </row>
    <row r="1464" spans="7:7" hidden="1" x14ac:dyDescent="0.2">
      <c r="G1464" s="401"/>
    </row>
    <row r="1465" spans="7:7" hidden="1" x14ac:dyDescent="0.2">
      <c r="G1465" s="401"/>
    </row>
    <row r="1466" spans="7:7" hidden="1" x14ac:dyDescent="0.2">
      <c r="G1466" s="401"/>
    </row>
    <row r="1467" spans="7:7" hidden="1" x14ac:dyDescent="0.2">
      <c r="G1467" s="401"/>
    </row>
    <row r="1468" spans="7:7" hidden="1" x14ac:dyDescent="0.2">
      <c r="G1468" s="401"/>
    </row>
    <row r="1469" spans="7:7" hidden="1" x14ac:dyDescent="0.2">
      <c r="G1469" s="401"/>
    </row>
    <row r="1470" spans="7:7" hidden="1" x14ac:dyDescent="0.2">
      <c r="G1470" s="401"/>
    </row>
    <row r="1471" spans="7:7" hidden="1" x14ac:dyDescent="0.2">
      <c r="G1471" s="401"/>
    </row>
    <row r="1472" spans="7:7" hidden="1" x14ac:dyDescent="0.2">
      <c r="G1472" s="401"/>
    </row>
    <row r="1473" spans="7:7" hidden="1" x14ac:dyDescent="0.2">
      <c r="G1473" s="401"/>
    </row>
    <row r="1474" spans="7:7" hidden="1" x14ac:dyDescent="0.2">
      <c r="G1474" s="401"/>
    </row>
    <row r="1475" spans="7:7" hidden="1" x14ac:dyDescent="0.2">
      <c r="G1475" s="401"/>
    </row>
    <row r="1476" spans="7:7" hidden="1" x14ac:dyDescent="0.2">
      <c r="G1476" s="401"/>
    </row>
    <row r="1477" spans="7:7" hidden="1" x14ac:dyDescent="0.2">
      <c r="G1477" s="401"/>
    </row>
    <row r="1478" spans="7:7" hidden="1" x14ac:dyDescent="0.2">
      <c r="G1478" s="401"/>
    </row>
    <row r="1479" spans="7:7" hidden="1" x14ac:dyDescent="0.2">
      <c r="G1479" s="401"/>
    </row>
    <row r="1480" spans="7:7" hidden="1" x14ac:dyDescent="0.2">
      <c r="G1480" s="401"/>
    </row>
    <row r="1481" spans="7:7" hidden="1" x14ac:dyDescent="0.2">
      <c r="G1481" s="401"/>
    </row>
    <row r="1482" spans="7:7" hidden="1" x14ac:dyDescent="0.2">
      <c r="G1482" s="401"/>
    </row>
    <row r="1483" spans="7:7" hidden="1" x14ac:dyDescent="0.2">
      <c r="G1483" s="401"/>
    </row>
    <row r="1484" spans="7:7" hidden="1" x14ac:dyDescent="0.2">
      <c r="G1484" s="401"/>
    </row>
    <row r="1485" spans="7:7" hidden="1" x14ac:dyDescent="0.2">
      <c r="G1485" s="401"/>
    </row>
    <row r="1486" spans="7:7" hidden="1" x14ac:dyDescent="0.2">
      <c r="G1486" s="401"/>
    </row>
    <row r="1487" spans="7:7" hidden="1" x14ac:dyDescent="0.2">
      <c r="G1487" s="401"/>
    </row>
    <row r="1488" spans="7:7" hidden="1" x14ac:dyDescent="0.2">
      <c r="G1488" s="401"/>
    </row>
    <row r="1489" spans="7:7" hidden="1" x14ac:dyDescent="0.2">
      <c r="G1489" s="401"/>
    </row>
    <row r="1490" spans="7:7" hidden="1" x14ac:dyDescent="0.2">
      <c r="G1490" s="401"/>
    </row>
    <row r="1491" spans="7:7" hidden="1" x14ac:dyDescent="0.2">
      <c r="G1491" s="401"/>
    </row>
    <row r="1492" spans="7:7" hidden="1" x14ac:dyDescent="0.2">
      <c r="G1492" s="401"/>
    </row>
    <row r="1493" spans="7:7" hidden="1" x14ac:dyDescent="0.2">
      <c r="G1493" s="401"/>
    </row>
    <row r="1494" spans="7:7" hidden="1" x14ac:dyDescent="0.2">
      <c r="G1494" s="401"/>
    </row>
    <row r="1495" spans="7:7" hidden="1" x14ac:dyDescent="0.2">
      <c r="G1495" s="401"/>
    </row>
    <row r="1496" spans="7:7" hidden="1" x14ac:dyDescent="0.2">
      <c r="G1496" s="401"/>
    </row>
    <row r="1497" spans="7:7" hidden="1" x14ac:dyDescent="0.2">
      <c r="G1497" s="401"/>
    </row>
    <row r="1498" spans="7:7" hidden="1" x14ac:dyDescent="0.2">
      <c r="G1498" s="401"/>
    </row>
    <row r="1499" spans="7:7" hidden="1" x14ac:dyDescent="0.2">
      <c r="G1499" s="401"/>
    </row>
    <row r="1500" spans="7:7" hidden="1" x14ac:dyDescent="0.2">
      <c r="G1500" s="401"/>
    </row>
    <row r="1501" spans="7:7" hidden="1" x14ac:dyDescent="0.2">
      <c r="G1501" s="401"/>
    </row>
    <row r="1502" spans="7:7" hidden="1" x14ac:dyDescent="0.2">
      <c r="G1502" s="401"/>
    </row>
    <row r="1503" spans="7:7" hidden="1" x14ac:dyDescent="0.2">
      <c r="G1503" s="401"/>
    </row>
    <row r="1504" spans="7:7" hidden="1" x14ac:dyDescent="0.2">
      <c r="G1504" s="401"/>
    </row>
    <row r="1505" spans="7:7" hidden="1" x14ac:dyDescent="0.2">
      <c r="G1505" s="401"/>
    </row>
    <row r="1506" spans="7:7" hidden="1" x14ac:dyDescent="0.2">
      <c r="G1506" s="401"/>
    </row>
    <row r="1507" spans="7:7" hidden="1" x14ac:dyDescent="0.2">
      <c r="G1507" s="401"/>
    </row>
    <row r="1508" spans="7:7" hidden="1" x14ac:dyDescent="0.2">
      <c r="G1508" s="401"/>
    </row>
    <row r="1509" spans="7:7" hidden="1" x14ac:dyDescent="0.2">
      <c r="G1509" s="401"/>
    </row>
    <row r="1510" spans="7:7" hidden="1" x14ac:dyDescent="0.2">
      <c r="G1510" s="401"/>
    </row>
    <row r="1511" spans="7:7" hidden="1" x14ac:dyDescent="0.2">
      <c r="G1511" s="401"/>
    </row>
    <row r="1512" spans="7:7" hidden="1" x14ac:dyDescent="0.2">
      <c r="G1512" s="401"/>
    </row>
    <row r="1513" spans="7:7" hidden="1" x14ac:dyDescent="0.2">
      <c r="G1513" s="401"/>
    </row>
    <row r="1514" spans="7:7" hidden="1" x14ac:dyDescent="0.2">
      <c r="G1514" s="401"/>
    </row>
    <row r="1515" spans="7:7" hidden="1" x14ac:dyDescent="0.2">
      <c r="G1515" s="401"/>
    </row>
    <row r="1516" spans="7:7" hidden="1" x14ac:dyDescent="0.2">
      <c r="G1516" s="401"/>
    </row>
    <row r="1517" spans="7:7" hidden="1" x14ac:dyDescent="0.2">
      <c r="G1517" s="401"/>
    </row>
    <row r="1518" spans="7:7" hidden="1" x14ac:dyDescent="0.2">
      <c r="G1518" s="401"/>
    </row>
    <row r="1519" spans="7:7" hidden="1" x14ac:dyDescent="0.2">
      <c r="G1519" s="401"/>
    </row>
    <row r="1520" spans="7:7" hidden="1" x14ac:dyDescent="0.2">
      <c r="G1520" s="401"/>
    </row>
    <row r="1521" spans="7:7" hidden="1" x14ac:dyDescent="0.2">
      <c r="G1521" s="401"/>
    </row>
    <row r="1522" spans="7:7" hidden="1" x14ac:dyDescent="0.2">
      <c r="G1522" s="401"/>
    </row>
    <row r="1523" spans="7:7" hidden="1" x14ac:dyDescent="0.2">
      <c r="G1523" s="401"/>
    </row>
    <row r="1524" spans="7:7" hidden="1" x14ac:dyDescent="0.2">
      <c r="G1524" s="401"/>
    </row>
    <row r="1525" spans="7:7" hidden="1" x14ac:dyDescent="0.2">
      <c r="G1525" s="401"/>
    </row>
    <row r="1526" spans="7:7" hidden="1" x14ac:dyDescent="0.2">
      <c r="G1526" s="401"/>
    </row>
    <row r="1527" spans="7:7" hidden="1" x14ac:dyDescent="0.2">
      <c r="G1527" s="401"/>
    </row>
    <row r="1528" spans="7:7" hidden="1" x14ac:dyDescent="0.2">
      <c r="G1528" s="401"/>
    </row>
    <row r="1529" spans="7:7" hidden="1" x14ac:dyDescent="0.2">
      <c r="G1529" s="401"/>
    </row>
    <row r="1530" spans="7:7" hidden="1" x14ac:dyDescent="0.2">
      <c r="G1530" s="401"/>
    </row>
    <row r="1531" spans="7:7" hidden="1" x14ac:dyDescent="0.2">
      <c r="G1531" s="401"/>
    </row>
    <row r="1532" spans="7:7" hidden="1" x14ac:dyDescent="0.2">
      <c r="G1532" s="401"/>
    </row>
    <row r="1533" spans="7:7" hidden="1" x14ac:dyDescent="0.2">
      <c r="G1533" s="401"/>
    </row>
    <row r="1534" spans="7:7" hidden="1" x14ac:dyDescent="0.2">
      <c r="G1534" s="401"/>
    </row>
    <row r="1535" spans="7:7" hidden="1" x14ac:dyDescent="0.2">
      <c r="G1535" s="401"/>
    </row>
    <row r="1536" spans="7:7" hidden="1" x14ac:dyDescent="0.2">
      <c r="G1536" s="401"/>
    </row>
    <row r="1537" spans="7:7" hidden="1" x14ac:dyDescent="0.2">
      <c r="G1537" s="401"/>
    </row>
    <row r="1538" spans="7:7" hidden="1" x14ac:dyDescent="0.2">
      <c r="G1538" s="401"/>
    </row>
    <row r="1539" spans="7:7" hidden="1" x14ac:dyDescent="0.2">
      <c r="G1539" s="401"/>
    </row>
    <row r="1540" spans="7:7" hidden="1" x14ac:dyDescent="0.2">
      <c r="G1540" s="401"/>
    </row>
    <row r="1541" spans="7:7" hidden="1" x14ac:dyDescent="0.2">
      <c r="G1541" s="401"/>
    </row>
    <row r="1542" spans="7:7" hidden="1" x14ac:dyDescent="0.2">
      <c r="G1542" s="401"/>
    </row>
    <row r="1543" spans="7:7" hidden="1" x14ac:dyDescent="0.2">
      <c r="G1543" s="401"/>
    </row>
    <row r="1544" spans="7:7" hidden="1" x14ac:dyDescent="0.2">
      <c r="G1544" s="401"/>
    </row>
    <row r="1545" spans="7:7" hidden="1" x14ac:dyDescent="0.2">
      <c r="G1545" s="401"/>
    </row>
    <row r="1546" spans="7:7" hidden="1" x14ac:dyDescent="0.2">
      <c r="G1546" s="401"/>
    </row>
    <row r="1547" spans="7:7" hidden="1" x14ac:dyDescent="0.2">
      <c r="G1547" s="401"/>
    </row>
    <row r="1548" spans="7:7" hidden="1" x14ac:dyDescent="0.2">
      <c r="G1548" s="401"/>
    </row>
    <row r="1549" spans="7:7" hidden="1" x14ac:dyDescent="0.2">
      <c r="G1549" s="401"/>
    </row>
    <row r="1550" spans="7:7" hidden="1" x14ac:dyDescent="0.2">
      <c r="G1550" s="401"/>
    </row>
    <row r="1551" spans="7:7" hidden="1" x14ac:dyDescent="0.2">
      <c r="G1551" s="401"/>
    </row>
    <row r="1552" spans="7:7" hidden="1" x14ac:dyDescent="0.2">
      <c r="G1552" s="401"/>
    </row>
    <row r="1553" spans="7:7" hidden="1" x14ac:dyDescent="0.2">
      <c r="G1553" s="401"/>
    </row>
    <row r="1554" spans="7:7" hidden="1" x14ac:dyDescent="0.2">
      <c r="G1554" s="401"/>
    </row>
    <row r="1555" spans="7:7" hidden="1" x14ac:dyDescent="0.2">
      <c r="G1555" s="401"/>
    </row>
    <row r="1556" spans="7:7" hidden="1" x14ac:dyDescent="0.2">
      <c r="G1556" s="401"/>
    </row>
    <row r="1557" spans="7:7" hidden="1" x14ac:dyDescent="0.2">
      <c r="G1557" s="401"/>
    </row>
    <row r="1558" spans="7:7" hidden="1" x14ac:dyDescent="0.2">
      <c r="G1558" s="401"/>
    </row>
    <row r="1559" spans="7:7" hidden="1" x14ac:dyDescent="0.2">
      <c r="G1559" s="401"/>
    </row>
    <row r="1560" spans="7:7" hidden="1" x14ac:dyDescent="0.2">
      <c r="G1560" s="401"/>
    </row>
    <row r="1561" spans="7:7" hidden="1" x14ac:dyDescent="0.2">
      <c r="G1561" s="401"/>
    </row>
    <row r="1562" spans="7:7" hidden="1" x14ac:dyDescent="0.2">
      <c r="G1562" s="401"/>
    </row>
    <row r="1563" spans="7:7" hidden="1" x14ac:dyDescent="0.2">
      <c r="G1563" s="401"/>
    </row>
    <row r="1564" spans="7:7" hidden="1" x14ac:dyDescent="0.2">
      <c r="G1564" s="401"/>
    </row>
    <row r="1565" spans="7:7" hidden="1" x14ac:dyDescent="0.2">
      <c r="G1565" s="401"/>
    </row>
    <row r="1566" spans="7:7" hidden="1" x14ac:dyDescent="0.2">
      <c r="G1566" s="401"/>
    </row>
    <row r="1567" spans="7:7" hidden="1" x14ac:dyDescent="0.2">
      <c r="G1567" s="401"/>
    </row>
    <row r="1568" spans="7:7" hidden="1" x14ac:dyDescent="0.2">
      <c r="G1568" s="401"/>
    </row>
    <row r="1569" spans="7:7" hidden="1" x14ac:dyDescent="0.2">
      <c r="G1569" s="401"/>
    </row>
    <row r="1570" spans="7:7" hidden="1" x14ac:dyDescent="0.2">
      <c r="G1570" s="401"/>
    </row>
    <row r="1571" spans="7:7" hidden="1" x14ac:dyDescent="0.2">
      <c r="G1571" s="401"/>
    </row>
    <row r="1572" spans="7:7" hidden="1" x14ac:dyDescent="0.2">
      <c r="G1572" s="401"/>
    </row>
    <row r="1573" spans="7:7" hidden="1" x14ac:dyDescent="0.2">
      <c r="G1573" s="401"/>
    </row>
    <row r="1574" spans="7:7" hidden="1" x14ac:dyDescent="0.2">
      <c r="G1574" s="401"/>
    </row>
    <row r="1575" spans="7:7" hidden="1" x14ac:dyDescent="0.2">
      <c r="G1575" s="401"/>
    </row>
    <row r="1576" spans="7:7" hidden="1" x14ac:dyDescent="0.2">
      <c r="G1576" s="401"/>
    </row>
    <row r="1577" spans="7:7" hidden="1" x14ac:dyDescent="0.2">
      <c r="G1577" s="401"/>
    </row>
    <row r="1578" spans="7:7" hidden="1" x14ac:dyDescent="0.2">
      <c r="G1578" s="401"/>
    </row>
    <row r="1579" spans="7:7" hidden="1" x14ac:dyDescent="0.2">
      <c r="G1579" s="401"/>
    </row>
    <row r="1580" spans="7:7" hidden="1" x14ac:dyDescent="0.2">
      <c r="G1580" s="401"/>
    </row>
    <row r="1581" spans="7:7" hidden="1" x14ac:dyDescent="0.2">
      <c r="G1581" s="401"/>
    </row>
    <row r="1582" spans="7:7" hidden="1" x14ac:dyDescent="0.2">
      <c r="G1582" s="401"/>
    </row>
    <row r="1583" spans="7:7" hidden="1" x14ac:dyDescent="0.2">
      <c r="G1583" s="401"/>
    </row>
    <row r="1584" spans="7:7" hidden="1" x14ac:dyDescent="0.2">
      <c r="G1584" s="401"/>
    </row>
    <row r="1585" spans="7:7" hidden="1" x14ac:dyDescent="0.2">
      <c r="G1585" s="401"/>
    </row>
    <row r="1586" spans="7:7" hidden="1" x14ac:dyDescent="0.2">
      <c r="G1586" s="401"/>
    </row>
    <row r="1587" spans="7:7" hidden="1" x14ac:dyDescent="0.2">
      <c r="G1587" s="401"/>
    </row>
    <row r="1588" spans="7:7" hidden="1" x14ac:dyDescent="0.2">
      <c r="G1588" s="401"/>
    </row>
    <row r="1589" spans="7:7" hidden="1" x14ac:dyDescent="0.2">
      <c r="G1589" s="401"/>
    </row>
    <row r="1590" spans="7:7" hidden="1" x14ac:dyDescent="0.2">
      <c r="G1590" s="401"/>
    </row>
    <row r="1591" spans="7:7" hidden="1" x14ac:dyDescent="0.2">
      <c r="G1591" s="401"/>
    </row>
    <row r="1592" spans="7:7" hidden="1" x14ac:dyDescent="0.2">
      <c r="G1592" s="401"/>
    </row>
    <row r="1593" spans="7:7" hidden="1" x14ac:dyDescent="0.2">
      <c r="G1593" s="401"/>
    </row>
    <row r="1594" spans="7:7" hidden="1" x14ac:dyDescent="0.2">
      <c r="G1594" s="401"/>
    </row>
    <row r="1595" spans="7:7" hidden="1" x14ac:dyDescent="0.2">
      <c r="G1595" s="401"/>
    </row>
    <row r="1596" spans="7:7" hidden="1" x14ac:dyDescent="0.2">
      <c r="G1596" s="401"/>
    </row>
    <row r="1597" spans="7:7" hidden="1" x14ac:dyDescent="0.2">
      <c r="G1597" s="401"/>
    </row>
    <row r="1598" spans="7:7" hidden="1" x14ac:dyDescent="0.2">
      <c r="G1598" s="401"/>
    </row>
    <row r="1599" spans="7:7" hidden="1" x14ac:dyDescent="0.2">
      <c r="G1599" s="401"/>
    </row>
    <row r="1600" spans="7:7" hidden="1" x14ac:dyDescent="0.2">
      <c r="G1600" s="401"/>
    </row>
    <row r="1601" spans="7:7" hidden="1" x14ac:dyDescent="0.2">
      <c r="G1601" s="401"/>
    </row>
    <row r="1602" spans="7:7" hidden="1" x14ac:dyDescent="0.2">
      <c r="G1602" s="401"/>
    </row>
    <row r="1603" spans="7:7" hidden="1" x14ac:dyDescent="0.2">
      <c r="G1603" s="401"/>
    </row>
    <row r="1604" spans="7:7" hidden="1" x14ac:dyDescent="0.2">
      <c r="G1604" s="401"/>
    </row>
    <row r="1605" spans="7:7" hidden="1" x14ac:dyDescent="0.2">
      <c r="G1605" s="401"/>
    </row>
    <row r="1606" spans="7:7" hidden="1" x14ac:dyDescent="0.2">
      <c r="G1606" s="401"/>
    </row>
    <row r="1607" spans="7:7" hidden="1" x14ac:dyDescent="0.2">
      <c r="G1607" s="401"/>
    </row>
    <row r="1608" spans="7:7" hidden="1" x14ac:dyDescent="0.2">
      <c r="G1608" s="401"/>
    </row>
    <row r="1609" spans="7:7" hidden="1" x14ac:dyDescent="0.2">
      <c r="G1609" s="401"/>
    </row>
    <row r="1610" spans="7:7" hidden="1" x14ac:dyDescent="0.2">
      <c r="G1610" s="401"/>
    </row>
    <row r="1611" spans="7:7" hidden="1" x14ac:dyDescent="0.2">
      <c r="G1611" s="401"/>
    </row>
    <row r="1612" spans="7:7" hidden="1" x14ac:dyDescent="0.2">
      <c r="G1612" s="401"/>
    </row>
    <row r="1613" spans="7:7" hidden="1" x14ac:dyDescent="0.2">
      <c r="G1613" s="401"/>
    </row>
    <row r="1614" spans="7:7" hidden="1" x14ac:dyDescent="0.2">
      <c r="G1614" s="401"/>
    </row>
    <row r="1615" spans="7:7" hidden="1" x14ac:dyDescent="0.2">
      <c r="G1615" s="401"/>
    </row>
    <row r="1616" spans="7:7" hidden="1" x14ac:dyDescent="0.2">
      <c r="G1616" s="401"/>
    </row>
    <row r="1617" spans="7:7" hidden="1" x14ac:dyDescent="0.2">
      <c r="G1617" s="401"/>
    </row>
    <row r="1618" spans="7:7" hidden="1" x14ac:dyDescent="0.2">
      <c r="G1618" s="401"/>
    </row>
    <row r="1619" spans="7:7" hidden="1" x14ac:dyDescent="0.2">
      <c r="G1619" s="401"/>
    </row>
    <row r="1620" spans="7:7" hidden="1" x14ac:dyDescent="0.2">
      <c r="G1620" s="401"/>
    </row>
    <row r="1621" spans="7:7" hidden="1" x14ac:dyDescent="0.2">
      <c r="G1621" s="401"/>
    </row>
    <row r="1622" spans="7:7" hidden="1" x14ac:dyDescent="0.2">
      <c r="G1622" s="401"/>
    </row>
    <row r="1623" spans="7:7" hidden="1" x14ac:dyDescent="0.2">
      <c r="G1623" s="401"/>
    </row>
    <row r="1624" spans="7:7" hidden="1" x14ac:dyDescent="0.2">
      <c r="G1624" s="401"/>
    </row>
    <row r="1625" spans="7:7" hidden="1" x14ac:dyDescent="0.2">
      <c r="G1625" s="401"/>
    </row>
    <row r="1626" spans="7:7" hidden="1" x14ac:dyDescent="0.2">
      <c r="G1626" s="401"/>
    </row>
    <row r="1627" spans="7:7" hidden="1" x14ac:dyDescent="0.2">
      <c r="G1627" s="401"/>
    </row>
    <row r="1628" spans="7:7" hidden="1" x14ac:dyDescent="0.2">
      <c r="G1628" s="401"/>
    </row>
    <row r="1629" spans="7:7" hidden="1" x14ac:dyDescent="0.2">
      <c r="G1629" s="401"/>
    </row>
    <row r="1630" spans="7:7" hidden="1" x14ac:dyDescent="0.2">
      <c r="G1630" s="401"/>
    </row>
    <row r="1631" spans="7:7" hidden="1" x14ac:dyDescent="0.2">
      <c r="G1631" s="401"/>
    </row>
    <row r="1632" spans="7:7" hidden="1" x14ac:dyDescent="0.2">
      <c r="G1632" s="401"/>
    </row>
    <row r="1633" spans="7:7" hidden="1" x14ac:dyDescent="0.2">
      <c r="G1633" s="401"/>
    </row>
    <row r="1634" spans="7:7" hidden="1" x14ac:dyDescent="0.2">
      <c r="G1634" s="401"/>
    </row>
    <row r="1635" spans="7:7" hidden="1" x14ac:dyDescent="0.2">
      <c r="G1635" s="401"/>
    </row>
    <row r="1636" spans="7:7" hidden="1" x14ac:dyDescent="0.2">
      <c r="G1636" s="401"/>
    </row>
    <row r="1637" spans="7:7" hidden="1" x14ac:dyDescent="0.2">
      <c r="G1637" s="401"/>
    </row>
    <row r="1638" spans="7:7" hidden="1" x14ac:dyDescent="0.2">
      <c r="G1638" s="401"/>
    </row>
    <row r="1639" spans="7:7" hidden="1" x14ac:dyDescent="0.2">
      <c r="G1639" s="401"/>
    </row>
    <row r="1640" spans="7:7" hidden="1" x14ac:dyDescent="0.2">
      <c r="G1640" s="401"/>
    </row>
    <row r="1641" spans="7:7" hidden="1" x14ac:dyDescent="0.2">
      <c r="G1641" s="401"/>
    </row>
    <row r="1642" spans="7:7" hidden="1" x14ac:dyDescent="0.2">
      <c r="G1642" s="401"/>
    </row>
    <row r="1643" spans="7:7" hidden="1" x14ac:dyDescent="0.2">
      <c r="G1643" s="401"/>
    </row>
    <row r="1644" spans="7:7" hidden="1" x14ac:dyDescent="0.2">
      <c r="G1644" s="401"/>
    </row>
    <row r="1645" spans="7:7" hidden="1" x14ac:dyDescent="0.2">
      <c r="G1645" s="401"/>
    </row>
    <row r="1646" spans="7:7" hidden="1" x14ac:dyDescent="0.2">
      <c r="G1646" s="401"/>
    </row>
    <row r="1647" spans="7:7" hidden="1" x14ac:dyDescent="0.2">
      <c r="G1647" s="401"/>
    </row>
    <row r="1648" spans="7:7" hidden="1" x14ac:dyDescent="0.2">
      <c r="G1648" s="401"/>
    </row>
    <row r="1649" spans="7:7" hidden="1" x14ac:dyDescent="0.2">
      <c r="G1649" s="401"/>
    </row>
    <row r="1650" spans="7:7" hidden="1" x14ac:dyDescent="0.2">
      <c r="G1650" s="401"/>
    </row>
    <row r="1651" spans="7:7" hidden="1" x14ac:dyDescent="0.2">
      <c r="G1651" s="401"/>
    </row>
    <row r="1652" spans="7:7" hidden="1" x14ac:dyDescent="0.2">
      <c r="G1652" s="401"/>
    </row>
    <row r="1653" spans="7:7" hidden="1" x14ac:dyDescent="0.2">
      <c r="G1653" s="401"/>
    </row>
    <row r="1654" spans="7:7" hidden="1" x14ac:dyDescent="0.2">
      <c r="G1654" s="401"/>
    </row>
    <row r="1655" spans="7:7" hidden="1" x14ac:dyDescent="0.2">
      <c r="G1655" s="401"/>
    </row>
    <row r="1656" spans="7:7" hidden="1" x14ac:dyDescent="0.2">
      <c r="G1656" s="401"/>
    </row>
    <row r="1657" spans="7:7" hidden="1" x14ac:dyDescent="0.2">
      <c r="G1657" s="401"/>
    </row>
    <row r="1658" spans="7:7" hidden="1" x14ac:dyDescent="0.2">
      <c r="G1658" s="401"/>
    </row>
    <row r="1659" spans="7:7" hidden="1" x14ac:dyDescent="0.2">
      <c r="G1659" s="401"/>
    </row>
    <row r="1660" spans="7:7" hidden="1" x14ac:dyDescent="0.2">
      <c r="G1660" s="401"/>
    </row>
    <row r="1661" spans="7:7" hidden="1" x14ac:dyDescent="0.2">
      <c r="G1661" s="401"/>
    </row>
    <row r="1662" spans="7:7" hidden="1" x14ac:dyDescent="0.2">
      <c r="G1662" s="401"/>
    </row>
    <row r="1663" spans="7:7" hidden="1" x14ac:dyDescent="0.2">
      <c r="G1663" s="401"/>
    </row>
    <row r="1664" spans="7:7" hidden="1" x14ac:dyDescent="0.2">
      <c r="G1664" s="401"/>
    </row>
    <row r="1665" spans="7:7" hidden="1" x14ac:dyDescent="0.2">
      <c r="G1665" s="401"/>
    </row>
    <row r="1666" spans="7:7" hidden="1" x14ac:dyDescent="0.2">
      <c r="G1666" s="401"/>
    </row>
    <row r="1667" spans="7:7" hidden="1" x14ac:dyDescent="0.2">
      <c r="G1667" s="401"/>
    </row>
    <row r="1668" spans="7:7" hidden="1" x14ac:dyDescent="0.2">
      <c r="G1668" s="401"/>
    </row>
    <row r="1669" spans="7:7" hidden="1" x14ac:dyDescent="0.2">
      <c r="G1669" s="401"/>
    </row>
    <row r="1670" spans="7:7" hidden="1" x14ac:dyDescent="0.2">
      <c r="G1670" s="401"/>
    </row>
    <row r="1671" spans="7:7" hidden="1" x14ac:dyDescent="0.2">
      <c r="G1671" s="401"/>
    </row>
    <row r="1672" spans="7:7" hidden="1" x14ac:dyDescent="0.2">
      <c r="G1672" s="401"/>
    </row>
    <row r="1673" spans="7:7" hidden="1" x14ac:dyDescent="0.2">
      <c r="G1673" s="401"/>
    </row>
    <row r="1674" spans="7:7" hidden="1" x14ac:dyDescent="0.2">
      <c r="G1674" s="401"/>
    </row>
    <row r="1675" spans="7:7" hidden="1" x14ac:dyDescent="0.2">
      <c r="G1675" s="401"/>
    </row>
    <row r="1676" spans="7:7" hidden="1" x14ac:dyDescent="0.2">
      <c r="G1676" s="401"/>
    </row>
    <row r="1677" spans="7:7" hidden="1" x14ac:dyDescent="0.2">
      <c r="G1677" s="401"/>
    </row>
    <row r="1678" spans="7:7" hidden="1" x14ac:dyDescent="0.2">
      <c r="G1678" s="401"/>
    </row>
    <row r="1679" spans="7:7" hidden="1" x14ac:dyDescent="0.2">
      <c r="G1679" s="401"/>
    </row>
    <row r="1680" spans="7:7" hidden="1" x14ac:dyDescent="0.2">
      <c r="G1680" s="401"/>
    </row>
    <row r="1681" spans="7:7" hidden="1" x14ac:dyDescent="0.2">
      <c r="G1681" s="401"/>
    </row>
    <row r="1682" spans="7:7" hidden="1" x14ac:dyDescent="0.2">
      <c r="G1682" s="401"/>
    </row>
    <row r="1683" spans="7:7" hidden="1" x14ac:dyDescent="0.2">
      <c r="G1683" s="401"/>
    </row>
    <row r="1684" spans="7:7" hidden="1" x14ac:dyDescent="0.2">
      <c r="G1684" s="401"/>
    </row>
    <row r="1685" spans="7:7" hidden="1" x14ac:dyDescent="0.2">
      <c r="G1685" s="401"/>
    </row>
    <row r="1686" spans="7:7" hidden="1" x14ac:dyDescent="0.2">
      <c r="G1686" s="401"/>
    </row>
    <row r="1687" spans="7:7" hidden="1" x14ac:dyDescent="0.2">
      <c r="G1687" s="401"/>
    </row>
    <row r="1688" spans="7:7" hidden="1" x14ac:dyDescent="0.2">
      <c r="G1688" s="401"/>
    </row>
    <row r="1689" spans="7:7" hidden="1" x14ac:dyDescent="0.2">
      <c r="G1689" s="401"/>
    </row>
    <row r="1690" spans="7:7" hidden="1" x14ac:dyDescent="0.2">
      <c r="G1690" s="401"/>
    </row>
    <row r="1691" spans="7:7" hidden="1" x14ac:dyDescent="0.2">
      <c r="G1691" s="401"/>
    </row>
    <row r="1692" spans="7:7" hidden="1" x14ac:dyDescent="0.2">
      <c r="G1692" s="401"/>
    </row>
    <row r="1693" spans="7:7" hidden="1" x14ac:dyDescent="0.2">
      <c r="G1693" s="401"/>
    </row>
    <row r="1694" spans="7:7" hidden="1" x14ac:dyDescent="0.2">
      <c r="G1694" s="401"/>
    </row>
    <row r="1695" spans="7:7" hidden="1" x14ac:dyDescent="0.2">
      <c r="G1695" s="401"/>
    </row>
    <row r="1696" spans="7:7" hidden="1" x14ac:dyDescent="0.2">
      <c r="G1696" s="401"/>
    </row>
    <row r="1697" spans="7:7" hidden="1" x14ac:dyDescent="0.2">
      <c r="G1697" s="401"/>
    </row>
    <row r="1698" spans="7:7" hidden="1" x14ac:dyDescent="0.2">
      <c r="G1698" s="401"/>
    </row>
    <row r="1699" spans="7:7" hidden="1" x14ac:dyDescent="0.2">
      <c r="G1699" s="401"/>
    </row>
    <row r="1700" spans="7:7" hidden="1" x14ac:dyDescent="0.2">
      <c r="G1700" s="401"/>
    </row>
    <row r="1701" spans="7:7" hidden="1" x14ac:dyDescent="0.2">
      <c r="G1701" s="401"/>
    </row>
    <row r="1702" spans="7:7" hidden="1" x14ac:dyDescent="0.2">
      <c r="G1702" s="401"/>
    </row>
    <row r="1703" spans="7:7" hidden="1" x14ac:dyDescent="0.2">
      <c r="G1703" s="401"/>
    </row>
    <row r="1704" spans="7:7" hidden="1" x14ac:dyDescent="0.2">
      <c r="G1704" s="401"/>
    </row>
    <row r="1705" spans="7:7" hidden="1" x14ac:dyDescent="0.2">
      <c r="G1705" s="401"/>
    </row>
    <row r="1706" spans="7:7" hidden="1" x14ac:dyDescent="0.2">
      <c r="G1706" s="401"/>
    </row>
    <row r="1707" spans="7:7" hidden="1" x14ac:dyDescent="0.2">
      <c r="G1707" s="401"/>
    </row>
    <row r="1708" spans="7:7" hidden="1" x14ac:dyDescent="0.2">
      <c r="G1708" s="401"/>
    </row>
    <row r="1709" spans="7:7" hidden="1" x14ac:dyDescent="0.2">
      <c r="G1709" s="401"/>
    </row>
    <row r="1710" spans="7:7" hidden="1" x14ac:dyDescent="0.2">
      <c r="G1710" s="401"/>
    </row>
    <row r="1711" spans="7:7" hidden="1" x14ac:dyDescent="0.2">
      <c r="G1711" s="401"/>
    </row>
    <row r="1712" spans="7:7" hidden="1" x14ac:dyDescent="0.2">
      <c r="G1712" s="401"/>
    </row>
    <row r="1713" spans="7:7" hidden="1" x14ac:dyDescent="0.2">
      <c r="G1713" s="401"/>
    </row>
    <row r="1714" spans="7:7" hidden="1" x14ac:dyDescent="0.2">
      <c r="G1714" s="401"/>
    </row>
    <row r="1715" spans="7:7" hidden="1" x14ac:dyDescent="0.2">
      <c r="G1715" s="401"/>
    </row>
    <row r="1716" spans="7:7" hidden="1" x14ac:dyDescent="0.2">
      <c r="G1716" s="401"/>
    </row>
    <row r="1717" spans="7:7" hidden="1" x14ac:dyDescent="0.2">
      <c r="G1717" s="401"/>
    </row>
    <row r="1718" spans="7:7" hidden="1" x14ac:dyDescent="0.2">
      <c r="G1718" s="401"/>
    </row>
    <row r="1719" spans="7:7" hidden="1" x14ac:dyDescent="0.2">
      <c r="G1719" s="401"/>
    </row>
    <row r="1720" spans="7:7" hidden="1" x14ac:dyDescent="0.2">
      <c r="G1720" s="401"/>
    </row>
    <row r="1721" spans="7:7" hidden="1" x14ac:dyDescent="0.2">
      <c r="G1721" s="401"/>
    </row>
    <row r="1722" spans="7:7" hidden="1" x14ac:dyDescent="0.2">
      <c r="G1722" s="401"/>
    </row>
    <row r="1723" spans="7:7" hidden="1" x14ac:dyDescent="0.2">
      <c r="G1723" s="401"/>
    </row>
    <row r="1724" spans="7:7" hidden="1" x14ac:dyDescent="0.2">
      <c r="G1724" s="401"/>
    </row>
    <row r="1725" spans="7:7" hidden="1" x14ac:dyDescent="0.2">
      <c r="G1725" s="401"/>
    </row>
    <row r="1726" spans="7:7" hidden="1" x14ac:dyDescent="0.2">
      <c r="G1726" s="401"/>
    </row>
    <row r="1727" spans="7:7" hidden="1" x14ac:dyDescent="0.2">
      <c r="G1727" s="401"/>
    </row>
    <row r="1728" spans="7:7" hidden="1" x14ac:dyDescent="0.2">
      <c r="G1728" s="401"/>
    </row>
    <row r="1729" spans="7:7" hidden="1" x14ac:dyDescent="0.2">
      <c r="G1729" s="401"/>
    </row>
    <row r="1730" spans="7:7" hidden="1" x14ac:dyDescent="0.2">
      <c r="G1730" s="401"/>
    </row>
    <row r="1731" spans="7:7" hidden="1" x14ac:dyDescent="0.2">
      <c r="G1731" s="401"/>
    </row>
    <row r="1732" spans="7:7" hidden="1" x14ac:dyDescent="0.2">
      <c r="G1732" s="401"/>
    </row>
    <row r="1733" spans="7:7" hidden="1" x14ac:dyDescent="0.2">
      <c r="G1733" s="401"/>
    </row>
    <row r="1734" spans="7:7" hidden="1" x14ac:dyDescent="0.2">
      <c r="G1734" s="401"/>
    </row>
    <row r="1735" spans="7:7" hidden="1" x14ac:dyDescent="0.2">
      <c r="G1735" s="401"/>
    </row>
    <row r="1736" spans="7:7" hidden="1" x14ac:dyDescent="0.2">
      <c r="G1736" s="401"/>
    </row>
    <row r="1737" spans="7:7" hidden="1" x14ac:dyDescent="0.2">
      <c r="G1737" s="401"/>
    </row>
    <row r="1738" spans="7:7" hidden="1" x14ac:dyDescent="0.2">
      <c r="G1738" s="401"/>
    </row>
    <row r="1739" spans="7:7" hidden="1" x14ac:dyDescent="0.2">
      <c r="G1739" s="401"/>
    </row>
    <row r="1740" spans="7:7" hidden="1" x14ac:dyDescent="0.2">
      <c r="G1740" s="401"/>
    </row>
    <row r="1741" spans="7:7" hidden="1" x14ac:dyDescent="0.2">
      <c r="G1741" s="401"/>
    </row>
    <row r="1742" spans="7:7" hidden="1" x14ac:dyDescent="0.2">
      <c r="G1742" s="401"/>
    </row>
    <row r="1743" spans="7:7" hidden="1" x14ac:dyDescent="0.2">
      <c r="G1743" s="401"/>
    </row>
    <row r="1744" spans="7:7" hidden="1" x14ac:dyDescent="0.2">
      <c r="G1744" s="401"/>
    </row>
    <row r="1745" spans="7:7" hidden="1" x14ac:dyDescent="0.2">
      <c r="G1745" s="401"/>
    </row>
    <row r="1746" spans="7:7" hidden="1" x14ac:dyDescent="0.2">
      <c r="G1746" s="401"/>
    </row>
    <row r="1747" spans="7:7" hidden="1" x14ac:dyDescent="0.2">
      <c r="G1747" s="401"/>
    </row>
    <row r="1748" spans="7:7" hidden="1" x14ac:dyDescent="0.2">
      <c r="G1748" s="401"/>
    </row>
    <row r="1749" spans="7:7" hidden="1" x14ac:dyDescent="0.2">
      <c r="G1749" s="401"/>
    </row>
    <row r="1750" spans="7:7" hidden="1" x14ac:dyDescent="0.2">
      <c r="G1750" s="401"/>
    </row>
    <row r="1751" spans="7:7" hidden="1" x14ac:dyDescent="0.2">
      <c r="G1751" s="401"/>
    </row>
    <row r="1752" spans="7:7" hidden="1" x14ac:dyDescent="0.2">
      <c r="G1752" s="401"/>
    </row>
    <row r="1753" spans="7:7" hidden="1" x14ac:dyDescent="0.2">
      <c r="G1753" s="401"/>
    </row>
    <row r="1754" spans="7:7" hidden="1" x14ac:dyDescent="0.2">
      <c r="G1754" s="401"/>
    </row>
    <row r="1755" spans="7:7" hidden="1" x14ac:dyDescent="0.2">
      <c r="G1755" s="401"/>
    </row>
    <row r="1756" spans="7:7" hidden="1" x14ac:dyDescent="0.2">
      <c r="G1756" s="401"/>
    </row>
    <row r="1757" spans="7:7" hidden="1" x14ac:dyDescent="0.2">
      <c r="G1757" s="401"/>
    </row>
    <row r="1758" spans="7:7" hidden="1" x14ac:dyDescent="0.2">
      <c r="G1758" s="401"/>
    </row>
    <row r="1759" spans="7:7" hidden="1" x14ac:dyDescent="0.2">
      <c r="G1759" s="401"/>
    </row>
    <row r="1760" spans="7:7" hidden="1" x14ac:dyDescent="0.2">
      <c r="G1760" s="401"/>
    </row>
    <row r="1761" spans="7:7" hidden="1" x14ac:dyDescent="0.2">
      <c r="G1761" s="401"/>
    </row>
    <row r="1762" spans="7:7" hidden="1" x14ac:dyDescent="0.2">
      <c r="G1762" s="401"/>
    </row>
    <row r="1763" spans="7:7" hidden="1" x14ac:dyDescent="0.2">
      <c r="G1763" s="401"/>
    </row>
    <row r="1764" spans="7:7" hidden="1" x14ac:dyDescent="0.2">
      <c r="G1764" s="401"/>
    </row>
    <row r="1765" spans="7:7" hidden="1" x14ac:dyDescent="0.2">
      <c r="G1765" s="401"/>
    </row>
    <row r="1766" spans="7:7" hidden="1" x14ac:dyDescent="0.2">
      <c r="G1766" s="401"/>
    </row>
    <row r="1767" spans="7:7" hidden="1" x14ac:dyDescent="0.2">
      <c r="G1767" s="401"/>
    </row>
    <row r="1768" spans="7:7" hidden="1" x14ac:dyDescent="0.2">
      <c r="G1768" s="401"/>
    </row>
    <row r="1769" spans="7:7" hidden="1" x14ac:dyDescent="0.2">
      <c r="G1769" s="401"/>
    </row>
    <row r="1770" spans="7:7" hidden="1" x14ac:dyDescent="0.2">
      <c r="G1770" s="401"/>
    </row>
    <row r="1771" spans="7:7" hidden="1" x14ac:dyDescent="0.2">
      <c r="G1771" s="401"/>
    </row>
    <row r="1772" spans="7:7" hidden="1" x14ac:dyDescent="0.2">
      <c r="G1772" s="401"/>
    </row>
    <row r="1773" spans="7:7" hidden="1" x14ac:dyDescent="0.2">
      <c r="G1773" s="401"/>
    </row>
    <row r="1774" spans="7:7" hidden="1" x14ac:dyDescent="0.2">
      <c r="G1774" s="401"/>
    </row>
    <row r="1775" spans="7:7" hidden="1" x14ac:dyDescent="0.2">
      <c r="G1775" s="401"/>
    </row>
    <row r="1776" spans="7:7" hidden="1" x14ac:dyDescent="0.2">
      <c r="G1776" s="401"/>
    </row>
    <row r="1777" spans="7:7" hidden="1" x14ac:dyDescent="0.2">
      <c r="G1777" s="401"/>
    </row>
    <row r="1778" spans="7:7" hidden="1" x14ac:dyDescent="0.2">
      <c r="G1778" s="401"/>
    </row>
    <row r="1779" spans="7:7" hidden="1" x14ac:dyDescent="0.2">
      <c r="G1779" s="401"/>
    </row>
    <row r="1780" spans="7:7" hidden="1" x14ac:dyDescent="0.2">
      <c r="G1780" s="401"/>
    </row>
    <row r="1781" spans="7:7" hidden="1" x14ac:dyDescent="0.2">
      <c r="G1781" s="401"/>
    </row>
    <row r="1782" spans="7:7" hidden="1" x14ac:dyDescent="0.2">
      <c r="G1782" s="401"/>
    </row>
    <row r="1783" spans="7:7" hidden="1" x14ac:dyDescent="0.2">
      <c r="G1783" s="401"/>
    </row>
    <row r="1784" spans="7:7" hidden="1" x14ac:dyDescent="0.2">
      <c r="G1784" s="401"/>
    </row>
    <row r="1785" spans="7:7" hidden="1" x14ac:dyDescent="0.2">
      <c r="G1785" s="401"/>
    </row>
    <row r="1786" spans="7:7" hidden="1" x14ac:dyDescent="0.2">
      <c r="G1786" s="401"/>
    </row>
    <row r="1787" spans="7:7" hidden="1" x14ac:dyDescent="0.2">
      <c r="G1787" s="401"/>
    </row>
    <row r="1788" spans="7:7" hidden="1" x14ac:dyDescent="0.2">
      <c r="G1788" s="401"/>
    </row>
    <row r="1789" spans="7:7" hidden="1" x14ac:dyDescent="0.2">
      <c r="G1789" s="401"/>
    </row>
    <row r="1790" spans="7:7" hidden="1" x14ac:dyDescent="0.2">
      <c r="G1790" s="401"/>
    </row>
    <row r="1791" spans="7:7" hidden="1" x14ac:dyDescent="0.2">
      <c r="G1791" s="401"/>
    </row>
    <row r="1792" spans="7:7" hidden="1" x14ac:dyDescent="0.2">
      <c r="G1792" s="401"/>
    </row>
    <row r="1793" spans="7:7" hidden="1" x14ac:dyDescent="0.2">
      <c r="G1793" s="401"/>
    </row>
    <row r="1794" spans="7:7" hidden="1" x14ac:dyDescent="0.2">
      <c r="G1794" s="401"/>
    </row>
    <row r="1795" spans="7:7" hidden="1" x14ac:dyDescent="0.2">
      <c r="G1795" s="401"/>
    </row>
    <row r="1796" spans="7:7" hidden="1" x14ac:dyDescent="0.2">
      <c r="G1796" s="401"/>
    </row>
    <row r="1797" spans="7:7" hidden="1" x14ac:dyDescent="0.2">
      <c r="G1797" s="401"/>
    </row>
    <row r="1798" spans="7:7" hidden="1" x14ac:dyDescent="0.2">
      <c r="G1798" s="401"/>
    </row>
    <row r="1799" spans="7:7" hidden="1" x14ac:dyDescent="0.2">
      <c r="G1799" s="401"/>
    </row>
    <row r="1800" spans="7:7" hidden="1" x14ac:dyDescent="0.2">
      <c r="G1800" s="401"/>
    </row>
    <row r="1801" spans="7:7" hidden="1" x14ac:dyDescent="0.2">
      <c r="G1801" s="401"/>
    </row>
    <row r="1802" spans="7:7" hidden="1" x14ac:dyDescent="0.2">
      <c r="G1802" s="401"/>
    </row>
    <row r="1803" spans="7:7" hidden="1" x14ac:dyDescent="0.2">
      <c r="G1803" s="401"/>
    </row>
    <row r="1804" spans="7:7" hidden="1" x14ac:dyDescent="0.2">
      <c r="G1804" s="401"/>
    </row>
    <row r="1805" spans="7:7" hidden="1" x14ac:dyDescent="0.2">
      <c r="G1805" s="401"/>
    </row>
    <row r="1806" spans="7:7" hidden="1" x14ac:dyDescent="0.2">
      <c r="G1806" s="401"/>
    </row>
    <row r="1807" spans="7:7" hidden="1" x14ac:dyDescent="0.2">
      <c r="G1807" s="401"/>
    </row>
    <row r="1808" spans="7:7" hidden="1" x14ac:dyDescent="0.2">
      <c r="G1808" s="401"/>
    </row>
    <row r="1809" spans="7:7" hidden="1" x14ac:dyDescent="0.2">
      <c r="G1809" s="401"/>
    </row>
    <row r="1810" spans="7:7" hidden="1" x14ac:dyDescent="0.2">
      <c r="G1810" s="401"/>
    </row>
    <row r="1811" spans="7:7" hidden="1" x14ac:dyDescent="0.2">
      <c r="G1811" s="401"/>
    </row>
    <row r="1812" spans="7:7" hidden="1" x14ac:dyDescent="0.2">
      <c r="G1812" s="401"/>
    </row>
    <row r="1813" spans="7:7" hidden="1" x14ac:dyDescent="0.2">
      <c r="G1813" s="401"/>
    </row>
    <row r="1814" spans="7:7" hidden="1" x14ac:dyDescent="0.2">
      <c r="G1814" s="401"/>
    </row>
    <row r="1815" spans="7:7" hidden="1" x14ac:dyDescent="0.2">
      <c r="G1815" s="401"/>
    </row>
    <row r="1816" spans="7:7" hidden="1" x14ac:dyDescent="0.2">
      <c r="G1816" s="401"/>
    </row>
    <row r="1817" spans="7:7" hidden="1" x14ac:dyDescent="0.2">
      <c r="G1817" s="401"/>
    </row>
    <row r="1818" spans="7:7" hidden="1" x14ac:dyDescent="0.2">
      <c r="G1818" s="401"/>
    </row>
    <row r="1819" spans="7:7" hidden="1" x14ac:dyDescent="0.2">
      <c r="G1819" s="401"/>
    </row>
    <row r="1820" spans="7:7" hidden="1" x14ac:dyDescent="0.2">
      <c r="G1820" s="401"/>
    </row>
    <row r="1821" spans="7:7" hidden="1" x14ac:dyDescent="0.2">
      <c r="G1821" s="401"/>
    </row>
    <row r="1822" spans="7:7" hidden="1" x14ac:dyDescent="0.2">
      <c r="G1822" s="401"/>
    </row>
    <row r="1823" spans="7:7" hidden="1" x14ac:dyDescent="0.2">
      <c r="G1823" s="401"/>
    </row>
    <row r="1824" spans="7:7" hidden="1" x14ac:dyDescent="0.2">
      <c r="G1824" s="401"/>
    </row>
    <row r="1825" spans="7:7" hidden="1" x14ac:dyDescent="0.2">
      <c r="G1825" s="401"/>
    </row>
    <row r="1826" spans="7:7" hidden="1" x14ac:dyDescent="0.2">
      <c r="G1826" s="401"/>
    </row>
    <row r="1827" spans="7:7" hidden="1" x14ac:dyDescent="0.2">
      <c r="G1827" s="401"/>
    </row>
    <row r="1828" spans="7:7" hidden="1" x14ac:dyDescent="0.2">
      <c r="G1828" s="401"/>
    </row>
    <row r="1829" spans="7:7" hidden="1" x14ac:dyDescent="0.2">
      <c r="G1829" s="401"/>
    </row>
    <row r="1830" spans="7:7" hidden="1" x14ac:dyDescent="0.2">
      <c r="G1830" s="401"/>
    </row>
    <row r="1831" spans="7:7" hidden="1" x14ac:dyDescent="0.2">
      <c r="G1831" s="401"/>
    </row>
    <row r="1832" spans="7:7" hidden="1" x14ac:dyDescent="0.2">
      <c r="G1832" s="401"/>
    </row>
    <row r="1833" spans="7:7" hidden="1" x14ac:dyDescent="0.2">
      <c r="G1833" s="401"/>
    </row>
    <row r="1834" spans="7:7" hidden="1" x14ac:dyDescent="0.2">
      <c r="G1834" s="401"/>
    </row>
    <row r="1835" spans="7:7" hidden="1" x14ac:dyDescent="0.2">
      <c r="G1835" s="401"/>
    </row>
    <row r="1836" spans="7:7" hidden="1" x14ac:dyDescent="0.2">
      <c r="G1836" s="401"/>
    </row>
    <row r="1837" spans="7:7" hidden="1" x14ac:dyDescent="0.2">
      <c r="G1837" s="401"/>
    </row>
    <row r="1838" spans="7:7" hidden="1" x14ac:dyDescent="0.2">
      <c r="G1838" s="401"/>
    </row>
    <row r="1839" spans="7:7" hidden="1" x14ac:dyDescent="0.2">
      <c r="G1839" s="401"/>
    </row>
    <row r="1840" spans="7:7" hidden="1" x14ac:dyDescent="0.2">
      <c r="G1840" s="401"/>
    </row>
    <row r="1841" spans="7:7" hidden="1" x14ac:dyDescent="0.2">
      <c r="G1841" s="401"/>
    </row>
    <row r="1842" spans="7:7" hidden="1" x14ac:dyDescent="0.2">
      <c r="G1842" s="401"/>
    </row>
    <row r="1843" spans="7:7" hidden="1" x14ac:dyDescent="0.2">
      <c r="G1843" s="401"/>
    </row>
    <row r="1844" spans="7:7" hidden="1" x14ac:dyDescent="0.2">
      <c r="G1844" s="401"/>
    </row>
    <row r="1845" spans="7:7" hidden="1" x14ac:dyDescent="0.2">
      <c r="G1845" s="401"/>
    </row>
    <row r="1846" spans="7:7" hidden="1" x14ac:dyDescent="0.2">
      <c r="G1846" s="401"/>
    </row>
    <row r="1847" spans="7:7" hidden="1" x14ac:dyDescent="0.2">
      <c r="G1847" s="401"/>
    </row>
    <row r="1848" spans="7:7" hidden="1" x14ac:dyDescent="0.2">
      <c r="G1848" s="401"/>
    </row>
    <row r="1849" spans="7:7" hidden="1" x14ac:dyDescent="0.2">
      <c r="G1849" s="401"/>
    </row>
    <row r="1850" spans="7:7" hidden="1" x14ac:dyDescent="0.2">
      <c r="G1850" s="401"/>
    </row>
    <row r="1851" spans="7:7" hidden="1" x14ac:dyDescent="0.2">
      <c r="G1851" s="401"/>
    </row>
    <row r="1852" spans="7:7" hidden="1" x14ac:dyDescent="0.2">
      <c r="G1852" s="401"/>
    </row>
    <row r="1853" spans="7:7" hidden="1" x14ac:dyDescent="0.2">
      <c r="G1853" s="401"/>
    </row>
    <row r="1854" spans="7:7" hidden="1" x14ac:dyDescent="0.2">
      <c r="G1854" s="401"/>
    </row>
    <row r="1855" spans="7:7" hidden="1" x14ac:dyDescent="0.2">
      <c r="G1855" s="401"/>
    </row>
    <row r="1856" spans="7:7" hidden="1" x14ac:dyDescent="0.2">
      <c r="G1856" s="401"/>
    </row>
    <row r="1857" spans="7:7" hidden="1" x14ac:dyDescent="0.2">
      <c r="G1857" s="401"/>
    </row>
    <row r="1858" spans="7:7" hidden="1" x14ac:dyDescent="0.2">
      <c r="G1858" s="401"/>
    </row>
    <row r="1859" spans="7:7" hidden="1" x14ac:dyDescent="0.2">
      <c r="G1859" s="401"/>
    </row>
    <row r="1860" spans="7:7" hidden="1" x14ac:dyDescent="0.2">
      <c r="G1860" s="401"/>
    </row>
    <row r="1861" spans="7:7" hidden="1" x14ac:dyDescent="0.2">
      <c r="G1861" s="401"/>
    </row>
    <row r="1862" spans="7:7" hidden="1" x14ac:dyDescent="0.2">
      <c r="G1862" s="401"/>
    </row>
    <row r="1863" spans="7:7" hidden="1" x14ac:dyDescent="0.2">
      <c r="G1863" s="401"/>
    </row>
    <row r="1864" spans="7:7" hidden="1" x14ac:dyDescent="0.2">
      <c r="G1864" s="401"/>
    </row>
    <row r="1865" spans="7:7" hidden="1" x14ac:dyDescent="0.2">
      <c r="G1865" s="401"/>
    </row>
    <row r="1866" spans="7:7" hidden="1" x14ac:dyDescent="0.2">
      <c r="G1866" s="401"/>
    </row>
    <row r="1867" spans="7:7" hidden="1" x14ac:dyDescent="0.2">
      <c r="G1867" s="401"/>
    </row>
    <row r="1868" spans="7:7" hidden="1" x14ac:dyDescent="0.2">
      <c r="G1868" s="401"/>
    </row>
    <row r="1869" spans="7:7" hidden="1" x14ac:dyDescent="0.2">
      <c r="G1869" s="401"/>
    </row>
    <row r="1870" spans="7:7" hidden="1" x14ac:dyDescent="0.2">
      <c r="G1870" s="401"/>
    </row>
    <row r="1871" spans="7:7" hidden="1" x14ac:dyDescent="0.2">
      <c r="G1871" s="401"/>
    </row>
    <row r="1872" spans="7:7" hidden="1" x14ac:dyDescent="0.2">
      <c r="G1872" s="401"/>
    </row>
    <row r="1873" spans="7:7" hidden="1" x14ac:dyDescent="0.2">
      <c r="G1873" s="401"/>
    </row>
    <row r="1874" spans="7:7" hidden="1" x14ac:dyDescent="0.2">
      <c r="G1874" s="401"/>
    </row>
    <row r="1875" spans="7:7" hidden="1" x14ac:dyDescent="0.2">
      <c r="G1875" s="401"/>
    </row>
    <row r="1876" spans="7:7" hidden="1" x14ac:dyDescent="0.2">
      <c r="G1876" s="401"/>
    </row>
    <row r="1877" spans="7:7" hidden="1" x14ac:dyDescent="0.2">
      <c r="G1877" s="401"/>
    </row>
    <row r="1878" spans="7:7" hidden="1" x14ac:dyDescent="0.2">
      <c r="G1878" s="401"/>
    </row>
    <row r="1879" spans="7:7" hidden="1" x14ac:dyDescent="0.2">
      <c r="G1879" s="401"/>
    </row>
    <row r="1880" spans="7:7" hidden="1" x14ac:dyDescent="0.2">
      <c r="G1880" s="401"/>
    </row>
    <row r="1881" spans="7:7" hidden="1" x14ac:dyDescent="0.2">
      <c r="G1881" s="401"/>
    </row>
    <row r="1882" spans="7:7" hidden="1" x14ac:dyDescent="0.2">
      <c r="G1882" s="401"/>
    </row>
    <row r="1883" spans="7:7" hidden="1" x14ac:dyDescent="0.2">
      <c r="G1883" s="401"/>
    </row>
    <row r="1884" spans="7:7" hidden="1" x14ac:dyDescent="0.2">
      <c r="G1884" s="401"/>
    </row>
    <row r="1885" spans="7:7" hidden="1" x14ac:dyDescent="0.2">
      <c r="G1885" s="401"/>
    </row>
    <row r="1886" spans="7:7" hidden="1" x14ac:dyDescent="0.2">
      <c r="G1886" s="401"/>
    </row>
    <row r="1887" spans="7:7" hidden="1" x14ac:dyDescent="0.2">
      <c r="G1887" s="401"/>
    </row>
    <row r="1888" spans="7:7" hidden="1" x14ac:dyDescent="0.2">
      <c r="G1888" s="401"/>
    </row>
    <row r="1889" spans="7:7" hidden="1" x14ac:dyDescent="0.2">
      <c r="G1889" s="401"/>
    </row>
    <row r="1890" spans="7:7" hidden="1" x14ac:dyDescent="0.2">
      <c r="G1890" s="401"/>
    </row>
    <row r="1891" spans="7:7" hidden="1" x14ac:dyDescent="0.2">
      <c r="G1891" s="401"/>
    </row>
    <row r="1892" spans="7:7" hidden="1" x14ac:dyDescent="0.2">
      <c r="G1892" s="401"/>
    </row>
    <row r="1893" spans="7:7" hidden="1" x14ac:dyDescent="0.2">
      <c r="G1893" s="401"/>
    </row>
    <row r="1894" spans="7:7" hidden="1" x14ac:dyDescent="0.2">
      <c r="G1894" s="401"/>
    </row>
    <row r="1895" spans="7:7" hidden="1" x14ac:dyDescent="0.2">
      <c r="G1895" s="401"/>
    </row>
    <row r="1896" spans="7:7" hidden="1" x14ac:dyDescent="0.2">
      <c r="G1896" s="401"/>
    </row>
    <row r="1897" spans="7:7" hidden="1" x14ac:dyDescent="0.2">
      <c r="G1897" s="401"/>
    </row>
    <row r="1898" spans="7:7" hidden="1" x14ac:dyDescent="0.2">
      <c r="G1898" s="401"/>
    </row>
    <row r="1899" spans="7:7" hidden="1" x14ac:dyDescent="0.2">
      <c r="G1899" s="401"/>
    </row>
    <row r="1900" spans="7:7" hidden="1" x14ac:dyDescent="0.2">
      <c r="G1900" s="401"/>
    </row>
    <row r="1901" spans="7:7" hidden="1" x14ac:dyDescent="0.2">
      <c r="G1901" s="401"/>
    </row>
    <row r="1902" spans="7:7" hidden="1" x14ac:dyDescent="0.2">
      <c r="G1902" s="401"/>
    </row>
    <row r="1903" spans="7:7" hidden="1" x14ac:dyDescent="0.2">
      <c r="G1903" s="401"/>
    </row>
    <row r="1904" spans="7:7" hidden="1" x14ac:dyDescent="0.2">
      <c r="G1904" s="401"/>
    </row>
    <row r="1905" spans="7:7" hidden="1" x14ac:dyDescent="0.2">
      <c r="G1905" s="401"/>
    </row>
    <row r="1906" spans="7:7" hidden="1" x14ac:dyDescent="0.2">
      <c r="G1906" s="401"/>
    </row>
    <row r="1907" spans="7:7" hidden="1" x14ac:dyDescent="0.2">
      <c r="G1907" s="401"/>
    </row>
    <row r="1908" spans="7:7" hidden="1" x14ac:dyDescent="0.2">
      <c r="G1908" s="401"/>
    </row>
    <row r="1909" spans="7:7" hidden="1" x14ac:dyDescent="0.2">
      <c r="G1909" s="401"/>
    </row>
    <row r="1910" spans="7:7" hidden="1" x14ac:dyDescent="0.2">
      <c r="G1910" s="401"/>
    </row>
    <row r="1911" spans="7:7" hidden="1" x14ac:dyDescent="0.2">
      <c r="G1911" s="401"/>
    </row>
    <row r="1912" spans="7:7" hidden="1" x14ac:dyDescent="0.2">
      <c r="G1912" s="401"/>
    </row>
    <row r="1913" spans="7:7" hidden="1" x14ac:dyDescent="0.2">
      <c r="G1913" s="401"/>
    </row>
    <row r="1914" spans="7:7" hidden="1" x14ac:dyDescent="0.2">
      <c r="G1914" s="401"/>
    </row>
    <row r="1915" spans="7:7" hidden="1" x14ac:dyDescent="0.2">
      <c r="G1915" s="401"/>
    </row>
    <row r="1916" spans="7:7" hidden="1" x14ac:dyDescent="0.2">
      <c r="G1916" s="401"/>
    </row>
    <row r="1917" spans="7:7" hidden="1" x14ac:dyDescent="0.2">
      <c r="G1917" s="401"/>
    </row>
    <row r="1918" spans="7:7" hidden="1" x14ac:dyDescent="0.2">
      <c r="G1918" s="401"/>
    </row>
    <row r="1919" spans="7:7" hidden="1" x14ac:dyDescent="0.2">
      <c r="G1919" s="401"/>
    </row>
    <row r="1920" spans="7:7" hidden="1" x14ac:dyDescent="0.2">
      <c r="G1920" s="401"/>
    </row>
    <row r="1921" spans="7:7" hidden="1" x14ac:dyDescent="0.2">
      <c r="G1921" s="401"/>
    </row>
    <row r="1922" spans="7:7" hidden="1" x14ac:dyDescent="0.2">
      <c r="G1922" s="401"/>
    </row>
    <row r="1923" spans="7:7" hidden="1" x14ac:dyDescent="0.2">
      <c r="G1923" s="401"/>
    </row>
    <row r="1924" spans="7:7" hidden="1" x14ac:dyDescent="0.2">
      <c r="G1924" s="401"/>
    </row>
    <row r="1925" spans="7:7" hidden="1" x14ac:dyDescent="0.2">
      <c r="G1925" s="401"/>
    </row>
    <row r="1926" spans="7:7" hidden="1" x14ac:dyDescent="0.2">
      <c r="G1926" s="401"/>
    </row>
    <row r="1927" spans="7:7" hidden="1" x14ac:dyDescent="0.2">
      <c r="G1927" s="401"/>
    </row>
    <row r="1928" spans="7:7" hidden="1" x14ac:dyDescent="0.2">
      <c r="G1928" s="401"/>
    </row>
    <row r="1929" spans="7:7" hidden="1" x14ac:dyDescent="0.2">
      <c r="G1929" s="401"/>
    </row>
    <row r="1930" spans="7:7" hidden="1" x14ac:dyDescent="0.2">
      <c r="G1930" s="401"/>
    </row>
    <row r="1931" spans="7:7" hidden="1" x14ac:dyDescent="0.2">
      <c r="G1931" s="401"/>
    </row>
    <row r="1932" spans="7:7" hidden="1" x14ac:dyDescent="0.2">
      <c r="G1932" s="401"/>
    </row>
    <row r="1933" spans="7:7" hidden="1" x14ac:dyDescent="0.2">
      <c r="G1933" s="401"/>
    </row>
    <row r="1934" spans="7:7" hidden="1" x14ac:dyDescent="0.2">
      <c r="G1934" s="401"/>
    </row>
    <row r="1935" spans="7:7" hidden="1" x14ac:dyDescent="0.2">
      <c r="G1935" s="401"/>
    </row>
    <row r="1936" spans="7:7" hidden="1" x14ac:dyDescent="0.2">
      <c r="G1936" s="401"/>
    </row>
    <row r="1937" spans="7:7" hidden="1" x14ac:dyDescent="0.2">
      <c r="G1937" s="401"/>
    </row>
    <row r="1938" spans="7:7" hidden="1" x14ac:dyDescent="0.2">
      <c r="G1938" s="401"/>
    </row>
    <row r="1939" spans="7:7" hidden="1" x14ac:dyDescent="0.2">
      <c r="G1939" s="401"/>
    </row>
    <row r="1940" spans="7:7" hidden="1" x14ac:dyDescent="0.2">
      <c r="G1940" s="401"/>
    </row>
    <row r="1941" spans="7:7" hidden="1" x14ac:dyDescent="0.2">
      <c r="G1941" s="401"/>
    </row>
    <row r="1942" spans="7:7" hidden="1" x14ac:dyDescent="0.2">
      <c r="G1942" s="401"/>
    </row>
    <row r="1943" spans="7:7" hidden="1" x14ac:dyDescent="0.2">
      <c r="G1943" s="401"/>
    </row>
    <row r="1944" spans="7:7" hidden="1" x14ac:dyDescent="0.2">
      <c r="G1944" s="401"/>
    </row>
    <row r="1945" spans="7:7" hidden="1" x14ac:dyDescent="0.2">
      <c r="G1945" s="401"/>
    </row>
    <row r="1946" spans="7:7" hidden="1" x14ac:dyDescent="0.2">
      <c r="G1946" s="401"/>
    </row>
    <row r="1947" spans="7:7" hidden="1" x14ac:dyDescent="0.2">
      <c r="G1947" s="401"/>
    </row>
    <row r="1948" spans="7:7" hidden="1" x14ac:dyDescent="0.2">
      <c r="G1948" s="401"/>
    </row>
    <row r="1949" spans="7:7" hidden="1" x14ac:dyDescent="0.2">
      <c r="G1949" s="401"/>
    </row>
    <row r="1950" spans="7:7" hidden="1" x14ac:dyDescent="0.2">
      <c r="G1950" s="401"/>
    </row>
    <row r="1951" spans="7:7" hidden="1" x14ac:dyDescent="0.2">
      <c r="G1951" s="401"/>
    </row>
    <row r="1952" spans="7:7" hidden="1" x14ac:dyDescent="0.2">
      <c r="G1952" s="401"/>
    </row>
    <row r="1953" spans="7:7" hidden="1" x14ac:dyDescent="0.2">
      <c r="G1953" s="401"/>
    </row>
    <row r="1954" spans="7:7" hidden="1" x14ac:dyDescent="0.2">
      <c r="G1954" s="401"/>
    </row>
    <row r="1955" spans="7:7" hidden="1" x14ac:dyDescent="0.2">
      <c r="G1955" s="401"/>
    </row>
    <row r="1956" spans="7:7" hidden="1" x14ac:dyDescent="0.2">
      <c r="G1956" s="401"/>
    </row>
    <row r="1957" spans="7:7" hidden="1" x14ac:dyDescent="0.2">
      <c r="G1957" s="401"/>
    </row>
    <row r="1958" spans="7:7" hidden="1" x14ac:dyDescent="0.2">
      <c r="G1958" s="401"/>
    </row>
    <row r="1959" spans="7:7" hidden="1" x14ac:dyDescent="0.2">
      <c r="G1959" s="401"/>
    </row>
    <row r="1960" spans="7:7" hidden="1" x14ac:dyDescent="0.2">
      <c r="G1960" s="401"/>
    </row>
    <row r="1961" spans="7:7" hidden="1" x14ac:dyDescent="0.2">
      <c r="G1961" s="401"/>
    </row>
    <row r="1962" spans="7:7" hidden="1" x14ac:dyDescent="0.2">
      <c r="G1962" s="401"/>
    </row>
    <row r="1963" spans="7:7" hidden="1" x14ac:dyDescent="0.2">
      <c r="G1963" s="401"/>
    </row>
    <row r="1964" spans="7:7" hidden="1" x14ac:dyDescent="0.2">
      <c r="G1964" s="401"/>
    </row>
    <row r="1965" spans="7:7" hidden="1" x14ac:dyDescent="0.2">
      <c r="G1965" s="401"/>
    </row>
    <row r="1966" spans="7:7" hidden="1" x14ac:dyDescent="0.2">
      <c r="G1966" s="401"/>
    </row>
    <row r="1967" spans="7:7" hidden="1" x14ac:dyDescent="0.2">
      <c r="G1967" s="401"/>
    </row>
    <row r="1968" spans="7:7" hidden="1" x14ac:dyDescent="0.2">
      <c r="G1968" s="401"/>
    </row>
    <row r="1969" spans="7:7" hidden="1" x14ac:dyDescent="0.2">
      <c r="G1969" s="401"/>
    </row>
    <row r="1970" spans="7:7" hidden="1" x14ac:dyDescent="0.2">
      <c r="G1970" s="401"/>
    </row>
    <row r="1971" spans="7:7" hidden="1" x14ac:dyDescent="0.2">
      <c r="G1971" s="401"/>
    </row>
    <row r="1972" spans="7:7" hidden="1" x14ac:dyDescent="0.2">
      <c r="G1972" s="401"/>
    </row>
    <row r="1973" spans="7:7" hidden="1" x14ac:dyDescent="0.2">
      <c r="G1973" s="401"/>
    </row>
    <row r="1974" spans="7:7" hidden="1" x14ac:dyDescent="0.2">
      <c r="G1974" s="401"/>
    </row>
    <row r="1975" spans="7:7" hidden="1" x14ac:dyDescent="0.2">
      <c r="G1975" s="401"/>
    </row>
    <row r="1976" spans="7:7" hidden="1" x14ac:dyDescent="0.2">
      <c r="G1976" s="401"/>
    </row>
    <row r="1977" spans="7:7" hidden="1" x14ac:dyDescent="0.2">
      <c r="G1977" s="401"/>
    </row>
    <row r="1978" spans="7:7" hidden="1" x14ac:dyDescent="0.2">
      <c r="G1978" s="401"/>
    </row>
    <row r="1979" spans="7:7" hidden="1" x14ac:dyDescent="0.2">
      <c r="G1979" s="401"/>
    </row>
    <row r="1980" spans="7:7" hidden="1" x14ac:dyDescent="0.2">
      <c r="G1980" s="401"/>
    </row>
    <row r="1981" spans="7:7" hidden="1" x14ac:dyDescent="0.2">
      <c r="G1981" s="401"/>
    </row>
    <row r="1982" spans="7:7" hidden="1" x14ac:dyDescent="0.2">
      <c r="G1982" s="401"/>
    </row>
    <row r="1983" spans="7:7" hidden="1" x14ac:dyDescent="0.2">
      <c r="G1983" s="401"/>
    </row>
    <row r="1984" spans="7:7" hidden="1" x14ac:dyDescent="0.2">
      <c r="G1984" s="401"/>
    </row>
    <row r="1985" spans="7:7" hidden="1" x14ac:dyDescent="0.2">
      <c r="G1985" s="401"/>
    </row>
    <row r="1986" spans="7:7" hidden="1" x14ac:dyDescent="0.2">
      <c r="G1986" s="401"/>
    </row>
    <row r="1987" spans="7:7" hidden="1" x14ac:dyDescent="0.2">
      <c r="G1987" s="401"/>
    </row>
    <row r="1988" spans="7:7" hidden="1" x14ac:dyDescent="0.2">
      <c r="G1988" s="401"/>
    </row>
    <row r="1989" spans="7:7" hidden="1" x14ac:dyDescent="0.2">
      <c r="G1989" s="401"/>
    </row>
    <row r="1990" spans="7:7" hidden="1" x14ac:dyDescent="0.2">
      <c r="G1990" s="401"/>
    </row>
    <row r="1991" spans="7:7" hidden="1" x14ac:dyDescent="0.2">
      <c r="G1991" s="401"/>
    </row>
    <row r="1992" spans="7:7" hidden="1" x14ac:dyDescent="0.2">
      <c r="G1992" s="401"/>
    </row>
    <row r="1993" spans="7:7" hidden="1" x14ac:dyDescent="0.2">
      <c r="G1993" s="401"/>
    </row>
    <row r="1994" spans="7:7" hidden="1" x14ac:dyDescent="0.2">
      <c r="G1994" s="401"/>
    </row>
    <row r="1995" spans="7:7" hidden="1" x14ac:dyDescent="0.2">
      <c r="G1995" s="401"/>
    </row>
    <row r="1996" spans="7:7" hidden="1" x14ac:dyDescent="0.2">
      <c r="G1996" s="401"/>
    </row>
    <row r="1997" spans="7:7" hidden="1" x14ac:dyDescent="0.2">
      <c r="G1997" s="401"/>
    </row>
    <row r="1998" spans="7:7" hidden="1" x14ac:dyDescent="0.2">
      <c r="G1998" s="401"/>
    </row>
    <row r="1999" spans="7:7" hidden="1" x14ac:dyDescent="0.2">
      <c r="G1999" s="401"/>
    </row>
    <row r="2000" spans="7:7" hidden="1" x14ac:dyDescent="0.2">
      <c r="G2000" s="401"/>
    </row>
    <row r="2001" spans="7:7" hidden="1" x14ac:dyDescent="0.2">
      <c r="G2001" s="401"/>
    </row>
    <row r="2002" spans="7:7" hidden="1" x14ac:dyDescent="0.2">
      <c r="G2002" s="401"/>
    </row>
    <row r="2003" spans="7:7" hidden="1" x14ac:dyDescent="0.2">
      <c r="G2003" s="401"/>
    </row>
    <row r="2004" spans="7:7" hidden="1" x14ac:dyDescent="0.2">
      <c r="G2004" s="401"/>
    </row>
    <row r="2005" spans="7:7" hidden="1" x14ac:dyDescent="0.2">
      <c r="G2005" s="401"/>
    </row>
    <row r="2006" spans="7:7" hidden="1" x14ac:dyDescent="0.2">
      <c r="G2006" s="401"/>
    </row>
    <row r="2007" spans="7:7" hidden="1" x14ac:dyDescent="0.2">
      <c r="G2007" s="401"/>
    </row>
    <row r="2008" spans="7:7" hidden="1" x14ac:dyDescent="0.2">
      <c r="G2008" s="401"/>
    </row>
    <row r="2009" spans="7:7" hidden="1" x14ac:dyDescent="0.2">
      <c r="G2009" s="401"/>
    </row>
    <row r="2010" spans="7:7" hidden="1" x14ac:dyDescent="0.2">
      <c r="G2010" s="401"/>
    </row>
    <row r="2011" spans="7:7" hidden="1" x14ac:dyDescent="0.2">
      <c r="G2011" s="401"/>
    </row>
    <row r="2012" spans="7:7" hidden="1" x14ac:dyDescent="0.2">
      <c r="G2012" s="401"/>
    </row>
    <row r="2013" spans="7:7" hidden="1" x14ac:dyDescent="0.2">
      <c r="G2013" s="401"/>
    </row>
    <row r="2014" spans="7:7" hidden="1" x14ac:dyDescent="0.2">
      <c r="G2014" s="401"/>
    </row>
    <row r="2015" spans="7:7" hidden="1" x14ac:dyDescent="0.2">
      <c r="G2015" s="401"/>
    </row>
    <row r="2016" spans="7:7" hidden="1" x14ac:dyDescent="0.2">
      <c r="G2016" s="401"/>
    </row>
    <row r="2017" spans="7:7" hidden="1" x14ac:dyDescent="0.2">
      <c r="G2017" s="401"/>
    </row>
    <row r="2018" spans="7:7" hidden="1" x14ac:dyDescent="0.2">
      <c r="G2018" s="401"/>
    </row>
    <row r="2019" spans="7:7" hidden="1" x14ac:dyDescent="0.2">
      <c r="G2019" s="401"/>
    </row>
    <row r="2020" spans="7:7" hidden="1" x14ac:dyDescent="0.2">
      <c r="G2020" s="401"/>
    </row>
    <row r="2021" spans="7:7" hidden="1" x14ac:dyDescent="0.2">
      <c r="G2021" s="401"/>
    </row>
    <row r="2022" spans="7:7" hidden="1" x14ac:dyDescent="0.2">
      <c r="G2022" s="401"/>
    </row>
    <row r="2023" spans="7:7" hidden="1" x14ac:dyDescent="0.2">
      <c r="G2023" s="401"/>
    </row>
    <row r="2024" spans="7:7" hidden="1" x14ac:dyDescent="0.2">
      <c r="G2024" s="401"/>
    </row>
    <row r="2025" spans="7:7" hidden="1" x14ac:dyDescent="0.2">
      <c r="G2025" s="401"/>
    </row>
    <row r="2026" spans="7:7" hidden="1" x14ac:dyDescent="0.2">
      <c r="G2026" s="401"/>
    </row>
    <row r="2027" spans="7:7" hidden="1" x14ac:dyDescent="0.2">
      <c r="G2027" s="401"/>
    </row>
    <row r="2028" spans="7:7" hidden="1" x14ac:dyDescent="0.2">
      <c r="G2028" s="401"/>
    </row>
    <row r="2029" spans="7:7" hidden="1" x14ac:dyDescent="0.2">
      <c r="G2029" s="401"/>
    </row>
    <row r="2030" spans="7:7" hidden="1" x14ac:dyDescent="0.2">
      <c r="G2030" s="401"/>
    </row>
    <row r="2031" spans="7:7" hidden="1" x14ac:dyDescent="0.2">
      <c r="G2031" s="401"/>
    </row>
    <row r="2032" spans="7:7" hidden="1" x14ac:dyDescent="0.2">
      <c r="G2032" s="401"/>
    </row>
    <row r="2033" spans="7:7" hidden="1" x14ac:dyDescent="0.2">
      <c r="G2033" s="401"/>
    </row>
    <row r="2034" spans="7:7" hidden="1" x14ac:dyDescent="0.2">
      <c r="G2034" s="401"/>
    </row>
    <row r="2035" spans="7:7" hidden="1" x14ac:dyDescent="0.2">
      <c r="G2035" s="401"/>
    </row>
    <row r="2036" spans="7:7" hidden="1" x14ac:dyDescent="0.2">
      <c r="G2036" s="401"/>
    </row>
    <row r="2037" spans="7:7" hidden="1" x14ac:dyDescent="0.2">
      <c r="G2037" s="401"/>
    </row>
    <row r="2038" spans="7:7" hidden="1" x14ac:dyDescent="0.2">
      <c r="G2038" s="401"/>
    </row>
    <row r="2039" spans="7:7" hidden="1" x14ac:dyDescent="0.2">
      <c r="G2039" s="401"/>
    </row>
    <row r="2040" spans="7:7" hidden="1" x14ac:dyDescent="0.2">
      <c r="G2040" s="401"/>
    </row>
    <row r="2041" spans="7:7" hidden="1" x14ac:dyDescent="0.2">
      <c r="G2041" s="401"/>
    </row>
    <row r="2042" spans="7:7" hidden="1" x14ac:dyDescent="0.2">
      <c r="G2042" s="401"/>
    </row>
    <row r="2043" spans="7:7" hidden="1" x14ac:dyDescent="0.2">
      <c r="G2043" s="401"/>
    </row>
    <row r="2044" spans="7:7" hidden="1" x14ac:dyDescent="0.2">
      <c r="G2044" s="401"/>
    </row>
    <row r="2045" spans="7:7" hidden="1" x14ac:dyDescent="0.2">
      <c r="G2045" s="401"/>
    </row>
    <row r="2046" spans="7:7" hidden="1" x14ac:dyDescent="0.2">
      <c r="G2046" s="401"/>
    </row>
    <row r="2047" spans="7:7" hidden="1" x14ac:dyDescent="0.2">
      <c r="G2047" s="401"/>
    </row>
    <row r="2048" spans="7:7" hidden="1" x14ac:dyDescent="0.2">
      <c r="G2048" s="401"/>
    </row>
    <row r="2049" spans="7:7" hidden="1" x14ac:dyDescent="0.2">
      <c r="G2049" s="401"/>
    </row>
    <row r="2050" spans="7:7" hidden="1" x14ac:dyDescent="0.2">
      <c r="G2050" s="401"/>
    </row>
    <row r="2051" spans="7:7" hidden="1" x14ac:dyDescent="0.2">
      <c r="G2051" s="401"/>
    </row>
    <row r="2052" spans="7:7" hidden="1" x14ac:dyDescent="0.2">
      <c r="G2052" s="401"/>
    </row>
    <row r="2053" spans="7:7" hidden="1" x14ac:dyDescent="0.2">
      <c r="G2053" s="401"/>
    </row>
    <row r="2054" spans="7:7" hidden="1" x14ac:dyDescent="0.2">
      <c r="G2054" s="401"/>
    </row>
    <row r="2055" spans="7:7" hidden="1" x14ac:dyDescent="0.2">
      <c r="G2055" s="401"/>
    </row>
    <row r="2056" spans="7:7" hidden="1" x14ac:dyDescent="0.2">
      <c r="G2056" s="401"/>
    </row>
    <row r="2057" spans="7:7" hidden="1" x14ac:dyDescent="0.2">
      <c r="G2057" s="401"/>
    </row>
    <row r="2058" spans="7:7" hidden="1" x14ac:dyDescent="0.2">
      <c r="G2058" s="401"/>
    </row>
    <row r="2059" spans="7:7" hidden="1" x14ac:dyDescent="0.2">
      <c r="G2059" s="401"/>
    </row>
    <row r="2060" spans="7:7" hidden="1" x14ac:dyDescent="0.2">
      <c r="G2060" s="401"/>
    </row>
    <row r="2061" spans="7:7" hidden="1" x14ac:dyDescent="0.2">
      <c r="G2061" s="401"/>
    </row>
    <row r="2062" spans="7:7" hidden="1" x14ac:dyDescent="0.2">
      <c r="G2062" s="401"/>
    </row>
    <row r="2063" spans="7:7" hidden="1" x14ac:dyDescent="0.2">
      <c r="G2063" s="401"/>
    </row>
    <row r="2064" spans="7:7" hidden="1" x14ac:dyDescent="0.2">
      <c r="G2064" s="401"/>
    </row>
    <row r="2065" spans="7:7" hidden="1" x14ac:dyDescent="0.2">
      <c r="G2065" s="401"/>
    </row>
    <row r="2066" spans="7:7" hidden="1" x14ac:dyDescent="0.2">
      <c r="G2066" s="401"/>
    </row>
    <row r="2067" spans="7:7" hidden="1" x14ac:dyDescent="0.2">
      <c r="G2067" s="401"/>
    </row>
    <row r="2068" spans="7:7" hidden="1" x14ac:dyDescent="0.2">
      <c r="G2068" s="401"/>
    </row>
    <row r="2069" spans="7:7" hidden="1" x14ac:dyDescent="0.2">
      <c r="G2069" s="401"/>
    </row>
    <row r="2070" spans="7:7" hidden="1" x14ac:dyDescent="0.2">
      <c r="G2070" s="401"/>
    </row>
    <row r="2071" spans="7:7" hidden="1" x14ac:dyDescent="0.2">
      <c r="G2071" s="401"/>
    </row>
    <row r="2072" spans="7:7" hidden="1" x14ac:dyDescent="0.2">
      <c r="G2072" s="401"/>
    </row>
    <row r="2073" spans="7:7" hidden="1" x14ac:dyDescent="0.2">
      <c r="G2073" s="401"/>
    </row>
    <row r="2074" spans="7:7" hidden="1" x14ac:dyDescent="0.2">
      <c r="G2074" s="401"/>
    </row>
    <row r="2075" spans="7:7" hidden="1" x14ac:dyDescent="0.2">
      <c r="G2075" s="401"/>
    </row>
    <row r="2076" spans="7:7" hidden="1" x14ac:dyDescent="0.2">
      <c r="G2076" s="401"/>
    </row>
    <row r="2077" spans="7:7" hidden="1" x14ac:dyDescent="0.2">
      <c r="G2077" s="401"/>
    </row>
    <row r="2078" spans="7:7" hidden="1" x14ac:dyDescent="0.2">
      <c r="G2078" s="401"/>
    </row>
    <row r="2079" spans="7:7" hidden="1" x14ac:dyDescent="0.2">
      <c r="G2079" s="401"/>
    </row>
    <row r="2080" spans="7:7" hidden="1" x14ac:dyDescent="0.2">
      <c r="G2080" s="401"/>
    </row>
    <row r="2081" spans="7:7" hidden="1" x14ac:dyDescent="0.2">
      <c r="G2081" s="401"/>
    </row>
    <row r="2082" spans="7:7" hidden="1" x14ac:dyDescent="0.2">
      <c r="G2082" s="401"/>
    </row>
    <row r="2083" spans="7:7" hidden="1" x14ac:dyDescent="0.2">
      <c r="G2083" s="401"/>
    </row>
    <row r="2084" spans="7:7" hidden="1" x14ac:dyDescent="0.2">
      <c r="G2084" s="401"/>
    </row>
    <row r="2085" spans="7:7" hidden="1" x14ac:dyDescent="0.2">
      <c r="G2085" s="401"/>
    </row>
    <row r="2086" spans="7:7" hidden="1" x14ac:dyDescent="0.2">
      <c r="G2086" s="401"/>
    </row>
    <row r="2087" spans="7:7" hidden="1" x14ac:dyDescent="0.2">
      <c r="G2087" s="401"/>
    </row>
    <row r="2088" spans="7:7" hidden="1" x14ac:dyDescent="0.2">
      <c r="G2088" s="401"/>
    </row>
    <row r="2089" spans="7:7" hidden="1" x14ac:dyDescent="0.2">
      <c r="G2089" s="401"/>
    </row>
    <row r="2090" spans="7:7" hidden="1" x14ac:dyDescent="0.2">
      <c r="G2090" s="401"/>
    </row>
    <row r="2091" spans="7:7" hidden="1" x14ac:dyDescent="0.2">
      <c r="G2091" s="401"/>
    </row>
    <row r="2092" spans="7:7" hidden="1" x14ac:dyDescent="0.2">
      <c r="G2092" s="401"/>
    </row>
    <row r="2093" spans="7:7" hidden="1" x14ac:dyDescent="0.2">
      <c r="G2093" s="401"/>
    </row>
    <row r="2094" spans="7:7" hidden="1" x14ac:dyDescent="0.2">
      <c r="G2094" s="401"/>
    </row>
    <row r="2095" spans="7:7" hidden="1" x14ac:dyDescent="0.2">
      <c r="G2095" s="401"/>
    </row>
    <row r="2096" spans="7:7" hidden="1" x14ac:dyDescent="0.2">
      <c r="G2096" s="401"/>
    </row>
    <row r="2097" spans="7:7" hidden="1" x14ac:dyDescent="0.2">
      <c r="G2097" s="401"/>
    </row>
    <row r="2098" spans="7:7" hidden="1" x14ac:dyDescent="0.2">
      <c r="G2098" s="401"/>
    </row>
    <row r="2099" spans="7:7" hidden="1" x14ac:dyDescent="0.2">
      <c r="G2099" s="401"/>
    </row>
    <row r="2100" spans="7:7" hidden="1" x14ac:dyDescent="0.2">
      <c r="G2100" s="401"/>
    </row>
    <row r="2101" spans="7:7" hidden="1" x14ac:dyDescent="0.2">
      <c r="G2101" s="401"/>
    </row>
    <row r="2102" spans="7:7" hidden="1" x14ac:dyDescent="0.2">
      <c r="G2102" s="401"/>
    </row>
    <row r="2103" spans="7:7" hidden="1" x14ac:dyDescent="0.2">
      <c r="G2103" s="401"/>
    </row>
    <row r="2104" spans="7:7" hidden="1" x14ac:dyDescent="0.2">
      <c r="G2104" s="401"/>
    </row>
    <row r="2105" spans="7:7" hidden="1" x14ac:dyDescent="0.2">
      <c r="G2105" s="401"/>
    </row>
    <row r="2106" spans="7:7" hidden="1" x14ac:dyDescent="0.2">
      <c r="G2106" s="401"/>
    </row>
    <row r="2107" spans="7:7" hidden="1" x14ac:dyDescent="0.2">
      <c r="G2107" s="401"/>
    </row>
    <row r="2108" spans="7:7" hidden="1" x14ac:dyDescent="0.2">
      <c r="G2108" s="401"/>
    </row>
    <row r="2109" spans="7:7" hidden="1" x14ac:dyDescent="0.2">
      <c r="G2109" s="401"/>
    </row>
    <row r="2110" spans="7:7" hidden="1" x14ac:dyDescent="0.2">
      <c r="G2110" s="401"/>
    </row>
    <row r="2111" spans="7:7" hidden="1" x14ac:dyDescent="0.2">
      <c r="G2111" s="401"/>
    </row>
    <row r="2112" spans="7:7" hidden="1" x14ac:dyDescent="0.2">
      <c r="G2112" s="401"/>
    </row>
    <row r="2113" spans="7:7" hidden="1" x14ac:dyDescent="0.2">
      <c r="G2113" s="401"/>
    </row>
    <row r="2114" spans="7:7" hidden="1" x14ac:dyDescent="0.2">
      <c r="G2114" s="401"/>
    </row>
    <row r="2115" spans="7:7" hidden="1" x14ac:dyDescent="0.2">
      <c r="G2115" s="401"/>
    </row>
    <row r="2116" spans="7:7" hidden="1" x14ac:dyDescent="0.2">
      <c r="G2116" s="401"/>
    </row>
    <row r="2117" spans="7:7" hidden="1" x14ac:dyDescent="0.2">
      <c r="G2117" s="401"/>
    </row>
    <row r="2118" spans="7:7" hidden="1" x14ac:dyDescent="0.2">
      <c r="G2118" s="401"/>
    </row>
    <row r="2119" spans="7:7" hidden="1" x14ac:dyDescent="0.2">
      <c r="G2119" s="401"/>
    </row>
    <row r="2120" spans="7:7" hidden="1" x14ac:dyDescent="0.2">
      <c r="G2120" s="401"/>
    </row>
    <row r="2121" spans="7:7" hidden="1" x14ac:dyDescent="0.2">
      <c r="G2121" s="401"/>
    </row>
    <row r="2122" spans="7:7" hidden="1" x14ac:dyDescent="0.2">
      <c r="G2122" s="401"/>
    </row>
    <row r="2123" spans="7:7" hidden="1" x14ac:dyDescent="0.2">
      <c r="G2123" s="401"/>
    </row>
    <row r="2124" spans="7:7" hidden="1" x14ac:dyDescent="0.2">
      <c r="G2124" s="401"/>
    </row>
    <row r="2125" spans="7:7" hidden="1" x14ac:dyDescent="0.2">
      <c r="G2125" s="401"/>
    </row>
    <row r="2126" spans="7:7" hidden="1" x14ac:dyDescent="0.2">
      <c r="G2126" s="401"/>
    </row>
    <row r="2127" spans="7:7" hidden="1" x14ac:dyDescent="0.2">
      <c r="G2127" s="401"/>
    </row>
    <row r="2128" spans="7:7" hidden="1" x14ac:dyDescent="0.2">
      <c r="G2128" s="401"/>
    </row>
    <row r="2129" spans="7:7" hidden="1" x14ac:dyDescent="0.2">
      <c r="G2129" s="401"/>
    </row>
    <row r="2130" spans="7:7" hidden="1" x14ac:dyDescent="0.2">
      <c r="G2130" s="401"/>
    </row>
    <row r="2131" spans="7:7" hidden="1" x14ac:dyDescent="0.2">
      <c r="G2131" s="401"/>
    </row>
    <row r="2132" spans="7:7" hidden="1" x14ac:dyDescent="0.2">
      <c r="G2132" s="401"/>
    </row>
    <row r="2133" spans="7:7" hidden="1" x14ac:dyDescent="0.2">
      <c r="G2133" s="401"/>
    </row>
    <row r="2134" spans="7:7" hidden="1" x14ac:dyDescent="0.2">
      <c r="G2134" s="401"/>
    </row>
    <row r="2135" spans="7:7" hidden="1" x14ac:dyDescent="0.2">
      <c r="G2135" s="401"/>
    </row>
    <row r="2136" spans="7:7" hidden="1" x14ac:dyDescent="0.2">
      <c r="G2136" s="401"/>
    </row>
    <row r="2137" spans="7:7" hidden="1" x14ac:dyDescent="0.2">
      <c r="G2137" s="401"/>
    </row>
    <row r="2138" spans="7:7" hidden="1" x14ac:dyDescent="0.2">
      <c r="G2138" s="401"/>
    </row>
    <row r="2139" spans="7:7" hidden="1" x14ac:dyDescent="0.2">
      <c r="G2139" s="401"/>
    </row>
    <row r="2140" spans="7:7" hidden="1" x14ac:dyDescent="0.2">
      <c r="G2140" s="401"/>
    </row>
    <row r="2141" spans="7:7" hidden="1" x14ac:dyDescent="0.2">
      <c r="G2141" s="401"/>
    </row>
    <row r="2142" spans="7:7" hidden="1" x14ac:dyDescent="0.2">
      <c r="G2142" s="401"/>
    </row>
    <row r="2143" spans="7:7" hidden="1" x14ac:dyDescent="0.2">
      <c r="G2143" s="401"/>
    </row>
    <row r="2144" spans="7:7" hidden="1" x14ac:dyDescent="0.2">
      <c r="G2144" s="401"/>
    </row>
    <row r="2145" spans="7:7" hidden="1" x14ac:dyDescent="0.2">
      <c r="G2145" s="401"/>
    </row>
    <row r="2146" spans="7:7" hidden="1" x14ac:dyDescent="0.2">
      <c r="G2146" s="401"/>
    </row>
    <row r="2147" spans="7:7" hidden="1" x14ac:dyDescent="0.2">
      <c r="G2147" s="401"/>
    </row>
    <row r="2148" spans="7:7" hidden="1" x14ac:dyDescent="0.2">
      <c r="G2148" s="401"/>
    </row>
    <row r="2149" spans="7:7" hidden="1" x14ac:dyDescent="0.2">
      <c r="G2149" s="401"/>
    </row>
    <row r="2150" spans="7:7" hidden="1" x14ac:dyDescent="0.2">
      <c r="G2150" s="401"/>
    </row>
    <row r="2151" spans="7:7" hidden="1" x14ac:dyDescent="0.2">
      <c r="G2151" s="401"/>
    </row>
    <row r="2152" spans="7:7" hidden="1" x14ac:dyDescent="0.2">
      <c r="G2152" s="401"/>
    </row>
    <row r="2153" spans="7:7" hidden="1" x14ac:dyDescent="0.2">
      <c r="G2153" s="401"/>
    </row>
    <row r="2154" spans="7:7" hidden="1" x14ac:dyDescent="0.2">
      <c r="G2154" s="401"/>
    </row>
    <row r="2155" spans="7:7" hidden="1" x14ac:dyDescent="0.2">
      <c r="G2155" s="401"/>
    </row>
    <row r="2156" spans="7:7" hidden="1" x14ac:dyDescent="0.2">
      <c r="G2156" s="401"/>
    </row>
    <row r="2157" spans="7:7" hidden="1" x14ac:dyDescent="0.2">
      <c r="G2157" s="401"/>
    </row>
    <row r="2158" spans="7:7" hidden="1" x14ac:dyDescent="0.2">
      <c r="G2158" s="401"/>
    </row>
    <row r="2159" spans="7:7" hidden="1" x14ac:dyDescent="0.2">
      <c r="G2159" s="401"/>
    </row>
    <row r="2160" spans="7:7" hidden="1" x14ac:dyDescent="0.2">
      <c r="G2160" s="401"/>
    </row>
    <row r="2161" spans="7:7" hidden="1" x14ac:dyDescent="0.2">
      <c r="G2161" s="401"/>
    </row>
    <row r="2162" spans="7:7" hidden="1" x14ac:dyDescent="0.2">
      <c r="G2162" s="401"/>
    </row>
    <row r="2163" spans="7:7" hidden="1" x14ac:dyDescent="0.2">
      <c r="G2163" s="401"/>
    </row>
    <row r="2164" spans="7:7" hidden="1" x14ac:dyDescent="0.2">
      <c r="G2164" s="401"/>
    </row>
    <row r="2165" spans="7:7" hidden="1" x14ac:dyDescent="0.2">
      <c r="G2165" s="401"/>
    </row>
    <row r="2166" spans="7:7" hidden="1" x14ac:dyDescent="0.2">
      <c r="G2166" s="401"/>
    </row>
    <row r="2167" spans="7:7" hidden="1" x14ac:dyDescent="0.2">
      <c r="G2167" s="401"/>
    </row>
    <row r="2168" spans="7:7" hidden="1" x14ac:dyDescent="0.2">
      <c r="G2168" s="401"/>
    </row>
    <row r="2169" spans="7:7" hidden="1" x14ac:dyDescent="0.2">
      <c r="G2169" s="401"/>
    </row>
    <row r="2170" spans="7:7" hidden="1" x14ac:dyDescent="0.2">
      <c r="G2170" s="401"/>
    </row>
    <row r="2171" spans="7:7" hidden="1" x14ac:dyDescent="0.2">
      <c r="G2171" s="401"/>
    </row>
    <row r="2172" spans="7:7" hidden="1" x14ac:dyDescent="0.2">
      <c r="G2172" s="401"/>
    </row>
    <row r="2173" spans="7:7" hidden="1" x14ac:dyDescent="0.2">
      <c r="G2173" s="401"/>
    </row>
    <row r="2174" spans="7:7" hidden="1" x14ac:dyDescent="0.2">
      <c r="G2174" s="401"/>
    </row>
    <row r="2175" spans="7:7" hidden="1" x14ac:dyDescent="0.2">
      <c r="G2175" s="401"/>
    </row>
    <row r="2176" spans="7:7" hidden="1" x14ac:dyDescent="0.2">
      <c r="G2176" s="401"/>
    </row>
    <row r="2177" spans="7:7" hidden="1" x14ac:dyDescent="0.2">
      <c r="G2177" s="401"/>
    </row>
    <row r="2178" spans="7:7" hidden="1" x14ac:dyDescent="0.2">
      <c r="G2178" s="401"/>
    </row>
    <row r="2179" spans="7:7" hidden="1" x14ac:dyDescent="0.2">
      <c r="G2179" s="401"/>
    </row>
    <row r="2180" spans="7:7" hidden="1" x14ac:dyDescent="0.2">
      <c r="G2180" s="401"/>
    </row>
    <row r="2181" spans="7:7" hidden="1" x14ac:dyDescent="0.2">
      <c r="G2181" s="401"/>
    </row>
    <row r="2182" spans="7:7" hidden="1" x14ac:dyDescent="0.2">
      <c r="G2182" s="401"/>
    </row>
    <row r="2183" spans="7:7" hidden="1" x14ac:dyDescent="0.2">
      <c r="G2183" s="401"/>
    </row>
    <row r="2184" spans="7:7" hidden="1" x14ac:dyDescent="0.2">
      <c r="G2184" s="401"/>
    </row>
    <row r="2185" spans="7:7" hidden="1" x14ac:dyDescent="0.2">
      <c r="G2185" s="401"/>
    </row>
    <row r="2186" spans="7:7" hidden="1" x14ac:dyDescent="0.2">
      <c r="G2186" s="401"/>
    </row>
    <row r="2187" spans="7:7" hidden="1" x14ac:dyDescent="0.2">
      <c r="G2187" s="401"/>
    </row>
    <row r="2188" spans="7:7" hidden="1" x14ac:dyDescent="0.2">
      <c r="G2188" s="401"/>
    </row>
    <row r="2189" spans="7:7" hidden="1" x14ac:dyDescent="0.2">
      <c r="G2189" s="401"/>
    </row>
    <row r="2190" spans="7:7" hidden="1" x14ac:dyDescent="0.2">
      <c r="G2190" s="401"/>
    </row>
    <row r="2191" spans="7:7" hidden="1" x14ac:dyDescent="0.2">
      <c r="G2191" s="401"/>
    </row>
    <row r="2192" spans="7:7" hidden="1" x14ac:dyDescent="0.2">
      <c r="G2192" s="401"/>
    </row>
    <row r="2193" spans="7:7" hidden="1" x14ac:dyDescent="0.2">
      <c r="G2193" s="401"/>
    </row>
    <row r="2194" spans="7:7" hidden="1" x14ac:dyDescent="0.2">
      <c r="G2194" s="401"/>
    </row>
    <row r="2195" spans="7:7" hidden="1" x14ac:dyDescent="0.2">
      <c r="G2195" s="401"/>
    </row>
    <row r="2196" spans="7:7" hidden="1" x14ac:dyDescent="0.2">
      <c r="G2196" s="401"/>
    </row>
    <row r="2197" spans="7:7" hidden="1" x14ac:dyDescent="0.2">
      <c r="G2197" s="401"/>
    </row>
    <row r="2198" spans="7:7" hidden="1" x14ac:dyDescent="0.2">
      <c r="G2198" s="401"/>
    </row>
    <row r="2199" spans="7:7" hidden="1" x14ac:dyDescent="0.2">
      <c r="G2199" s="401"/>
    </row>
    <row r="2200" spans="7:7" hidden="1" x14ac:dyDescent="0.2">
      <c r="G2200" s="401"/>
    </row>
    <row r="2201" spans="7:7" hidden="1" x14ac:dyDescent="0.2">
      <c r="G2201" s="401"/>
    </row>
    <row r="2202" spans="7:7" hidden="1" x14ac:dyDescent="0.2">
      <c r="G2202" s="401"/>
    </row>
    <row r="2203" spans="7:7" hidden="1" x14ac:dyDescent="0.2">
      <c r="G2203" s="401"/>
    </row>
    <row r="2204" spans="7:7" hidden="1" x14ac:dyDescent="0.2">
      <c r="G2204" s="401"/>
    </row>
    <row r="2205" spans="7:7" hidden="1" x14ac:dyDescent="0.2">
      <c r="G2205" s="401"/>
    </row>
    <row r="2206" spans="7:7" hidden="1" x14ac:dyDescent="0.2">
      <c r="G2206" s="401"/>
    </row>
    <row r="2207" spans="7:7" hidden="1" x14ac:dyDescent="0.2">
      <c r="G2207" s="401"/>
    </row>
    <row r="2208" spans="7:7" hidden="1" x14ac:dyDescent="0.2">
      <c r="G2208" s="401"/>
    </row>
    <row r="2209" spans="7:7" hidden="1" x14ac:dyDescent="0.2">
      <c r="G2209" s="401"/>
    </row>
    <row r="2210" spans="7:7" hidden="1" x14ac:dyDescent="0.2">
      <c r="G2210" s="401"/>
    </row>
    <row r="2211" spans="7:7" hidden="1" x14ac:dyDescent="0.2">
      <c r="G2211" s="401"/>
    </row>
    <row r="2212" spans="7:7" hidden="1" x14ac:dyDescent="0.2">
      <c r="G2212" s="401"/>
    </row>
    <row r="2213" spans="7:7" hidden="1" x14ac:dyDescent="0.2">
      <c r="G2213" s="401"/>
    </row>
    <row r="2214" spans="7:7" hidden="1" x14ac:dyDescent="0.2">
      <c r="G2214" s="401"/>
    </row>
    <row r="2215" spans="7:7" hidden="1" x14ac:dyDescent="0.2">
      <c r="G2215" s="401"/>
    </row>
    <row r="2216" spans="7:7" hidden="1" x14ac:dyDescent="0.2">
      <c r="G2216" s="401"/>
    </row>
    <row r="2217" spans="7:7" hidden="1" x14ac:dyDescent="0.2">
      <c r="G2217" s="401"/>
    </row>
    <row r="2218" spans="7:7" hidden="1" x14ac:dyDescent="0.2">
      <c r="G2218" s="401"/>
    </row>
    <row r="2219" spans="7:7" hidden="1" x14ac:dyDescent="0.2">
      <c r="G2219" s="401"/>
    </row>
    <row r="2220" spans="7:7" hidden="1" x14ac:dyDescent="0.2">
      <c r="G2220" s="401"/>
    </row>
    <row r="2221" spans="7:7" hidden="1" x14ac:dyDescent="0.2">
      <c r="G2221" s="401"/>
    </row>
    <row r="2222" spans="7:7" hidden="1" x14ac:dyDescent="0.2">
      <c r="G2222" s="401"/>
    </row>
    <row r="2223" spans="7:7" hidden="1" x14ac:dyDescent="0.2">
      <c r="G2223" s="401"/>
    </row>
    <row r="2224" spans="7:7" hidden="1" x14ac:dyDescent="0.2">
      <c r="G2224" s="401"/>
    </row>
    <row r="2225" spans="7:7" hidden="1" x14ac:dyDescent="0.2">
      <c r="G2225" s="401"/>
    </row>
    <row r="2226" spans="7:7" hidden="1" x14ac:dyDescent="0.2">
      <c r="G2226" s="401"/>
    </row>
    <row r="2227" spans="7:7" hidden="1" x14ac:dyDescent="0.2">
      <c r="G2227" s="401"/>
    </row>
    <row r="2228" spans="7:7" hidden="1" x14ac:dyDescent="0.2">
      <c r="G2228" s="401"/>
    </row>
    <row r="2229" spans="7:7" hidden="1" x14ac:dyDescent="0.2">
      <c r="G2229" s="401"/>
    </row>
    <row r="2230" spans="7:7" hidden="1" x14ac:dyDescent="0.2">
      <c r="G2230" s="401"/>
    </row>
    <row r="2231" spans="7:7" hidden="1" x14ac:dyDescent="0.2">
      <c r="G2231" s="401"/>
    </row>
    <row r="2232" spans="7:7" hidden="1" x14ac:dyDescent="0.2">
      <c r="G2232" s="401"/>
    </row>
    <row r="2233" spans="7:7" hidden="1" x14ac:dyDescent="0.2">
      <c r="G2233" s="401"/>
    </row>
    <row r="2234" spans="7:7" hidden="1" x14ac:dyDescent="0.2">
      <c r="G2234" s="401"/>
    </row>
    <row r="2235" spans="7:7" hidden="1" x14ac:dyDescent="0.2">
      <c r="G2235" s="401"/>
    </row>
    <row r="2236" spans="7:7" hidden="1" x14ac:dyDescent="0.2">
      <c r="G2236" s="401"/>
    </row>
    <row r="2237" spans="7:7" hidden="1" x14ac:dyDescent="0.2">
      <c r="G2237" s="401"/>
    </row>
    <row r="2238" spans="7:7" hidden="1" x14ac:dyDescent="0.2">
      <c r="G2238" s="401"/>
    </row>
    <row r="2239" spans="7:7" hidden="1" x14ac:dyDescent="0.2">
      <c r="G2239" s="401"/>
    </row>
    <row r="2240" spans="7:7" hidden="1" x14ac:dyDescent="0.2">
      <c r="G2240" s="401"/>
    </row>
    <row r="2241" spans="7:7" hidden="1" x14ac:dyDescent="0.2">
      <c r="G2241" s="401"/>
    </row>
    <row r="2242" spans="7:7" hidden="1" x14ac:dyDescent="0.2">
      <c r="G2242" s="401"/>
    </row>
    <row r="2243" spans="7:7" hidden="1" x14ac:dyDescent="0.2">
      <c r="G2243" s="401"/>
    </row>
    <row r="2244" spans="7:7" hidden="1" x14ac:dyDescent="0.2">
      <c r="G2244" s="401"/>
    </row>
    <row r="2245" spans="7:7" hidden="1" x14ac:dyDescent="0.2">
      <c r="G2245" s="401"/>
    </row>
    <row r="2246" spans="7:7" hidden="1" x14ac:dyDescent="0.2">
      <c r="G2246" s="401"/>
    </row>
    <row r="2247" spans="7:7" hidden="1" x14ac:dyDescent="0.2">
      <c r="G2247" s="401"/>
    </row>
    <row r="2248" spans="7:7" hidden="1" x14ac:dyDescent="0.2">
      <c r="G2248" s="401"/>
    </row>
    <row r="2249" spans="7:7" hidden="1" x14ac:dyDescent="0.2">
      <c r="G2249" s="401"/>
    </row>
    <row r="2250" spans="7:7" hidden="1" x14ac:dyDescent="0.2">
      <c r="G2250" s="401"/>
    </row>
    <row r="2251" spans="7:7" hidden="1" x14ac:dyDescent="0.2">
      <c r="G2251" s="401"/>
    </row>
    <row r="2252" spans="7:7" hidden="1" x14ac:dyDescent="0.2">
      <c r="G2252" s="401"/>
    </row>
    <row r="2253" spans="7:7" hidden="1" x14ac:dyDescent="0.2">
      <c r="G2253" s="401"/>
    </row>
    <row r="2254" spans="7:7" hidden="1" x14ac:dyDescent="0.2">
      <c r="G2254" s="401"/>
    </row>
    <row r="2255" spans="7:7" hidden="1" x14ac:dyDescent="0.2">
      <c r="G2255" s="401"/>
    </row>
    <row r="2256" spans="7:7" hidden="1" x14ac:dyDescent="0.2">
      <c r="G2256" s="401"/>
    </row>
    <row r="2257" spans="7:7" hidden="1" x14ac:dyDescent="0.2">
      <c r="G2257" s="401"/>
    </row>
    <row r="2258" spans="7:7" hidden="1" x14ac:dyDescent="0.2">
      <c r="G2258" s="401"/>
    </row>
    <row r="2259" spans="7:7" hidden="1" x14ac:dyDescent="0.2">
      <c r="G2259" s="401"/>
    </row>
    <row r="2260" spans="7:7" hidden="1" x14ac:dyDescent="0.2">
      <c r="G2260" s="401"/>
    </row>
    <row r="2261" spans="7:7" hidden="1" x14ac:dyDescent="0.2">
      <c r="G2261" s="401"/>
    </row>
    <row r="2262" spans="7:7" hidden="1" x14ac:dyDescent="0.2">
      <c r="G2262" s="401"/>
    </row>
    <row r="2263" spans="7:7" hidden="1" x14ac:dyDescent="0.2">
      <c r="G2263" s="401"/>
    </row>
    <row r="2264" spans="7:7" hidden="1" x14ac:dyDescent="0.2">
      <c r="G2264" s="401"/>
    </row>
    <row r="2265" spans="7:7" hidden="1" x14ac:dyDescent="0.2">
      <c r="G2265" s="401"/>
    </row>
    <row r="2266" spans="7:7" hidden="1" x14ac:dyDescent="0.2">
      <c r="G2266" s="401"/>
    </row>
    <row r="2267" spans="7:7" hidden="1" x14ac:dyDescent="0.2">
      <c r="G2267" s="401"/>
    </row>
    <row r="2268" spans="7:7" hidden="1" x14ac:dyDescent="0.2">
      <c r="G2268" s="401"/>
    </row>
    <row r="2269" spans="7:7" hidden="1" x14ac:dyDescent="0.2">
      <c r="G2269" s="401"/>
    </row>
    <row r="2270" spans="7:7" hidden="1" x14ac:dyDescent="0.2">
      <c r="G2270" s="401"/>
    </row>
    <row r="2271" spans="7:7" hidden="1" x14ac:dyDescent="0.2">
      <c r="G2271" s="401"/>
    </row>
    <row r="2272" spans="7:7" hidden="1" x14ac:dyDescent="0.2">
      <c r="G2272" s="401"/>
    </row>
    <row r="2273" spans="7:7" hidden="1" x14ac:dyDescent="0.2">
      <c r="G2273" s="401"/>
    </row>
    <row r="2274" spans="7:7" hidden="1" x14ac:dyDescent="0.2">
      <c r="G2274" s="401"/>
    </row>
    <row r="2275" spans="7:7" hidden="1" x14ac:dyDescent="0.2">
      <c r="G2275" s="401"/>
    </row>
    <row r="2276" spans="7:7" hidden="1" x14ac:dyDescent="0.2">
      <c r="G2276" s="401"/>
    </row>
    <row r="2277" spans="7:7" hidden="1" x14ac:dyDescent="0.2">
      <c r="G2277" s="401"/>
    </row>
    <row r="2278" spans="7:7" hidden="1" x14ac:dyDescent="0.2">
      <c r="G2278" s="401"/>
    </row>
    <row r="2279" spans="7:7" hidden="1" x14ac:dyDescent="0.2">
      <c r="G2279" s="401"/>
    </row>
    <row r="2280" spans="7:7" hidden="1" x14ac:dyDescent="0.2">
      <c r="G2280" s="401"/>
    </row>
    <row r="2281" spans="7:7" hidden="1" x14ac:dyDescent="0.2">
      <c r="G2281" s="401"/>
    </row>
    <row r="2282" spans="7:7" hidden="1" x14ac:dyDescent="0.2">
      <c r="G2282" s="401"/>
    </row>
    <row r="2283" spans="7:7" hidden="1" x14ac:dyDescent="0.2">
      <c r="G2283" s="401"/>
    </row>
    <row r="2284" spans="7:7" hidden="1" x14ac:dyDescent="0.2">
      <c r="G2284" s="401"/>
    </row>
    <row r="2285" spans="7:7" hidden="1" x14ac:dyDescent="0.2">
      <c r="G2285" s="401"/>
    </row>
    <row r="2286" spans="7:7" hidden="1" x14ac:dyDescent="0.2">
      <c r="G2286" s="401"/>
    </row>
    <row r="2287" spans="7:7" hidden="1" x14ac:dyDescent="0.2">
      <c r="G2287" s="401"/>
    </row>
    <row r="2288" spans="7:7" hidden="1" x14ac:dyDescent="0.2">
      <c r="G2288" s="401"/>
    </row>
    <row r="2289" spans="7:7" hidden="1" x14ac:dyDescent="0.2">
      <c r="G2289" s="401"/>
    </row>
    <row r="2290" spans="7:7" hidden="1" x14ac:dyDescent="0.2">
      <c r="G2290" s="401"/>
    </row>
    <row r="2291" spans="7:7" hidden="1" x14ac:dyDescent="0.2">
      <c r="G2291" s="401"/>
    </row>
    <row r="2292" spans="7:7" hidden="1" x14ac:dyDescent="0.2">
      <c r="G2292" s="401"/>
    </row>
    <row r="2293" spans="7:7" hidden="1" x14ac:dyDescent="0.2">
      <c r="G2293" s="401"/>
    </row>
    <row r="2294" spans="7:7" hidden="1" x14ac:dyDescent="0.2">
      <c r="G2294" s="401"/>
    </row>
    <row r="2295" spans="7:7" hidden="1" x14ac:dyDescent="0.2">
      <c r="G2295" s="401"/>
    </row>
    <row r="2296" spans="7:7" hidden="1" x14ac:dyDescent="0.2">
      <c r="G2296" s="401"/>
    </row>
    <row r="2297" spans="7:7" hidden="1" x14ac:dyDescent="0.2">
      <c r="G2297" s="401"/>
    </row>
    <row r="2298" spans="7:7" hidden="1" x14ac:dyDescent="0.2">
      <c r="G2298" s="401"/>
    </row>
    <row r="2299" spans="7:7" hidden="1" x14ac:dyDescent="0.2">
      <c r="G2299" s="401"/>
    </row>
    <row r="2300" spans="7:7" hidden="1" x14ac:dyDescent="0.2">
      <c r="G2300" s="401"/>
    </row>
    <row r="2301" spans="7:7" hidden="1" x14ac:dyDescent="0.2">
      <c r="G2301" s="401"/>
    </row>
    <row r="2302" spans="7:7" hidden="1" x14ac:dyDescent="0.2">
      <c r="G2302" s="401"/>
    </row>
    <row r="2303" spans="7:7" hidden="1" x14ac:dyDescent="0.2">
      <c r="G2303" s="401"/>
    </row>
    <row r="2304" spans="7:7" hidden="1" x14ac:dyDescent="0.2">
      <c r="G2304" s="401"/>
    </row>
    <row r="2305" spans="7:7" hidden="1" x14ac:dyDescent="0.2">
      <c r="G2305" s="401"/>
    </row>
    <row r="2306" spans="7:7" hidden="1" x14ac:dyDescent="0.2">
      <c r="G2306" s="401"/>
    </row>
    <row r="2307" spans="7:7" hidden="1" x14ac:dyDescent="0.2">
      <c r="G2307" s="401"/>
    </row>
    <row r="2308" spans="7:7" hidden="1" x14ac:dyDescent="0.2">
      <c r="G2308" s="401"/>
    </row>
    <row r="2309" spans="7:7" hidden="1" x14ac:dyDescent="0.2">
      <c r="G2309" s="401"/>
    </row>
    <row r="2310" spans="7:7" hidden="1" x14ac:dyDescent="0.2">
      <c r="G2310" s="401"/>
    </row>
    <row r="2311" spans="7:7" hidden="1" x14ac:dyDescent="0.2">
      <c r="G2311" s="401"/>
    </row>
    <row r="2312" spans="7:7" hidden="1" x14ac:dyDescent="0.2">
      <c r="G2312" s="401"/>
    </row>
    <row r="2313" spans="7:7" hidden="1" x14ac:dyDescent="0.2">
      <c r="G2313" s="401"/>
    </row>
    <row r="2314" spans="7:7" hidden="1" x14ac:dyDescent="0.2">
      <c r="G2314" s="401"/>
    </row>
    <row r="2315" spans="7:7" hidden="1" x14ac:dyDescent="0.2">
      <c r="G2315" s="401"/>
    </row>
    <row r="2316" spans="7:7" hidden="1" x14ac:dyDescent="0.2">
      <c r="G2316" s="401"/>
    </row>
    <row r="2317" spans="7:7" hidden="1" x14ac:dyDescent="0.2">
      <c r="G2317" s="401"/>
    </row>
    <row r="2318" spans="7:7" hidden="1" x14ac:dyDescent="0.2">
      <c r="G2318" s="401"/>
    </row>
    <row r="2319" spans="7:7" hidden="1" x14ac:dyDescent="0.2">
      <c r="G2319" s="401"/>
    </row>
    <row r="2320" spans="7:7" hidden="1" x14ac:dyDescent="0.2">
      <c r="G2320" s="401"/>
    </row>
    <row r="2321" spans="7:7" hidden="1" x14ac:dyDescent="0.2">
      <c r="G2321" s="401"/>
    </row>
    <row r="2322" spans="7:7" hidden="1" x14ac:dyDescent="0.2">
      <c r="G2322" s="401"/>
    </row>
    <row r="2323" spans="7:7" hidden="1" x14ac:dyDescent="0.2">
      <c r="G2323" s="401"/>
    </row>
    <row r="2324" spans="7:7" hidden="1" x14ac:dyDescent="0.2">
      <c r="G2324" s="401"/>
    </row>
    <row r="2325" spans="7:7" hidden="1" x14ac:dyDescent="0.2">
      <c r="G2325" s="401"/>
    </row>
    <row r="2326" spans="7:7" hidden="1" x14ac:dyDescent="0.2">
      <c r="G2326" s="401"/>
    </row>
    <row r="2327" spans="7:7" hidden="1" x14ac:dyDescent="0.2">
      <c r="G2327" s="401"/>
    </row>
    <row r="2328" spans="7:7" hidden="1" x14ac:dyDescent="0.2">
      <c r="G2328" s="401"/>
    </row>
    <row r="2329" spans="7:7" hidden="1" x14ac:dyDescent="0.2">
      <c r="G2329" s="401"/>
    </row>
    <row r="2330" spans="7:7" hidden="1" x14ac:dyDescent="0.2">
      <c r="G2330" s="401"/>
    </row>
    <row r="2331" spans="7:7" hidden="1" x14ac:dyDescent="0.2">
      <c r="G2331" s="401"/>
    </row>
    <row r="2332" spans="7:7" hidden="1" x14ac:dyDescent="0.2">
      <c r="G2332" s="401"/>
    </row>
    <row r="2333" spans="7:7" hidden="1" x14ac:dyDescent="0.2">
      <c r="G2333" s="401"/>
    </row>
    <row r="2334" spans="7:7" hidden="1" x14ac:dyDescent="0.2">
      <c r="G2334" s="401"/>
    </row>
    <row r="2335" spans="7:7" hidden="1" x14ac:dyDescent="0.2">
      <c r="G2335" s="401"/>
    </row>
    <row r="2336" spans="7:7" hidden="1" x14ac:dyDescent="0.2">
      <c r="G2336" s="401"/>
    </row>
    <row r="2337" spans="7:7" hidden="1" x14ac:dyDescent="0.2">
      <c r="G2337" s="401"/>
    </row>
    <row r="2338" spans="7:7" hidden="1" x14ac:dyDescent="0.2">
      <c r="G2338" s="401"/>
    </row>
    <row r="2339" spans="7:7" hidden="1" x14ac:dyDescent="0.2">
      <c r="G2339" s="401"/>
    </row>
    <row r="2340" spans="7:7" hidden="1" x14ac:dyDescent="0.2">
      <c r="G2340" s="401"/>
    </row>
    <row r="2341" spans="7:7" hidden="1" x14ac:dyDescent="0.2">
      <c r="G2341" s="401"/>
    </row>
    <row r="2342" spans="7:7" hidden="1" x14ac:dyDescent="0.2">
      <c r="G2342" s="401"/>
    </row>
    <row r="2343" spans="7:7" hidden="1" x14ac:dyDescent="0.2">
      <c r="G2343" s="401"/>
    </row>
    <row r="2344" spans="7:7" hidden="1" x14ac:dyDescent="0.2">
      <c r="G2344" s="401"/>
    </row>
    <row r="2345" spans="7:7" hidden="1" x14ac:dyDescent="0.2">
      <c r="G2345" s="401"/>
    </row>
    <row r="2346" spans="7:7" hidden="1" x14ac:dyDescent="0.2">
      <c r="G2346" s="401"/>
    </row>
    <row r="2347" spans="7:7" hidden="1" x14ac:dyDescent="0.2">
      <c r="G2347" s="401"/>
    </row>
    <row r="2348" spans="7:7" hidden="1" x14ac:dyDescent="0.2">
      <c r="G2348" s="401"/>
    </row>
    <row r="2349" spans="7:7" hidden="1" x14ac:dyDescent="0.2">
      <c r="G2349" s="401"/>
    </row>
    <row r="2350" spans="7:7" hidden="1" x14ac:dyDescent="0.2">
      <c r="G2350" s="401"/>
    </row>
    <row r="2351" spans="7:7" hidden="1" x14ac:dyDescent="0.2">
      <c r="G2351" s="401"/>
    </row>
    <row r="2352" spans="7:7" hidden="1" x14ac:dyDescent="0.2">
      <c r="G2352" s="401"/>
    </row>
    <row r="2353" spans="7:7" hidden="1" x14ac:dyDescent="0.2">
      <c r="G2353" s="401"/>
    </row>
    <row r="2354" spans="7:7" hidden="1" x14ac:dyDescent="0.2">
      <c r="G2354" s="401"/>
    </row>
    <row r="2355" spans="7:7" hidden="1" x14ac:dyDescent="0.2">
      <c r="G2355" s="401"/>
    </row>
    <row r="2356" spans="7:7" hidden="1" x14ac:dyDescent="0.2">
      <c r="G2356" s="401"/>
    </row>
    <row r="2357" spans="7:7" hidden="1" x14ac:dyDescent="0.2">
      <c r="G2357" s="401"/>
    </row>
    <row r="2358" spans="7:7" hidden="1" x14ac:dyDescent="0.2">
      <c r="G2358" s="401"/>
    </row>
    <row r="2359" spans="7:7" hidden="1" x14ac:dyDescent="0.2">
      <c r="G2359" s="401"/>
    </row>
    <row r="2360" spans="7:7" hidden="1" x14ac:dyDescent="0.2">
      <c r="G2360" s="401"/>
    </row>
    <row r="2361" spans="7:7" hidden="1" x14ac:dyDescent="0.2">
      <c r="G2361" s="401"/>
    </row>
    <row r="2362" spans="7:7" hidden="1" x14ac:dyDescent="0.2">
      <c r="G2362" s="401"/>
    </row>
    <row r="2363" spans="7:7" hidden="1" x14ac:dyDescent="0.2">
      <c r="G2363" s="401"/>
    </row>
    <row r="2364" spans="7:7" hidden="1" x14ac:dyDescent="0.2">
      <c r="G2364" s="401"/>
    </row>
    <row r="2365" spans="7:7" hidden="1" x14ac:dyDescent="0.2">
      <c r="G2365" s="401"/>
    </row>
    <row r="2366" spans="7:7" hidden="1" x14ac:dyDescent="0.2">
      <c r="G2366" s="401"/>
    </row>
    <row r="2367" spans="7:7" hidden="1" x14ac:dyDescent="0.2">
      <c r="G2367" s="401"/>
    </row>
    <row r="2368" spans="7:7" hidden="1" x14ac:dyDescent="0.2">
      <c r="G2368" s="401"/>
    </row>
    <row r="2369" spans="7:7" hidden="1" x14ac:dyDescent="0.2">
      <c r="G2369" s="401"/>
    </row>
    <row r="2370" spans="7:7" hidden="1" x14ac:dyDescent="0.2">
      <c r="G2370" s="401"/>
    </row>
    <row r="2371" spans="7:7" hidden="1" x14ac:dyDescent="0.2">
      <c r="G2371" s="401"/>
    </row>
    <row r="2372" spans="7:7" hidden="1" x14ac:dyDescent="0.2">
      <c r="G2372" s="401"/>
    </row>
    <row r="2373" spans="7:7" hidden="1" x14ac:dyDescent="0.2">
      <c r="G2373" s="401"/>
    </row>
    <row r="2374" spans="7:7" hidden="1" x14ac:dyDescent="0.2">
      <c r="G2374" s="401"/>
    </row>
    <row r="2375" spans="7:7" hidden="1" x14ac:dyDescent="0.2">
      <c r="G2375" s="401"/>
    </row>
    <row r="2376" spans="7:7" hidden="1" x14ac:dyDescent="0.2">
      <c r="G2376" s="401"/>
    </row>
    <row r="2377" spans="7:7" hidden="1" x14ac:dyDescent="0.2">
      <c r="G2377" s="401"/>
    </row>
    <row r="2378" spans="7:7" hidden="1" x14ac:dyDescent="0.2">
      <c r="G2378" s="401"/>
    </row>
    <row r="2379" spans="7:7" hidden="1" x14ac:dyDescent="0.2">
      <c r="G2379" s="401"/>
    </row>
    <row r="2380" spans="7:7" hidden="1" x14ac:dyDescent="0.2">
      <c r="G2380" s="401"/>
    </row>
    <row r="2381" spans="7:7" hidden="1" x14ac:dyDescent="0.2">
      <c r="G2381" s="401"/>
    </row>
    <row r="2382" spans="7:7" hidden="1" x14ac:dyDescent="0.2">
      <c r="G2382" s="401"/>
    </row>
    <row r="2383" spans="7:7" hidden="1" x14ac:dyDescent="0.2">
      <c r="G2383" s="401"/>
    </row>
    <row r="2384" spans="7:7" hidden="1" x14ac:dyDescent="0.2">
      <c r="G2384" s="401"/>
    </row>
    <row r="2385" spans="7:7" hidden="1" x14ac:dyDescent="0.2">
      <c r="G2385" s="401"/>
    </row>
    <row r="2386" spans="7:7" hidden="1" x14ac:dyDescent="0.2">
      <c r="G2386" s="401"/>
    </row>
    <row r="2387" spans="7:7" hidden="1" x14ac:dyDescent="0.2">
      <c r="G2387" s="401"/>
    </row>
    <row r="2388" spans="7:7" hidden="1" x14ac:dyDescent="0.2">
      <c r="G2388" s="401"/>
    </row>
    <row r="2389" spans="7:7" hidden="1" x14ac:dyDescent="0.2">
      <c r="G2389" s="401"/>
    </row>
    <row r="2390" spans="7:7" hidden="1" x14ac:dyDescent="0.2">
      <c r="G2390" s="401"/>
    </row>
    <row r="2391" spans="7:7" hidden="1" x14ac:dyDescent="0.2">
      <c r="G2391" s="401"/>
    </row>
    <row r="2392" spans="7:7" hidden="1" x14ac:dyDescent="0.2">
      <c r="G2392" s="401"/>
    </row>
    <row r="2393" spans="7:7" hidden="1" x14ac:dyDescent="0.2">
      <c r="G2393" s="401"/>
    </row>
    <row r="2394" spans="7:7" hidden="1" x14ac:dyDescent="0.2">
      <c r="G2394" s="401"/>
    </row>
    <row r="2395" spans="7:7" hidden="1" x14ac:dyDescent="0.2">
      <c r="G2395" s="401"/>
    </row>
    <row r="2396" spans="7:7" hidden="1" x14ac:dyDescent="0.2">
      <c r="G2396" s="401"/>
    </row>
    <row r="2397" spans="7:7" hidden="1" x14ac:dyDescent="0.2">
      <c r="G2397" s="401"/>
    </row>
    <row r="2398" spans="7:7" hidden="1" x14ac:dyDescent="0.2">
      <c r="G2398" s="401"/>
    </row>
    <row r="2399" spans="7:7" hidden="1" x14ac:dyDescent="0.2">
      <c r="G2399" s="401"/>
    </row>
    <row r="2400" spans="7:7" hidden="1" x14ac:dyDescent="0.2">
      <c r="G2400" s="401"/>
    </row>
    <row r="2401" spans="7:7" hidden="1" x14ac:dyDescent="0.2">
      <c r="G2401" s="401"/>
    </row>
    <row r="2402" spans="7:7" hidden="1" x14ac:dyDescent="0.2">
      <c r="G2402" s="401"/>
    </row>
    <row r="2403" spans="7:7" hidden="1" x14ac:dyDescent="0.2">
      <c r="G2403" s="401"/>
    </row>
    <row r="2404" spans="7:7" hidden="1" x14ac:dyDescent="0.2">
      <c r="G2404" s="401"/>
    </row>
    <row r="2405" spans="7:7" hidden="1" x14ac:dyDescent="0.2">
      <c r="G2405" s="401"/>
    </row>
    <row r="2406" spans="7:7" hidden="1" x14ac:dyDescent="0.2">
      <c r="G2406" s="401"/>
    </row>
    <row r="2407" spans="7:7" hidden="1" x14ac:dyDescent="0.2">
      <c r="G2407" s="401"/>
    </row>
    <row r="2408" spans="7:7" hidden="1" x14ac:dyDescent="0.2">
      <c r="G2408" s="401"/>
    </row>
    <row r="2409" spans="7:7" hidden="1" x14ac:dyDescent="0.2">
      <c r="G2409" s="401"/>
    </row>
    <row r="2410" spans="7:7" hidden="1" x14ac:dyDescent="0.2">
      <c r="G2410" s="401"/>
    </row>
    <row r="2411" spans="7:7" hidden="1" x14ac:dyDescent="0.2">
      <c r="G2411" s="401"/>
    </row>
    <row r="2412" spans="7:7" hidden="1" x14ac:dyDescent="0.2">
      <c r="G2412" s="401"/>
    </row>
    <row r="2413" spans="7:7" hidden="1" x14ac:dyDescent="0.2">
      <c r="G2413" s="401"/>
    </row>
    <row r="2414" spans="7:7" hidden="1" x14ac:dyDescent="0.2">
      <c r="G2414" s="401"/>
    </row>
    <row r="2415" spans="7:7" hidden="1" x14ac:dyDescent="0.2">
      <c r="G2415" s="401"/>
    </row>
    <row r="2416" spans="7:7" hidden="1" x14ac:dyDescent="0.2">
      <c r="G2416" s="401"/>
    </row>
    <row r="2417" spans="7:7" hidden="1" x14ac:dyDescent="0.2">
      <c r="G2417" s="401"/>
    </row>
    <row r="2418" spans="7:7" hidden="1" x14ac:dyDescent="0.2">
      <c r="G2418" s="401"/>
    </row>
    <row r="2419" spans="7:7" hidden="1" x14ac:dyDescent="0.2">
      <c r="G2419" s="401"/>
    </row>
    <row r="2420" spans="7:7" hidden="1" x14ac:dyDescent="0.2">
      <c r="G2420" s="401"/>
    </row>
    <row r="2421" spans="7:7" hidden="1" x14ac:dyDescent="0.2">
      <c r="G2421" s="401"/>
    </row>
    <row r="2422" spans="7:7" hidden="1" x14ac:dyDescent="0.2">
      <c r="G2422" s="401"/>
    </row>
    <row r="2423" spans="7:7" hidden="1" x14ac:dyDescent="0.2">
      <c r="G2423" s="401"/>
    </row>
    <row r="2424" spans="7:7" hidden="1" x14ac:dyDescent="0.2">
      <c r="G2424" s="401"/>
    </row>
    <row r="2425" spans="7:7" hidden="1" x14ac:dyDescent="0.2">
      <c r="G2425" s="401"/>
    </row>
    <row r="2426" spans="7:7" hidden="1" x14ac:dyDescent="0.2">
      <c r="G2426" s="401"/>
    </row>
    <row r="2427" spans="7:7" hidden="1" x14ac:dyDescent="0.2">
      <c r="G2427" s="401"/>
    </row>
    <row r="2428" spans="7:7" hidden="1" x14ac:dyDescent="0.2">
      <c r="G2428" s="401"/>
    </row>
    <row r="2429" spans="7:7" hidden="1" x14ac:dyDescent="0.2">
      <c r="G2429" s="401"/>
    </row>
    <row r="2430" spans="7:7" hidden="1" x14ac:dyDescent="0.2">
      <c r="G2430" s="401"/>
    </row>
    <row r="2431" spans="7:7" hidden="1" x14ac:dyDescent="0.2">
      <c r="G2431" s="401"/>
    </row>
    <row r="2432" spans="7:7" hidden="1" x14ac:dyDescent="0.2">
      <c r="G2432" s="401"/>
    </row>
    <row r="2433" spans="7:7" hidden="1" x14ac:dyDescent="0.2">
      <c r="G2433" s="401"/>
    </row>
    <row r="2434" spans="7:7" hidden="1" x14ac:dyDescent="0.2">
      <c r="G2434" s="401"/>
    </row>
    <row r="2435" spans="7:7" hidden="1" x14ac:dyDescent="0.2">
      <c r="G2435" s="401"/>
    </row>
    <row r="2436" spans="7:7" hidden="1" x14ac:dyDescent="0.2">
      <c r="G2436" s="401"/>
    </row>
    <row r="2437" spans="7:7" hidden="1" x14ac:dyDescent="0.2">
      <c r="G2437" s="401"/>
    </row>
    <row r="2438" spans="7:7" hidden="1" x14ac:dyDescent="0.2">
      <c r="G2438" s="401"/>
    </row>
    <row r="2439" spans="7:7" hidden="1" x14ac:dyDescent="0.2">
      <c r="G2439" s="401"/>
    </row>
    <row r="2440" spans="7:7" hidden="1" x14ac:dyDescent="0.2">
      <c r="G2440" s="401"/>
    </row>
    <row r="2441" spans="7:7" hidden="1" x14ac:dyDescent="0.2">
      <c r="G2441" s="401"/>
    </row>
    <row r="2442" spans="7:7" hidden="1" x14ac:dyDescent="0.2">
      <c r="G2442" s="401"/>
    </row>
    <row r="2443" spans="7:7" hidden="1" x14ac:dyDescent="0.2">
      <c r="G2443" s="401"/>
    </row>
    <row r="2444" spans="7:7" hidden="1" x14ac:dyDescent="0.2">
      <c r="G2444" s="401"/>
    </row>
    <row r="2445" spans="7:7" hidden="1" x14ac:dyDescent="0.2">
      <c r="G2445" s="401"/>
    </row>
    <row r="2446" spans="7:7" hidden="1" x14ac:dyDescent="0.2">
      <c r="G2446" s="401"/>
    </row>
    <row r="2447" spans="7:7" hidden="1" x14ac:dyDescent="0.2">
      <c r="G2447" s="401"/>
    </row>
    <row r="2448" spans="7:7" hidden="1" x14ac:dyDescent="0.2">
      <c r="G2448" s="401"/>
    </row>
    <row r="2449" spans="7:7" hidden="1" x14ac:dyDescent="0.2">
      <c r="G2449" s="401"/>
    </row>
    <row r="2450" spans="7:7" hidden="1" x14ac:dyDescent="0.2">
      <c r="G2450" s="401"/>
    </row>
    <row r="2451" spans="7:7" hidden="1" x14ac:dyDescent="0.2">
      <c r="G2451" s="401"/>
    </row>
    <row r="2452" spans="7:7" hidden="1" x14ac:dyDescent="0.2">
      <c r="G2452" s="401"/>
    </row>
    <row r="2453" spans="7:7" hidden="1" x14ac:dyDescent="0.2">
      <c r="G2453" s="401"/>
    </row>
    <row r="2454" spans="7:7" hidden="1" x14ac:dyDescent="0.2">
      <c r="G2454" s="401"/>
    </row>
    <row r="2455" spans="7:7" hidden="1" x14ac:dyDescent="0.2">
      <c r="G2455" s="401"/>
    </row>
    <row r="2456" spans="7:7" hidden="1" x14ac:dyDescent="0.2">
      <c r="G2456" s="401"/>
    </row>
    <row r="2457" spans="7:7" hidden="1" x14ac:dyDescent="0.2">
      <c r="G2457" s="401"/>
    </row>
    <row r="2458" spans="7:7" hidden="1" x14ac:dyDescent="0.2">
      <c r="G2458" s="401"/>
    </row>
    <row r="2459" spans="7:7" hidden="1" x14ac:dyDescent="0.2">
      <c r="G2459" s="401"/>
    </row>
    <row r="2460" spans="7:7" hidden="1" x14ac:dyDescent="0.2">
      <c r="G2460" s="401"/>
    </row>
    <row r="2461" spans="7:7" hidden="1" x14ac:dyDescent="0.2">
      <c r="G2461" s="401"/>
    </row>
    <row r="2462" spans="7:7" hidden="1" x14ac:dyDescent="0.2">
      <c r="G2462" s="401"/>
    </row>
    <row r="2463" spans="7:7" hidden="1" x14ac:dyDescent="0.2">
      <c r="G2463" s="401"/>
    </row>
    <row r="2464" spans="7:7" hidden="1" x14ac:dyDescent="0.2">
      <c r="G2464" s="401"/>
    </row>
    <row r="2465" spans="7:7" hidden="1" x14ac:dyDescent="0.2">
      <c r="G2465" s="401"/>
    </row>
    <row r="2466" spans="7:7" hidden="1" x14ac:dyDescent="0.2">
      <c r="G2466" s="401"/>
    </row>
    <row r="2467" spans="7:7" hidden="1" x14ac:dyDescent="0.2">
      <c r="G2467" s="401"/>
    </row>
    <row r="2468" spans="7:7" hidden="1" x14ac:dyDescent="0.2">
      <c r="G2468" s="401"/>
    </row>
    <row r="2469" spans="7:7" hidden="1" x14ac:dyDescent="0.2">
      <c r="G2469" s="401"/>
    </row>
    <row r="2470" spans="7:7" hidden="1" x14ac:dyDescent="0.2">
      <c r="G2470" s="401"/>
    </row>
    <row r="2471" spans="7:7" hidden="1" x14ac:dyDescent="0.2">
      <c r="G2471" s="401"/>
    </row>
    <row r="2472" spans="7:7" hidden="1" x14ac:dyDescent="0.2">
      <c r="G2472" s="401"/>
    </row>
    <row r="2473" spans="7:7" hidden="1" x14ac:dyDescent="0.2">
      <c r="G2473" s="401"/>
    </row>
    <row r="2474" spans="7:7" hidden="1" x14ac:dyDescent="0.2">
      <c r="G2474" s="401"/>
    </row>
    <row r="2475" spans="7:7" hidden="1" x14ac:dyDescent="0.2">
      <c r="G2475" s="401"/>
    </row>
    <row r="2476" spans="7:7" hidden="1" x14ac:dyDescent="0.2">
      <c r="G2476" s="401"/>
    </row>
    <row r="2477" spans="7:7" hidden="1" x14ac:dyDescent="0.2">
      <c r="G2477" s="401"/>
    </row>
    <row r="2478" spans="7:7" hidden="1" x14ac:dyDescent="0.2">
      <c r="G2478" s="401"/>
    </row>
    <row r="2479" spans="7:7" hidden="1" x14ac:dyDescent="0.2">
      <c r="G2479" s="401"/>
    </row>
    <row r="2480" spans="7:7" hidden="1" x14ac:dyDescent="0.2">
      <c r="G2480" s="401"/>
    </row>
    <row r="2481" spans="7:7" hidden="1" x14ac:dyDescent="0.2">
      <c r="G2481" s="401"/>
    </row>
    <row r="2482" spans="7:7" hidden="1" x14ac:dyDescent="0.2">
      <c r="G2482" s="401"/>
    </row>
    <row r="2483" spans="7:7" hidden="1" x14ac:dyDescent="0.2">
      <c r="G2483" s="401"/>
    </row>
    <row r="2484" spans="7:7" hidden="1" x14ac:dyDescent="0.2">
      <c r="G2484" s="401"/>
    </row>
    <row r="2485" spans="7:7" hidden="1" x14ac:dyDescent="0.2">
      <c r="G2485" s="401"/>
    </row>
    <row r="2486" spans="7:7" hidden="1" x14ac:dyDescent="0.2">
      <c r="G2486" s="401"/>
    </row>
    <row r="2487" spans="7:7" hidden="1" x14ac:dyDescent="0.2">
      <c r="G2487" s="401"/>
    </row>
    <row r="2488" spans="7:7" hidden="1" x14ac:dyDescent="0.2">
      <c r="G2488" s="401"/>
    </row>
    <row r="2489" spans="7:7" hidden="1" x14ac:dyDescent="0.2">
      <c r="G2489" s="401"/>
    </row>
    <row r="2490" spans="7:7" hidden="1" x14ac:dyDescent="0.2">
      <c r="G2490" s="401"/>
    </row>
    <row r="2491" spans="7:7" hidden="1" x14ac:dyDescent="0.2">
      <c r="G2491" s="401"/>
    </row>
    <row r="2492" spans="7:7" hidden="1" x14ac:dyDescent="0.2">
      <c r="G2492" s="401"/>
    </row>
    <row r="2493" spans="7:7" hidden="1" x14ac:dyDescent="0.2">
      <c r="G2493" s="401"/>
    </row>
    <row r="2494" spans="7:7" hidden="1" x14ac:dyDescent="0.2">
      <c r="G2494" s="401"/>
    </row>
    <row r="2495" spans="7:7" hidden="1" x14ac:dyDescent="0.2">
      <c r="G2495" s="401"/>
    </row>
    <row r="2496" spans="7:7" hidden="1" x14ac:dyDescent="0.2">
      <c r="G2496" s="401"/>
    </row>
    <row r="2497" spans="7:7" hidden="1" x14ac:dyDescent="0.2">
      <c r="G2497" s="401"/>
    </row>
    <row r="2498" spans="7:7" hidden="1" x14ac:dyDescent="0.2">
      <c r="G2498" s="401"/>
    </row>
    <row r="2499" spans="7:7" hidden="1" x14ac:dyDescent="0.2">
      <c r="G2499" s="401"/>
    </row>
    <row r="2500" spans="7:7" hidden="1" x14ac:dyDescent="0.2">
      <c r="G2500" s="401"/>
    </row>
    <row r="2501" spans="7:7" hidden="1" x14ac:dyDescent="0.2">
      <c r="G2501" s="401"/>
    </row>
    <row r="2502" spans="7:7" hidden="1" x14ac:dyDescent="0.2">
      <c r="G2502" s="401"/>
    </row>
    <row r="2503" spans="7:7" hidden="1" x14ac:dyDescent="0.2">
      <c r="G2503" s="401"/>
    </row>
    <row r="2504" spans="7:7" hidden="1" x14ac:dyDescent="0.2">
      <c r="G2504" s="401"/>
    </row>
    <row r="2505" spans="7:7" hidden="1" x14ac:dyDescent="0.2">
      <c r="G2505" s="401"/>
    </row>
    <row r="2506" spans="7:7" hidden="1" x14ac:dyDescent="0.2">
      <c r="G2506" s="401"/>
    </row>
    <row r="2507" spans="7:7" hidden="1" x14ac:dyDescent="0.2">
      <c r="G2507" s="401"/>
    </row>
    <row r="2508" spans="7:7" hidden="1" x14ac:dyDescent="0.2">
      <c r="G2508" s="401"/>
    </row>
    <row r="2509" spans="7:7" hidden="1" x14ac:dyDescent="0.2">
      <c r="G2509" s="401"/>
    </row>
    <row r="2510" spans="7:7" hidden="1" x14ac:dyDescent="0.2">
      <c r="G2510" s="401"/>
    </row>
    <row r="2511" spans="7:7" hidden="1" x14ac:dyDescent="0.2">
      <c r="G2511" s="401"/>
    </row>
    <row r="2512" spans="7:7" hidden="1" x14ac:dyDescent="0.2">
      <c r="G2512" s="401"/>
    </row>
    <row r="2513" spans="7:7" hidden="1" x14ac:dyDescent="0.2">
      <c r="G2513" s="401"/>
    </row>
    <row r="2514" spans="7:7" hidden="1" x14ac:dyDescent="0.2">
      <c r="G2514" s="401"/>
    </row>
    <row r="2515" spans="7:7" hidden="1" x14ac:dyDescent="0.2">
      <c r="G2515" s="401"/>
    </row>
    <row r="2516" spans="7:7" hidden="1" x14ac:dyDescent="0.2">
      <c r="G2516" s="401"/>
    </row>
    <row r="2517" spans="7:7" hidden="1" x14ac:dyDescent="0.2">
      <c r="G2517" s="401"/>
    </row>
    <row r="2518" spans="7:7" hidden="1" x14ac:dyDescent="0.2">
      <c r="G2518" s="401"/>
    </row>
    <row r="2519" spans="7:7" hidden="1" x14ac:dyDescent="0.2">
      <c r="G2519" s="401"/>
    </row>
    <row r="2520" spans="7:7" hidden="1" x14ac:dyDescent="0.2">
      <c r="G2520" s="401"/>
    </row>
    <row r="2521" spans="7:7" hidden="1" x14ac:dyDescent="0.2">
      <c r="G2521" s="401"/>
    </row>
    <row r="2522" spans="7:7" hidden="1" x14ac:dyDescent="0.2">
      <c r="G2522" s="401"/>
    </row>
    <row r="2523" spans="7:7" hidden="1" x14ac:dyDescent="0.2">
      <c r="G2523" s="401"/>
    </row>
    <row r="2524" spans="7:7" hidden="1" x14ac:dyDescent="0.2">
      <c r="G2524" s="401"/>
    </row>
    <row r="2525" spans="7:7" hidden="1" x14ac:dyDescent="0.2">
      <c r="G2525" s="401"/>
    </row>
    <row r="2526" spans="7:7" hidden="1" x14ac:dyDescent="0.2">
      <c r="G2526" s="401"/>
    </row>
    <row r="2527" spans="7:7" hidden="1" x14ac:dyDescent="0.2">
      <c r="G2527" s="401"/>
    </row>
    <row r="2528" spans="7:7" hidden="1" x14ac:dyDescent="0.2">
      <c r="G2528" s="401"/>
    </row>
    <row r="2529" spans="7:7" hidden="1" x14ac:dyDescent="0.2">
      <c r="G2529" s="401"/>
    </row>
    <row r="2530" spans="7:7" hidden="1" x14ac:dyDescent="0.2">
      <c r="G2530" s="401"/>
    </row>
    <row r="2531" spans="7:7" hidden="1" x14ac:dyDescent="0.2">
      <c r="G2531" s="401"/>
    </row>
    <row r="2532" spans="7:7" hidden="1" x14ac:dyDescent="0.2">
      <c r="G2532" s="401"/>
    </row>
    <row r="2533" spans="7:7" hidden="1" x14ac:dyDescent="0.2">
      <c r="G2533" s="401"/>
    </row>
    <row r="2534" spans="7:7" hidden="1" x14ac:dyDescent="0.2">
      <c r="G2534" s="401"/>
    </row>
    <row r="2535" spans="7:7" hidden="1" x14ac:dyDescent="0.2">
      <c r="G2535" s="401"/>
    </row>
    <row r="2536" spans="7:7" hidden="1" x14ac:dyDescent="0.2">
      <c r="G2536" s="401"/>
    </row>
    <row r="2537" spans="7:7" hidden="1" x14ac:dyDescent="0.2">
      <c r="G2537" s="401"/>
    </row>
    <row r="2538" spans="7:7" hidden="1" x14ac:dyDescent="0.2">
      <c r="G2538" s="401"/>
    </row>
    <row r="2539" spans="7:7" hidden="1" x14ac:dyDescent="0.2">
      <c r="G2539" s="401"/>
    </row>
    <row r="2540" spans="7:7" hidden="1" x14ac:dyDescent="0.2">
      <c r="G2540" s="401"/>
    </row>
    <row r="2541" spans="7:7" hidden="1" x14ac:dyDescent="0.2">
      <c r="G2541" s="401"/>
    </row>
    <row r="2542" spans="7:7" hidden="1" x14ac:dyDescent="0.2">
      <c r="G2542" s="401"/>
    </row>
    <row r="2543" spans="7:7" hidden="1" x14ac:dyDescent="0.2">
      <c r="G2543" s="401"/>
    </row>
    <row r="2544" spans="7:7" hidden="1" x14ac:dyDescent="0.2">
      <c r="G2544" s="401"/>
    </row>
    <row r="2545" spans="7:7" hidden="1" x14ac:dyDescent="0.2">
      <c r="G2545" s="401"/>
    </row>
    <row r="2546" spans="7:7" hidden="1" x14ac:dyDescent="0.2">
      <c r="G2546" s="401"/>
    </row>
    <row r="2547" spans="7:7" hidden="1" x14ac:dyDescent="0.2">
      <c r="G2547" s="401"/>
    </row>
    <row r="2548" spans="7:7" hidden="1" x14ac:dyDescent="0.2">
      <c r="G2548" s="401"/>
    </row>
    <row r="2549" spans="7:7" hidden="1" x14ac:dyDescent="0.2">
      <c r="G2549" s="401"/>
    </row>
    <row r="2550" spans="7:7" hidden="1" x14ac:dyDescent="0.2">
      <c r="G2550" s="401"/>
    </row>
    <row r="2551" spans="7:7" hidden="1" x14ac:dyDescent="0.2">
      <c r="G2551" s="401"/>
    </row>
    <row r="2552" spans="7:7" hidden="1" x14ac:dyDescent="0.2">
      <c r="G2552" s="401"/>
    </row>
    <row r="2553" spans="7:7" hidden="1" x14ac:dyDescent="0.2">
      <c r="G2553" s="401"/>
    </row>
    <row r="2554" spans="7:7" hidden="1" x14ac:dyDescent="0.2">
      <c r="G2554" s="401"/>
    </row>
    <row r="2555" spans="7:7" hidden="1" x14ac:dyDescent="0.2">
      <c r="G2555" s="401"/>
    </row>
    <row r="2556" spans="7:7" hidden="1" x14ac:dyDescent="0.2">
      <c r="G2556" s="401"/>
    </row>
    <row r="2557" spans="7:7" hidden="1" x14ac:dyDescent="0.2">
      <c r="G2557" s="401"/>
    </row>
    <row r="2558" spans="7:7" hidden="1" x14ac:dyDescent="0.2">
      <c r="G2558" s="401"/>
    </row>
    <row r="2559" spans="7:7" hidden="1" x14ac:dyDescent="0.2">
      <c r="G2559" s="401"/>
    </row>
    <row r="2560" spans="7:7" hidden="1" x14ac:dyDescent="0.2">
      <c r="G2560" s="401"/>
    </row>
    <row r="2561" spans="7:7" hidden="1" x14ac:dyDescent="0.2">
      <c r="G2561" s="401"/>
    </row>
    <row r="2562" spans="7:7" hidden="1" x14ac:dyDescent="0.2">
      <c r="G2562" s="401"/>
    </row>
    <row r="2563" spans="7:7" hidden="1" x14ac:dyDescent="0.2">
      <c r="G2563" s="401"/>
    </row>
    <row r="2564" spans="7:7" hidden="1" x14ac:dyDescent="0.2">
      <c r="G2564" s="401"/>
    </row>
    <row r="2565" spans="7:7" hidden="1" x14ac:dyDescent="0.2">
      <c r="G2565" s="401"/>
    </row>
    <row r="2566" spans="7:7" hidden="1" x14ac:dyDescent="0.2">
      <c r="G2566" s="401"/>
    </row>
    <row r="2567" spans="7:7" hidden="1" x14ac:dyDescent="0.2">
      <c r="G2567" s="401"/>
    </row>
    <row r="2568" spans="7:7" hidden="1" x14ac:dyDescent="0.2">
      <c r="G2568" s="401"/>
    </row>
    <row r="2569" spans="7:7" hidden="1" x14ac:dyDescent="0.2">
      <c r="G2569" s="401"/>
    </row>
    <row r="2570" spans="7:7" hidden="1" x14ac:dyDescent="0.2">
      <c r="G2570" s="401"/>
    </row>
    <row r="2571" spans="7:7" hidden="1" x14ac:dyDescent="0.2">
      <c r="G2571" s="401"/>
    </row>
    <row r="2572" spans="7:7" hidden="1" x14ac:dyDescent="0.2">
      <c r="G2572" s="401"/>
    </row>
    <row r="2573" spans="7:7" hidden="1" x14ac:dyDescent="0.2">
      <c r="G2573" s="401"/>
    </row>
    <row r="2574" spans="7:7" hidden="1" x14ac:dyDescent="0.2">
      <c r="G2574" s="401"/>
    </row>
    <row r="2575" spans="7:7" hidden="1" x14ac:dyDescent="0.2">
      <c r="G2575" s="401"/>
    </row>
    <row r="2576" spans="7:7" hidden="1" x14ac:dyDescent="0.2">
      <c r="G2576" s="401"/>
    </row>
    <row r="2577" spans="7:7" hidden="1" x14ac:dyDescent="0.2">
      <c r="G2577" s="401"/>
    </row>
    <row r="2578" spans="7:7" hidden="1" x14ac:dyDescent="0.2">
      <c r="G2578" s="401"/>
    </row>
    <row r="2579" spans="7:7" hidden="1" x14ac:dyDescent="0.2">
      <c r="G2579" s="401"/>
    </row>
    <row r="2580" spans="7:7" hidden="1" x14ac:dyDescent="0.2">
      <c r="G2580" s="401"/>
    </row>
    <row r="2581" spans="7:7" hidden="1" x14ac:dyDescent="0.2">
      <c r="G2581" s="401"/>
    </row>
    <row r="2582" spans="7:7" hidden="1" x14ac:dyDescent="0.2">
      <c r="G2582" s="401"/>
    </row>
    <row r="2583" spans="7:7" hidden="1" x14ac:dyDescent="0.2">
      <c r="G2583" s="401"/>
    </row>
    <row r="2584" spans="7:7" hidden="1" x14ac:dyDescent="0.2">
      <c r="G2584" s="401"/>
    </row>
    <row r="2585" spans="7:7" hidden="1" x14ac:dyDescent="0.2">
      <c r="G2585" s="401"/>
    </row>
    <row r="2586" spans="7:7" hidden="1" x14ac:dyDescent="0.2">
      <c r="G2586" s="401"/>
    </row>
    <row r="2587" spans="7:7" hidden="1" x14ac:dyDescent="0.2">
      <c r="G2587" s="401"/>
    </row>
    <row r="2588" spans="7:7" hidden="1" x14ac:dyDescent="0.2">
      <c r="G2588" s="401"/>
    </row>
    <row r="2589" spans="7:7" hidden="1" x14ac:dyDescent="0.2">
      <c r="G2589" s="401"/>
    </row>
    <row r="2590" spans="7:7" hidden="1" x14ac:dyDescent="0.2">
      <c r="G2590" s="401"/>
    </row>
    <row r="2591" spans="7:7" hidden="1" x14ac:dyDescent="0.2">
      <c r="G2591" s="401"/>
    </row>
    <row r="2592" spans="7:7" hidden="1" x14ac:dyDescent="0.2">
      <c r="G2592" s="401"/>
    </row>
    <row r="2593" spans="7:7" hidden="1" x14ac:dyDescent="0.2">
      <c r="G2593" s="401"/>
    </row>
    <row r="2594" spans="7:7" hidden="1" x14ac:dyDescent="0.2">
      <c r="G2594" s="401"/>
    </row>
    <row r="2595" spans="7:7" hidden="1" x14ac:dyDescent="0.2">
      <c r="G2595" s="401"/>
    </row>
    <row r="2596" spans="7:7" hidden="1" x14ac:dyDescent="0.2">
      <c r="G2596" s="401"/>
    </row>
    <row r="2597" spans="7:7" hidden="1" x14ac:dyDescent="0.2">
      <c r="G2597" s="401"/>
    </row>
    <row r="2598" spans="7:7" hidden="1" x14ac:dyDescent="0.2">
      <c r="G2598" s="401"/>
    </row>
    <row r="2599" spans="7:7" hidden="1" x14ac:dyDescent="0.2">
      <c r="G2599" s="401"/>
    </row>
    <row r="2600" spans="7:7" hidden="1" x14ac:dyDescent="0.2">
      <c r="G2600" s="401"/>
    </row>
    <row r="2601" spans="7:7" hidden="1" x14ac:dyDescent="0.2">
      <c r="G2601" s="401"/>
    </row>
    <row r="2602" spans="7:7" hidden="1" x14ac:dyDescent="0.2">
      <c r="G2602" s="401"/>
    </row>
    <row r="2603" spans="7:7" hidden="1" x14ac:dyDescent="0.2">
      <c r="G2603" s="401"/>
    </row>
    <row r="2604" spans="7:7" hidden="1" x14ac:dyDescent="0.2">
      <c r="G2604" s="401"/>
    </row>
    <row r="2605" spans="7:7" hidden="1" x14ac:dyDescent="0.2">
      <c r="G2605" s="401"/>
    </row>
    <row r="2606" spans="7:7" hidden="1" x14ac:dyDescent="0.2">
      <c r="G2606" s="401"/>
    </row>
    <row r="2607" spans="7:7" hidden="1" x14ac:dyDescent="0.2">
      <c r="G2607" s="401"/>
    </row>
    <row r="2608" spans="7:7" hidden="1" x14ac:dyDescent="0.2">
      <c r="G2608" s="401"/>
    </row>
    <row r="2609" spans="7:7" hidden="1" x14ac:dyDescent="0.2">
      <c r="G2609" s="401"/>
    </row>
    <row r="2610" spans="7:7" hidden="1" x14ac:dyDescent="0.2">
      <c r="G2610" s="401"/>
    </row>
    <row r="2611" spans="7:7" hidden="1" x14ac:dyDescent="0.2">
      <c r="G2611" s="401"/>
    </row>
    <row r="2612" spans="7:7" hidden="1" x14ac:dyDescent="0.2">
      <c r="G2612" s="401"/>
    </row>
    <row r="2613" spans="7:7" hidden="1" x14ac:dyDescent="0.2">
      <c r="G2613" s="401"/>
    </row>
    <row r="2614" spans="7:7" hidden="1" x14ac:dyDescent="0.2">
      <c r="G2614" s="401"/>
    </row>
    <row r="2615" spans="7:7" hidden="1" x14ac:dyDescent="0.2">
      <c r="G2615" s="401"/>
    </row>
    <row r="2616" spans="7:7" hidden="1" x14ac:dyDescent="0.2">
      <c r="G2616" s="401"/>
    </row>
    <row r="2617" spans="7:7" hidden="1" x14ac:dyDescent="0.2">
      <c r="G2617" s="401"/>
    </row>
    <row r="2618" spans="7:7" hidden="1" x14ac:dyDescent="0.2">
      <c r="G2618" s="401"/>
    </row>
    <row r="2619" spans="7:7" hidden="1" x14ac:dyDescent="0.2">
      <c r="G2619" s="401"/>
    </row>
    <row r="2620" spans="7:7" hidden="1" x14ac:dyDescent="0.2">
      <c r="G2620" s="401"/>
    </row>
    <row r="2621" spans="7:7" hidden="1" x14ac:dyDescent="0.2">
      <c r="G2621" s="401"/>
    </row>
    <row r="2622" spans="7:7" hidden="1" x14ac:dyDescent="0.2">
      <c r="G2622" s="401"/>
    </row>
    <row r="2623" spans="7:7" hidden="1" x14ac:dyDescent="0.2">
      <c r="G2623" s="401"/>
    </row>
    <row r="2624" spans="7:7" hidden="1" x14ac:dyDescent="0.2">
      <c r="G2624" s="401"/>
    </row>
    <row r="2625" spans="7:7" hidden="1" x14ac:dyDescent="0.2">
      <c r="G2625" s="401"/>
    </row>
    <row r="2626" spans="7:7" hidden="1" x14ac:dyDescent="0.2">
      <c r="G2626" s="401"/>
    </row>
    <row r="2627" spans="7:7" hidden="1" x14ac:dyDescent="0.2">
      <c r="G2627" s="401"/>
    </row>
    <row r="2628" spans="7:7" hidden="1" x14ac:dyDescent="0.2">
      <c r="G2628" s="401"/>
    </row>
    <row r="2629" spans="7:7" hidden="1" x14ac:dyDescent="0.2">
      <c r="G2629" s="401"/>
    </row>
    <row r="2630" spans="7:7" hidden="1" x14ac:dyDescent="0.2">
      <c r="G2630" s="401"/>
    </row>
    <row r="2631" spans="7:7" hidden="1" x14ac:dyDescent="0.2">
      <c r="G2631" s="401"/>
    </row>
    <row r="2632" spans="7:7" hidden="1" x14ac:dyDescent="0.2">
      <c r="G2632" s="401"/>
    </row>
    <row r="2633" spans="7:7" hidden="1" x14ac:dyDescent="0.2">
      <c r="G2633" s="401"/>
    </row>
    <row r="2634" spans="7:7" hidden="1" x14ac:dyDescent="0.2">
      <c r="G2634" s="401"/>
    </row>
    <row r="2635" spans="7:7" hidden="1" x14ac:dyDescent="0.2">
      <c r="G2635" s="401"/>
    </row>
    <row r="2636" spans="7:7" hidden="1" x14ac:dyDescent="0.2">
      <c r="G2636" s="401"/>
    </row>
    <row r="2637" spans="7:7" hidden="1" x14ac:dyDescent="0.2">
      <c r="G2637" s="401"/>
    </row>
    <row r="2638" spans="7:7" hidden="1" x14ac:dyDescent="0.2">
      <c r="G2638" s="401"/>
    </row>
    <row r="2639" spans="7:7" hidden="1" x14ac:dyDescent="0.2">
      <c r="G2639" s="401"/>
    </row>
    <row r="2640" spans="7:7" hidden="1" x14ac:dyDescent="0.2">
      <c r="G2640" s="401"/>
    </row>
    <row r="2641" spans="7:7" hidden="1" x14ac:dyDescent="0.2">
      <c r="G2641" s="401"/>
    </row>
    <row r="2642" spans="7:7" hidden="1" x14ac:dyDescent="0.2">
      <c r="G2642" s="401"/>
    </row>
    <row r="2643" spans="7:7" hidden="1" x14ac:dyDescent="0.2">
      <c r="G2643" s="401"/>
    </row>
    <row r="2644" spans="7:7" hidden="1" x14ac:dyDescent="0.2">
      <c r="G2644" s="401"/>
    </row>
    <row r="2645" spans="7:7" hidden="1" x14ac:dyDescent="0.2">
      <c r="G2645" s="401"/>
    </row>
    <row r="2646" spans="7:7" hidden="1" x14ac:dyDescent="0.2">
      <c r="G2646" s="401"/>
    </row>
    <row r="2647" spans="7:7" hidden="1" x14ac:dyDescent="0.2">
      <c r="G2647" s="401"/>
    </row>
    <row r="2648" spans="7:7" hidden="1" x14ac:dyDescent="0.2">
      <c r="G2648" s="401"/>
    </row>
    <row r="2649" spans="7:7" hidden="1" x14ac:dyDescent="0.2">
      <c r="G2649" s="401"/>
    </row>
    <row r="2650" spans="7:7" hidden="1" x14ac:dyDescent="0.2">
      <c r="G2650" s="401"/>
    </row>
    <row r="2651" spans="7:7" hidden="1" x14ac:dyDescent="0.2">
      <c r="G2651" s="401"/>
    </row>
    <row r="2652" spans="7:7" hidden="1" x14ac:dyDescent="0.2">
      <c r="G2652" s="401"/>
    </row>
    <row r="2653" spans="7:7" hidden="1" x14ac:dyDescent="0.2">
      <c r="G2653" s="401"/>
    </row>
    <row r="2654" spans="7:7" hidden="1" x14ac:dyDescent="0.2">
      <c r="G2654" s="401"/>
    </row>
    <row r="2655" spans="7:7" hidden="1" x14ac:dyDescent="0.2">
      <c r="G2655" s="401"/>
    </row>
    <row r="2656" spans="7:7" hidden="1" x14ac:dyDescent="0.2">
      <c r="G2656" s="401"/>
    </row>
    <row r="2657" spans="7:7" hidden="1" x14ac:dyDescent="0.2">
      <c r="G2657" s="401"/>
    </row>
    <row r="2658" spans="7:7" hidden="1" x14ac:dyDescent="0.2">
      <c r="G2658" s="401"/>
    </row>
    <row r="2659" spans="7:7" hidden="1" x14ac:dyDescent="0.2">
      <c r="G2659" s="401"/>
    </row>
    <row r="2660" spans="7:7" hidden="1" x14ac:dyDescent="0.2">
      <c r="G2660" s="401"/>
    </row>
    <row r="2661" spans="7:7" hidden="1" x14ac:dyDescent="0.2">
      <c r="G2661" s="401"/>
    </row>
    <row r="2662" spans="7:7" hidden="1" x14ac:dyDescent="0.2">
      <c r="G2662" s="401"/>
    </row>
    <row r="2663" spans="7:7" hidden="1" x14ac:dyDescent="0.2">
      <c r="G2663" s="401"/>
    </row>
    <row r="2664" spans="7:7" hidden="1" x14ac:dyDescent="0.2">
      <c r="G2664" s="401"/>
    </row>
    <row r="2665" spans="7:7" hidden="1" x14ac:dyDescent="0.2">
      <c r="G2665" s="401"/>
    </row>
    <row r="2666" spans="7:7" hidden="1" x14ac:dyDescent="0.2">
      <c r="G2666" s="401"/>
    </row>
    <row r="2667" spans="7:7" hidden="1" x14ac:dyDescent="0.2">
      <c r="G2667" s="401"/>
    </row>
    <row r="2668" spans="7:7" hidden="1" x14ac:dyDescent="0.2">
      <c r="G2668" s="401"/>
    </row>
    <row r="2669" spans="7:7" hidden="1" x14ac:dyDescent="0.2">
      <c r="G2669" s="401"/>
    </row>
    <row r="2670" spans="7:7" hidden="1" x14ac:dyDescent="0.2">
      <c r="G2670" s="401"/>
    </row>
    <row r="2671" spans="7:7" hidden="1" x14ac:dyDescent="0.2">
      <c r="G2671" s="401"/>
    </row>
    <row r="2672" spans="7:7" hidden="1" x14ac:dyDescent="0.2">
      <c r="G2672" s="401"/>
    </row>
    <row r="2673" spans="7:7" hidden="1" x14ac:dyDescent="0.2">
      <c r="G2673" s="401"/>
    </row>
    <row r="2674" spans="7:7" hidden="1" x14ac:dyDescent="0.2">
      <c r="G2674" s="401"/>
    </row>
    <row r="2675" spans="7:7" hidden="1" x14ac:dyDescent="0.2">
      <c r="G2675" s="401"/>
    </row>
    <row r="2676" spans="7:7" hidden="1" x14ac:dyDescent="0.2">
      <c r="G2676" s="401"/>
    </row>
    <row r="2677" spans="7:7" hidden="1" x14ac:dyDescent="0.2">
      <c r="G2677" s="401"/>
    </row>
    <row r="2678" spans="7:7" hidden="1" x14ac:dyDescent="0.2">
      <c r="G2678" s="401"/>
    </row>
    <row r="2679" spans="7:7" hidden="1" x14ac:dyDescent="0.2">
      <c r="G2679" s="401"/>
    </row>
    <row r="2680" spans="7:7" hidden="1" x14ac:dyDescent="0.2">
      <c r="G2680" s="401"/>
    </row>
    <row r="2681" spans="7:7" hidden="1" x14ac:dyDescent="0.2">
      <c r="G2681" s="401"/>
    </row>
    <row r="2682" spans="7:7" hidden="1" x14ac:dyDescent="0.2">
      <c r="G2682" s="401"/>
    </row>
    <row r="2683" spans="7:7" hidden="1" x14ac:dyDescent="0.2">
      <c r="G2683" s="401"/>
    </row>
    <row r="2684" spans="7:7" hidden="1" x14ac:dyDescent="0.2">
      <c r="G2684" s="401"/>
    </row>
    <row r="2685" spans="7:7" hidden="1" x14ac:dyDescent="0.2">
      <c r="G2685" s="401"/>
    </row>
    <row r="2686" spans="7:7" hidden="1" x14ac:dyDescent="0.2">
      <c r="G2686" s="401"/>
    </row>
    <row r="2687" spans="7:7" hidden="1" x14ac:dyDescent="0.2">
      <c r="G2687" s="401"/>
    </row>
    <row r="2688" spans="7:7" hidden="1" x14ac:dyDescent="0.2">
      <c r="G2688" s="401"/>
    </row>
    <row r="2689" spans="7:7" hidden="1" x14ac:dyDescent="0.2">
      <c r="G2689" s="401"/>
    </row>
    <row r="2690" spans="7:7" hidden="1" x14ac:dyDescent="0.2">
      <c r="G2690" s="401"/>
    </row>
    <row r="2691" spans="7:7" hidden="1" x14ac:dyDescent="0.2">
      <c r="G2691" s="401"/>
    </row>
    <row r="2692" spans="7:7" hidden="1" x14ac:dyDescent="0.2">
      <c r="G2692" s="401"/>
    </row>
    <row r="2693" spans="7:7" hidden="1" x14ac:dyDescent="0.2">
      <c r="G2693" s="401"/>
    </row>
    <row r="2694" spans="7:7" hidden="1" x14ac:dyDescent="0.2">
      <c r="G2694" s="401"/>
    </row>
    <row r="2695" spans="7:7" hidden="1" x14ac:dyDescent="0.2">
      <c r="G2695" s="401"/>
    </row>
    <row r="2696" spans="7:7" hidden="1" x14ac:dyDescent="0.2">
      <c r="G2696" s="401"/>
    </row>
    <row r="2697" spans="7:7" hidden="1" x14ac:dyDescent="0.2">
      <c r="G2697" s="401"/>
    </row>
    <row r="2698" spans="7:7" hidden="1" x14ac:dyDescent="0.2">
      <c r="G2698" s="401"/>
    </row>
    <row r="2699" spans="7:7" hidden="1" x14ac:dyDescent="0.2">
      <c r="G2699" s="401"/>
    </row>
    <row r="2700" spans="7:7" hidden="1" x14ac:dyDescent="0.2">
      <c r="G2700" s="401"/>
    </row>
    <row r="2701" spans="7:7" hidden="1" x14ac:dyDescent="0.2">
      <c r="G2701" s="401"/>
    </row>
    <row r="2702" spans="7:7" hidden="1" x14ac:dyDescent="0.2">
      <c r="G2702" s="401"/>
    </row>
    <row r="2703" spans="7:7" hidden="1" x14ac:dyDescent="0.2">
      <c r="G2703" s="401"/>
    </row>
    <row r="2704" spans="7:7" hidden="1" x14ac:dyDescent="0.2">
      <c r="G2704" s="401"/>
    </row>
    <row r="2705" spans="7:7" hidden="1" x14ac:dyDescent="0.2">
      <c r="G2705" s="401"/>
    </row>
    <row r="2706" spans="7:7" hidden="1" x14ac:dyDescent="0.2">
      <c r="G2706" s="401"/>
    </row>
    <row r="2707" spans="7:7" hidden="1" x14ac:dyDescent="0.2">
      <c r="G2707" s="401"/>
    </row>
    <row r="2708" spans="7:7" hidden="1" x14ac:dyDescent="0.2">
      <c r="G2708" s="401"/>
    </row>
    <row r="2709" spans="7:7" hidden="1" x14ac:dyDescent="0.2">
      <c r="G2709" s="401"/>
    </row>
    <row r="2710" spans="7:7" hidden="1" x14ac:dyDescent="0.2">
      <c r="G2710" s="401"/>
    </row>
    <row r="2711" spans="7:7" hidden="1" x14ac:dyDescent="0.2">
      <c r="G2711" s="401"/>
    </row>
    <row r="2712" spans="7:7" hidden="1" x14ac:dyDescent="0.2">
      <c r="G2712" s="401"/>
    </row>
    <row r="2713" spans="7:7" hidden="1" x14ac:dyDescent="0.2">
      <c r="G2713" s="401"/>
    </row>
    <row r="2714" spans="7:7" hidden="1" x14ac:dyDescent="0.2">
      <c r="G2714" s="401"/>
    </row>
    <row r="2715" spans="7:7" hidden="1" x14ac:dyDescent="0.2">
      <c r="G2715" s="401"/>
    </row>
    <row r="2716" spans="7:7" hidden="1" x14ac:dyDescent="0.2">
      <c r="G2716" s="401"/>
    </row>
    <row r="2717" spans="7:7" hidden="1" x14ac:dyDescent="0.2">
      <c r="G2717" s="401"/>
    </row>
    <row r="2718" spans="7:7" hidden="1" x14ac:dyDescent="0.2">
      <c r="G2718" s="401"/>
    </row>
    <row r="2719" spans="7:7" hidden="1" x14ac:dyDescent="0.2">
      <c r="G2719" s="401"/>
    </row>
    <row r="2720" spans="7:7" hidden="1" x14ac:dyDescent="0.2">
      <c r="G2720" s="401"/>
    </row>
    <row r="2721" spans="7:7" hidden="1" x14ac:dyDescent="0.2">
      <c r="G2721" s="401"/>
    </row>
    <row r="2722" spans="7:7" hidden="1" x14ac:dyDescent="0.2">
      <c r="G2722" s="401"/>
    </row>
    <row r="2723" spans="7:7" hidden="1" x14ac:dyDescent="0.2">
      <c r="G2723" s="401"/>
    </row>
    <row r="2724" spans="7:7" hidden="1" x14ac:dyDescent="0.2">
      <c r="G2724" s="401"/>
    </row>
    <row r="2725" spans="7:7" hidden="1" x14ac:dyDescent="0.2">
      <c r="G2725" s="401"/>
    </row>
    <row r="2726" spans="7:7" hidden="1" x14ac:dyDescent="0.2">
      <c r="G2726" s="401"/>
    </row>
    <row r="2727" spans="7:7" hidden="1" x14ac:dyDescent="0.2">
      <c r="G2727" s="401"/>
    </row>
    <row r="2728" spans="7:7" hidden="1" x14ac:dyDescent="0.2">
      <c r="G2728" s="401"/>
    </row>
    <row r="2729" spans="7:7" hidden="1" x14ac:dyDescent="0.2">
      <c r="G2729" s="401"/>
    </row>
    <row r="2730" spans="7:7" hidden="1" x14ac:dyDescent="0.2">
      <c r="G2730" s="401"/>
    </row>
    <row r="2731" spans="7:7" hidden="1" x14ac:dyDescent="0.2">
      <c r="G2731" s="401"/>
    </row>
    <row r="2732" spans="7:7" hidden="1" x14ac:dyDescent="0.2">
      <c r="G2732" s="401"/>
    </row>
    <row r="2733" spans="7:7" hidden="1" x14ac:dyDescent="0.2">
      <c r="G2733" s="401"/>
    </row>
    <row r="2734" spans="7:7" hidden="1" x14ac:dyDescent="0.2">
      <c r="G2734" s="401"/>
    </row>
    <row r="2735" spans="7:7" hidden="1" x14ac:dyDescent="0.2">
      <c r="G2735" s="401"/>
    </row>
    <row r="2736" spans="7:7" hidden="1" x14ac:dyDescent="0.2">
      <c r="G2736" s="401"/>
    </row>
    <row r="2737" spans="7:7" hidden="1" x14ac:dyDescent="0.2">
      <c r="G2737" s="401"/>
    </row>
    <row r="2738" spans="7:7" hidden="1" x14ac:dyDescent="0.2">
      <c r="G2738" s="401"/>
    </row>
    <row r="2739" spans="7:7" hidden="1" x14ac:dyDescent="0.2">
      <c r="G2739" s="401"/>
    </row>
    <row r="2740" spans="7:7" hidden="1" x14ac:dyDescent="0.2">
      <c r="G2740" s="401"/>
    </row>
    <row r="2741" spans="7:7" hidden="1" x14ac:dyDescent="0.2">
      <c r="G2741" s="401"/>
    </row>
    <row r="2742" spans="7:7" hidden="1" x14ac:dyDescent="0.2">
      <c r="G2742" s="401"/>
    </row>
    <row r="2743" spans="7:7" hidden="1" x14ac:dyDescent="0.2">
      <c r="G2743" s="401"/>
    </row>
    <row r="2744" spans="7:7" hidden="1" x14ac:dyDescent="0.2">
      <c r="G2744" s="401"/>
    </row>
    <row r="2745" spans="7:7" hidden="1" x14ac:dyDescent="0.2">
      <c r="G2745" s="401"/>
    </row>
    <row r="2746" spans="7:7" hidden="1" x14ac:dyDescent="0.2">
      <c r="G2746" s="401"/>
    </row>
    <row r="2747" spans="7:7" hidden="1" x14ac:dyDescent="0.2">
      <c r="G2747" s="401"/>
    </row>
    <row r="2748" spans="7:7" hidden="1" x14ac:dyDescent="0.2">
      <c r="G2748" s="401"/>
    </row>
    <row r="2749" spans="7:7" hidden="1" x14ac:dyDescent="0.2">
      <c r="G2749" s="401"/>
    </row>
    <row r="2750" spans="7:7" hidden="1" x14ac:dyDescent="0.2">
      <c r="G2750" s="401"/>
    </row>
    <row r="2751" spans="7:7" hidden="1" x14ac:dyDescent="0.2">
      <c r="G2751" s="401"/>
    </row>
    <row r="2752" spans="7:7" hidden="1" x14ac:dyDescent="0.2">
      <c r="G2752" s="401"/>
    </row>
    <row r="2753" spans="7:7" hidden="1" x14ac:dyDescent="0.2">
      <c r="G2753" s="401"/>
    </row>
    <row r="2754" spans="7:7" hidden="1" x14ac:dyDescent="0.2">
      <c r="G2754" s="401"/>
    </row>
    <row r="2755" spans="7:7" hidden="1" x14ac:dyDescent="0.2">
      <c r="G2755" s="401"/>
    </row>
    <row r="2756" spans="7:7" hidden="1" x14ac:dyDescent="0.2">
      <c r="G2756" s="401"/>
    </row>
    <row r="2757" spans="7:7" hidden="1" x14ac:dyDescent="0.2">
      <c r="G2757" s="401"/>
    </row>
    <row r="2758" spans="7:7" hidden="1" x14ac:dyDescent="0.2">
      <c r="G2758" s="401"/>
    </row>
    <row r="2759" spans="7:7" hidden="1" x14ac:dyDescent="0.2">
      <c r="G2759" s="401"/>
    </row>
    <row r="2760" spans="7:7" hidden="1" x14ac:dyDescent="0.2">
      <c r="G2760" s="401"/>
    </row>
    <row r="2761" spans="7:7" hidden="1" x14ac:dyDescent="0.2">
      <c r="G2761" s="401"/>
    </row>
    <row r="2762" spans="7:7" hidden="1" x14ac:dyDescent="0.2">
      <c r="G2762" s="401"/>
    </row>
    <row r="2763" spans="7:7" hidden="1" x14ac:dyDescent="0.2">
      <c r="G2763" s="401"/>
    </row>
    <row r="2764" spans="7:7" hidden="1" x14ac:dyDescent="0.2">
      <c r="G2764" s="401"/>
    </row>
    <row r="2765" spans="7:7" hidden="1" x14ac:dyDescent="0.2">
      <c r="G2765" s="401"/>
    </row>
    <row r="2766" spans="7:7" hidden="1" x14ac:dyDescent="0.2">
      <c r="G2766" s="401"/>
    </row>
    <row r="2767" spans="7:7" hidden="1" x14ac:dyDescent="0.2">
      <c r="G2767" s="401"/>
    </row>
    <row r="2768" spans="7:7" hidden="1" x14ac:dyDescent="0.2">
      <c r="G2768" s="401"/>
    </row>
    <row r="2769" spans="7:7" hidden="1" x14ac:dyDescent="0.2">
      <c r="G2769" s="401"/>
    </row>
    <row r="2770" spans="7:7" hidden="1" x14ac:dyDescent="0.2">
      <c r="G2770" s="401"/>
    </row>
    <row r="2771" spans="7:7" hidden="1" x14ac:dyDescent="0.2">
      <c r="G2771" s="401"/>
    </row>
    <row r="2772" spans="7:7" hidden="1" x14ac:dyDescent="0.2">
      <c r="G2772" s="401"/>
    </row>
    <row r="2773" spans="7:7" hidden="1" x14ac:dyDescent="0.2">
      <c r="G2773" s="401"/>
    </row>
    <row r="2774" spans="7:7" hidden="1" x14ac:dyDescent="0.2">
      <c r="G2774" s="401"/>
    </row>
    <row r="2775" spans="7:7" hidden="1" x14ac:dyDescent="0.2">
      <c r="G2775" s="401"/>
    </row>
    <row r="2776" spans="7:7" hidden="1" x14ac:dyDescent="0.2">
      <c r="G2776" s="401"/>
    </row>
    <row r="2777" spans="7:7" hidden="1" x14ac:dyDescent="0.2">
      <c r="G2777" s="401"/>
    </row>
    <row r="2778" spans="7:7" hidden="1" x14ac:dyDescent="0.2">
      <c r="G2778" s="401"/>
    </row>
    <row r="2779" spans="7:7" hidden="1" x14ac:dyDescent="0.2">
      <c r="G2779" s="401"/>
    </row>
    <row r="2780" spans="7:7" hidden="1" x14ac:dyDescent="0.2">
      <c r="G2780" s="401"/>
    </row>
    <row r="2781" spans="7:7" hidden="1" x14ac:dyDescent="0.2">
      <c r="G2781" s="401"/>
    </row>
    <row r="2782" spans="7:7" hidden="1" x14ac:dyDescent="0.2">
      <c r="G2782" s="401"/>
    </row>
    <row r="2783" spans="7:7" hidden="1" x14ac:dyDescent="0.2">
      <c r="G2783" s="401"/>
    </row>
    <row r="2784" spans="7:7" hidden="1" x14ac:dyDescent="0.2">
      <c r="G2784" s="401"/>
    </row>
    <row r="2785" spans="7:7" hidden="1" x14ac:dyDescent="0.2">
      <c r="G2785" s="401"/>
    </row>
    <row r="2786" spans="7:7" hidden="1" x14ac:dyDescent="0.2">
      <c r="G2786" s="401"/>
    </row>
    <row r="2787" spans="7:7" hidden="1" x14ac:dyDescent="0.2">
      <c r="G2787" s="401"/>
    </row>
    <row r="2788" spans="7:7" hidden="1" x14ac:dyDescent="0.2">
      <c r="G2788" s="401"/>
    </row>
    <row r="2789" spans="7:7" hidden="1" x14ac:dyDescent="0.2">
      <c r="G2789" s="401"/>
    </row>
    <row r="2790" spans="7:7" hidden="1" x14ac:dyDescent="0.2">
      <c r="G2790" s="401"/>
    </row>
    <row r="2791" spans="7:7" hidden="1" x14ac:dyDescent="0.2">
      <c r="G2791" s="401"/>
    </row>
    <row r="2792" spans="7:7" hidden="1" x14ac:dyDescent="0.2">
      <c r="G2792" s="401"/>
    </row>
    <row r="2793" spans="7:7" hidden="1" x14ac:dyDescent="0.2">
      <c r="G2793" s="401"/>
    </row>
    <row r="2794" spans="7:7" hidden="1" x14ac:dyDescent="0.2">
      <c r="G2794" s="401"/>
    </row>
    <row r="2795" spans="7:7" hidden="1" x14ac:dyDescent="0.2">
      <c r="G2795" s="401"/>
    </row>
    <row r="2796" spans="7:7" hidden="1" x14ac:dyDescent="0.2">
      <c r="G2796" s="401"/>
    </row>
    <row r="2797" spans="7:7" hidden="1" x14ac:dyDescent="0.2">
      <c r="G2797" s="401"/>
    </row>
    <row r="2798" spans="7:7" hidden="1" x14ac:dyDescent="0.2">
      <c r="G2798" s="401"/>
    </row>
    <row r="2799" spans="7:7" hidden="1" x14ac:dyDescent="0.2">
      <c r="G2799" s="401"/>
    </row>
    <row r="2800" spans="7:7" hidden="1" x14ac:dyDescent="0.2">
      <c r="G2800" s="401"/>
    </row>
    <row r="2801" spans="7:7" hidden="1" x14ac:dyDescent="0.2">
      <c r="G2801" s="401"/>
    </row>
    <row r="2802" spans="7:7" hidden="1" x14ac:dyDescent="0.2">
      <c r="G2802" s="401"/>
    </row>
    <row r="2803" spans="7:7" hidden="1" x14ac:dyDescent="0.2">
      <c r="G2803" s="401"/>
    </row>
    <row r="2804" spans="7:7" hidden="1" x14ac:dyDescent="0.2">
      <c r="G2804" s="401"/>
    </row>
    <row r="2805" spans="7:7" hidden="1" x14ac:dyDescent="0.2">
      <c r="G2805" s="401"/>
    </row>
    <row r="2806" spans="7:7" hidden="1" x14ac:dyDescent="0.2">
      <c r="G2806" s="401"/>
    </row>
    <row r="2807" spans="7:7" hidden="1" x14ac:dyDescent="0.2">
      <c r="G2807" s="401"/>
    </row>
    <row r="2808" spans="7:7" hidden="1" x14ac:dyDescent="0.2">
      <c r="G2808" s="401"/>
    </row>
    <row r="2809" spans="7:7" hidden="1" x14ac:dyDescent="0.2">
      <c r="G2809" s="401"/>
    </row>
    <row r="2810" spans="7:7" hidden="1" x14ac:dyDescent="0.2">
      <c r="G2810" s="401"/>
    </row>
    <row r="2811" spans="7:7" hidden="1" x14ac:dyDescent="0.2">
      <c r="G2811" s="401"/>
    </row>
    <row r="2812" spans="7:7" hidden="1" x14ac:dyDescent="0.2">
      <c r="G2812" s="401"/>
    </row>
    <row r="2813" spans="7:7" hidden="1" x14ac:dyDescent="0.2">
      <c r="G2813" s="401"/>
    </row>
    <row r="2814" spans="7:7" hidden="1" x14ac:dyDescent="0.2">
      <c r="G2814" s="401"/>
    </row>
    <row r="2815" spans="7:7" hidden="1" x14ac:dyDescent="0.2">
      <c r="G2815" s="401"/>
    </row>
    <row r="2816" spans="7:7" hidden="1" x14ac:dyDescent="0.2">
      <c r="G2816" s="401"/>
    </row>
    <row r="2817" spans="7:7" hidden="1" x14ac:dyDescent="0.2">
      <c r="G2817" s="401"/>
    </row>
    <row r="2818" spans="7:7" hidden="1" x14ac:dyDescent="0.2">
      <c r="G2818" s="401"/>
    </row>
    <row r="2819" spans="7:7" hidden="1" x14ac:dyDescent="0.2">
      <c r="G2819" s="401"/>
    </row>
    <row r="2820" spans="7:7" hidden="1" x14ac:dyDescent="0.2">
      <c r="G2820" s="401"/>
    </row>
    <row r="2821" spans="7:7" hidden="1" x14ac:dyDescent="0.2">
      <c r="G2821" s="401"/>
    </row>
    <row r="2822" spans="7:7" hidden="1" x14ac:dyDescent="0.2">
      <c r="G2822" s="401"/>
    </row>
    <row r="2823" spans="7:7" hidden="1" x14ac:dyDescent="0.2">
      <c r="G2823" s="401"/>
    </row>
    <row r="2824" spans="7:7" hidden="1" x14ac:dyDescent="0.2">
      <c r="G2824" s="401"/>
    </row>
    <row r="2825" spans="7:7" hidden="1" x14ac:dyDescent="0.2">
      <c r="G2825" s="401"/>
    </row>
    <row r="2826" spans="7:7" hidden="1" x14ac:dyDescent="0.2">
      <c r="G2826" s="401"/>
    </row>
    <row r="2827" spans="7:7" hidden="1" x14ac:dyDescent="0.2">
      <c r="G2827" s="401"/>
    </row>
    <row r="2828" spans="7:7" hidden="1" x14ac:dyDescent="0.2">
      <c r="G2828" s="401"/>
    </row>
    <row r="2829" spans="7:7" hidden="1" x14ac:dyDescent="0.2">
      <c r="G2829" s="401"/>
    </row>
    <row r="2830" spans="7:7" hidden="1" x14ac:dyDescent="0.2">
      <c r="G2830" s="401"/>
    </row>
    <row r="2831" spans="7:7" hidden="1" x14ac:dyDescent="0.2">
      <c r="G2831" s="401"/>
    </row>
    <row r="2832" spans="7:7" hidden="1" x14ac:dyDescent="0.2">
      <c r="G2832" s="401"/>
    </row>
    <row r="2833" spans="7:7" hidden="1" x14ac:dyDescent="0.2">
      <c r="G2833" s="401"/>
    </row>
    <row r="2834" spans="7:7" hidden="1" x14ac:dyDescent="0.2">
      <c r="G2834" s="401"/>
    </row>
    <row r="2835" spans="7:7" hidden="1" x14ac:dyDescent="0.2">
      <c r="G2835" s="401"/>
    </row>
    <row r="2836" spans="7:7" hidden="1" x14ac:dyDescent="0.2">
      <c r="G2836" s="401"/>
    </row>
    <row r="2837" spans="7:7" hidden="1" x14ac:dyDescent="0.2">
      <c r="G2837" s="401"/>
    </row>
    <row r="2838" spans="7:7" hidden="1" x14ac:dyDescent="0.2">
      <c r="G2838" s="401"/>
    </row>
    <row r="2839" spans="7:7" hidden="1" x14ac:dyDescent="0.2">
      <c r="G2839" s="401"/>
    </row>
    <row r="2840" spans="7:7" hidden="1" x14ac:dyDescent="0.2">
      <c r="G2840" s="401"/>
    </row>
    <row r="2841" spans="7:7" hidden="1" x14ac:dyDescent="0.2">
      <c r="G2841" s="401"/>
    </row>
    <row r="2842" spans="7:7" hidden="1" x14ac:dyDescent="0.2">
      <c r="G2842" s="401"/>
    </row>
    <row r="2843" spans="7:7" hidden="1" x14ac:dyDescent="0.2">
      <c r="G2843" s="401"/>
    </row>
    <row r="2844" spans="7:7" hidden="1" x14ac:dyDescent="0.2">
      <c r="G2844" s="401"/>
    </row>
    <row r="2845" spans="7:7" hidden="1" x14ac:dyDescent="0.2">
      <c r="G2845" s="401"/>
    </row>
    <row r="2846" spans="7:7" hidden="1" x14ac:dyDescent="0.2">
      <c r="G2846" s="401"/>
    </row>
    <row r="2847" spans="7:7" hidden="1" x14ac:dyDescent="0.2">
      <c r="G2847" s="401"/>
    </row>
    <row r="2848" spans="7:7" hidden="1" x14ac:dyDescent="0.2">
      <c r="G2848" s="401"/>
    </row>
    <row r="2849" spans="7:7" hidden="1" x14ac:dyDescent="0.2">
      <c r="G2849" s="401"/>
    </row>
    <row r="2850" spans="7:7" hidden="1" x14ac:dyDescent="0.2">
      <c r="G2850" s="401"/>
    </row>
    <row r="2851" spans="7:7" hidden="1" x14ac:dyDescent="0.2">
      <c r="G2851" s="401"/>
    </row>
    <row r="2852" spans="7:7" hidden="1" x14ac:dyDescent="0.2">
      <c r="G2852" s="401"/>
    </row>
    <row r="2853" spans="7:7" hidden="1" x14ac:dyDescent="0.2">
      <c r="G2853" s="401"/>
    </row>
    <row r="2854" spans="7:7" hidden="1" x14ac:dyDescent="0.2">
      <c r="G2854" s="401"/>
    </row>
    <row r="2855" spans="7:7" hidden="1" x14ac:dyDescent="0.2">
      <c r="G2855" s="401"/>
    </row>
    <row r="2856" spans="7:7" hidden="1" x14ac:dyDescent="0.2">
      <c r="G2856" s="401"/>
    </row>
    <row r="2857" spans="7:7" hidden="1" x14ac:dyDescent="0.2">
      <c r="G2857" s="401"/>
    </row>
    <row r="2858" spans="7:7" hidden="1" x14ac:dyDescent="0.2">
      <c r="G2858" s="401"/>
    </row>
    <row r="2859" spans="7:7" hidden="1" x14ac:dyDescent="0.2">
      <c r="G2859" s="401"/>
    </row>
    <row r="2860" spans="7:7" hidden="1" x14ac:dyDescent="0.2">
      <c r="G2860" s="401"/>
    </row>
    <row r="2861" spans="7:7" hidden="1" x14ac:dyDescent="0.2">
      <c r="G2861" s="401"/>
    </row>
    <row r="2862" spans="7:7" hidden="1" x14ac:dyDescent="0.2">
      <c r="G2862" s="401"/>
    </row>
    <row r="2863" spans="7:7" hidden="1" x14ac:dyDescent="0.2">
      <c r="G2863" s="401"/>
    </row>
    <row r="2864" spans="7:7" hidden="1" x14ac:dyDescent="0.2">
      <c r="G2864" s="401"/>
    </row>
    <row r="2865" spans="7:7" hidden="1" x14ac:dyDescent="0.2">
      <c r="G2865" s="401"/>
    </row>
    <row r="2866" spans="7:7" hidden="1" x14ac:dyDescent="0.2">
      <c r="G2866" s="401"/>
    </row>
    <row r="2867" spans="7:7" hidden="1" x14ac:dyDescent="0.2">
      <c r="G2867" s="401"/>
    </row>
    <row r="2868" spans="7:7" hidden="1" x14ac:dyDescent="0.2">
      <c r="G2868" s="401"/>
    </row>
    <row r="2869" spans="7:7" hidden="1" x14ac:dyDescent="0.2">
      <c r="G2869" s="401"/>
    </row>
    <row r="2870" spans="7:7" hidden="1" x14ac:dyDescent="0.2">
      <c r="G2870" s="401"/>
    </row>
    <row r="2871" spans="7:7" hidden="1" x14ac:dyDescent="0.2">
      <c r="G2871" s="401"/>
    </row>
    <row r="2872" spans="7:7" hidden="1" x14ac:dyDescent="0.2">
      <c r="G2872" s="401"/>
    </row>
    <row r="2873" spans="7:7" hidden="1" x14ac:dyDescent="0.2">
      <c r="G2873" s="401"/>
    </row>
    <row r="2874" spans="7:7" hidden="1" x14ac:dyDescent="0.2">
      <c r="G2874" s="401"/>
    </row>
    <row r="2875" spans="7:7" hidden="1" x14ac:dyDescent="0.2">
      <c r="G2875" s="401"/>
    </row>
    <row r="2876" spans="7:7" hidden="1" x14ac:dyDescent="0.2">
      <c r="G2876" s="401"/>
    </row>
    <row r="2877" spans="7:7" hidden="1" x14ac:dyDescent="0.2">
      <c r="G2877" s="401"/>
    </row>
    <row r="2878" spans="7:7" hidden="1" x14ac:dyDescent="0.2">
      <c r="G2878" s="401"/>
    </row>
    <row r="2879" spans="7:7" hidden="1" x14ac:dyDescent="0.2">
      <c r="G2879" s="401"/>
    </row>
    <row r="2880" spans="7:7" hidden="1" x14ac:dyDescent="0.2">
      <c r="G2880" s="401"/>
    </row>
    <row r="2881" spans="7:7" hidden="1" x14ac:dyDescent="0.2">
      <c r="G2881" s="401"/>
    </row>
    <row r="2882" spans="7:7" hidden="1" x14ac:dyDescent="0.2">
      <c r="G2882" s="401"/>
    </row>
    <row r="2883" spans="7:7" hidden="1" x14ac:dyDescent="0.2">
      <c r="G2883" s="401"/>
    </row>
    <row r="2884" spans="7:7" hidden="1" x14ac:dyDescent="0.2">
      <c r="G2884" s="401"/>
    </row>
    <row r="2885" spans="7:7" hidden="1" x14ac:dyDescent="0.2">
      <c r="G2885" s="401"/>
    </row>
    <row r="2886" spans="7:7" hidden="1" x14ac:dyDescent="0.2">
      <c r="G2886" s="401"/>
    </row>
    <row r="2887" spans="7:7" hidden="1" x14ac:dyDescent="0.2">
      <c r="G2887" s="401"/>
    </row>
    <row r="2888" spans="7:7" hidden="1" x14ac:dyDescent="0.2">
      <c r="G2888" s="401"/>
    </row>
    <row r="2889" spans="7:7" hidden="1" x14ac:dyDescent="0.2">
      <c r="G2889" s="401"/>
    </row>
    <row r="2890" spans="7:7" hidden="1" x14ac:dyDescent="0.2">
      <c r="G2890" s="401"/>
    </row>
    <row r="2891" spans="7:7" hidden="1" x14ac:dyDescent="0.2">
      <c r="G2891" s="401"/>
    </row>
    <row r="2892" spans="7:7" hidden="1" x14ac:dyDescent="0.2">
      <c r="G2892" s="401"/>
    </row>
    <row r="2893" spans="7:7" hidden="1" x14ac:dyDescent="0.2">
      <c r="G2893" s="401"/>
    </row>
    <row r="2894" spans="7:7" hidden="1" x14ac:dyDescent="0.2">
      <c r="G2894" s="401"/>
    </row>
    <row r="2895" spans="7:7" hidden="1" x14ac:dyDescent="0.2">
      <c r="G2895" s="401"/>
    </row>
    <row r="2896" spans="7:7" hidden="1" x14ac:dyDescent="0.2">
      <c r="G2896" s="401"/>
    </row>
    <row r="2897" spans="7:7" hidden="1" x14ac:dyDescent="0.2">
      <c r="G2897" s="401"/>
    </row>
    <row r="2898" spans="7:7" hidden="1" x14ac:dyDescent="0.2">
      <c r="G2898" s="401"/>
    </row>
    <row r="2899" spans="7:7" hidden="1" x14ac:dyDescent="0.2">
      <c r="G2899" s="401"/>
    </row>
    <row r="2900" spans="7:7" hidden="1" x14ac:dyDescent="0.2">
      <c r="G2900" s="401"/>
    </row>
    <row r="2901" spans="7:7" hidden="1" x14ac:dyDescent="0.2">
      <c r="G2901" s="401"/>
    </row>
    <row r="2902" spans="7:7" hidden="1" x14ac:dyDescent="0.2">
      <c r="G2902" s="401"/>
    </row>
    <row r="2903" spans="7:7" hidden="1" x14ac:dyDescent="0.2">
      <c r="G2903" s="401"/>
    </row>
    <row r="2904" spans="7:7" hidden="1" x14ac:dyDescent="0.2">
      <c r="G2904" s="401"/>
    </row>
    <row r="2905" spans="7:7" hidden="1" x14ac:dyDescent="0.2">
      <c r="G2905" s="401"/>
    </row>
    <row r="2906" spans="7:7" hidden="1" x14ac:dyDescent="0.2">
      <c r="G2906" s="401"/>
    </row>
    <row r="2907" spans="7:7" hidden="1" x14ac:dyDescent="0.2">
      <c r="G2907" s="401"/>
    </row>
    <row r="2908" spans="7:7" hidden="1" x14ac:dyDescent="0.2">
      <c r="G2908" s="401"/>
    </row>
    <row r="2909" spans="7:7" hidden="1" x14ac:dyDescent="0.2">
      <c r="G2909" s="401"/>
    </row>
    <row r="2910" spans="7:7" hidden="1" x14ac:dyDescent="0.2">
      <c r="G2910" s="401"/>
    </row>
    <row r="2911" spans="7:7" hidden="1" x14ac:dyDescent="0.2">
      <c r="G2911" s="401"/>
    </row>
    <row r="2912" spans="7:7" hidden="1" x14ac:dyDescent="0.2">
      <c r="G2912" s="401"/>
    </row>
    <row r="2913" spans="7:7" hidden="1" x14ac:dyDescent="0.2">
      <c r="G2913" s="401"/>
    </row>
    <row r="2914" spans="7:7" hidden="1" x14ac:dyDescent="0.2">
      <c r="G2914" s="401"/>
    </row>
    <row r="2915" spans="7:7" hidden="1" x14ac:dyDescent="0.2">
      <c r="G2915" s="401"/>
    </row>
    <row r="2916" spans="7:7" hidden="1" x14ac:dyDescent="0.2">
      <c r="G2916" s="401"/>
    </row>
    <row r="2917" spans="7:7" hidden="1" x14ac:dyDescent="0.2">
      <c r="G2917" s="401"/>
    </row>
    <row r="2918" spans="7:7" hidden="1" x14ac:dyDescent="0.2">
      <c r="G2918" s="401"/>
    </row>
    <row r="2919" spans="7:7" hidden="1" x14ac:dyDescent="0.2">
      <c r="G2919" s="401"/>
    </row>
    <row r="2920" spans="7:7" hidden="1" x14ac:dyDescent="0.2">
      <c r="G2920" s="401"/>
    </row>
    <row r="2921" spans="7:7" hidden="1" x14ac:dyDescent="0.2">
      <c r="G2921" s="401"/>
    </row>
    <row r="2922" spans="7:7" hidden="1" x14ac:dyDescent="0.2">
      <c r="G2922" s="401"/>
    </row>
    <row r="2923" spans="7:7" hidden="1" x14ac:dyDescent="0.2">
      <c r="G2923" s="401"/>
    </row>
    <row r="2924" spans="7:7" hidden="1" x14ac:dyDescent="0.2">
      <c r="G2924" s="401"/>
    </row>
    <row r="2925" spans="7:7" hidden="1" x14ac:dyDescent="0.2">
      <c r="G2925" s="401"/>
    </row>
    <row r="2926" spans="7:7" hidden="1" x14ac:dyDescent="0.2">
      <c r="G2926" s="401"/>
    </row>
    <row r="2927" spans="7:7" hidden="1" x14ac:dyDescent="0.2">
      <c r="G2927" s="401"/>
    </row>
    <row r="2928" spans="7:7" hidden="1" x14ac:dyDescent="0.2">
      <c r="G2928" s="401"/>
    </row>
    <row r="2929" spans="7:7" hidden="1" x14ac:dyDescent="0.2">
      <c r="G2929" s="401"/>
    </row>
    <row r="2930" spans="7:7" hidden="1" x14ac:dyDescent="0.2">
      <c r="G2930" s="401"/>
    </row>
    <row r="2931" spans="7:7" hidden="1" x14ac:dyDescent="0.2">
      <c r="G2931" s="401"/>
    </row>
    <row r="2932" spans="7:7" hidden="1" x14ac:dyDescent="0.2">
      <c r="G2932" s="401"/>
    </row>
    <row r="2933" spans="7:7" hidden="1" x14ac:dyDescent="0.2">
      <c r="G2933" s="401"/>
    </row>
    <row r="2934" spans="7:7" hidden="1" x14ac:dyDescent="0.2">
      <c r="G2934" s="401"/>
    </row>
    <row r="2935" spans="7:7" hidden="1" x14ac:dyDescent="0.2">
      <c r="G2935" s="401"/>
    </row>
    <row r="2936" spans="7:7" hidden="1" x14ac:dyDescent="0.2">
      <c r="G2936" s="401"/>
    </row>
    <row r="2937" spans="7:7" hidden="1" x14ac:dyDescent="0.2">
      <c r="G2937" s="401"/>
    </row>
    <row r="2938" spans="7:7" hidden="1" x14ac:dyDescent="0.2">
      <c r="G2938" s="401"/>
    </row>
    <row r="2939" spans="7:7" hidden="1" x14ac:dyDescent="0.2">
      <c r="G2939" s="401"/>
    </row>
    <row r="2940" spans="7:7" hidden="1" x14ac:dyDescent="0.2">
      <c r="G2940" s="401"/>
    </row>
    <row r="2941" spans="7:7" hidden="1" x14ac:dyDescent="0.2">
      <c r="G2941" s="401"/>
    </row>
    <row r="2942" spans="7:7" hidden="1" x14ac:dyDescent="0.2">
      <c r="G2942" s="401"/>
    </row>
    <row r="2943" spans="7:7" hidden="1" x14ac:dyDescent="0.2">
      <c r="G2943" s="401"/>
    </row>
    <row r="2944" spans="7:7" hidden="1" x14ac:dyDescent="0.2">
      <c r="G2944" s="401"/>
    </row>
    <row r="2945" spans="7:7" hidden="1" x14ac:dyDescent="0.2">
      <c r="G2945" s="401"/>
    </row>
    <row r="2946" spans="7:7" hidden="1" x14ac:dyDescent="0.2">
      <c r="G2946" s="401"/>
    </row>
    <row r="2947" spans="7:7" hidden="1" x14ac:dyDescent="0.2">
      <c r="G2947" s="401"/>
    </row>
    <row r="2948" spans="7:7" hidden="1" x14ac:dyDescent="0.2">
      <c r="G2948" s="401"/>
    </row>
    <row r="2949" spans="7:7" hidden="1" x14ac:dyDescent="0.2">
      <c r="G2949" s="401"/>
    </row>
    <row r="2950" spans="7:7" hidden="1" x14ac:dyDescent="0.2">
      <c r="G2950" s="401"/>
    </row>
    <row r="2951" spans="7:7" hidden="1" x14ac:dyDescent="0.2">
      <c r="G2951" s="401"/>
    </row>
    <row r="2952" spans="7:7" hidden="1" x14ac:dyDescent="0.2">
      <c r="G2952" s="401"/>
    </row>
    <row r="2953" spans="7:7" hidden="1" x14ac:dyDescent="0.2">
      <c r="G2953" s="401"/>
    </row>
    <row r="2954" spans="7:7" hidden="1" x14ac:dyDescent="0.2">
      <c r="G2954" s="401"/>
    </row>
    <row r="2955" spans="7:7" hidden="1" x14ac:dyDescent="0.2">
      <c r="G2955" s="401"/>
    </row>
    <row r="2956" spans="7:7" hidden="1" x14ac:dyDescent="0.2">
      <c r="G2956" s="401"/>
    </row>
    <row r="2957" spans="7:7" hidden="1" x14ac:dyDescent="0.2">
      <c r="G2957" s="401"/>
    </row>
    <row r="2958" spans="7:7" hidden="1" x14ac:dyDescent="0.2">
      <c r="G2958" s="401"/>
    </row>
    <row r="2959" spans="7:7" hidden="1" x14ac:dyDescent="0.2">
      <c r="G2959" s="401"/>
    </row>
    <row r="2960" spans="7:7" hidden="1" x14ac:dyDescent="0.2">
      <c r="G2960" s="401"/>
    </row>
    <row r="2961" spans="7:7" hidden="1" x14ac:dyDescent="0.2">
      <c r="G2961" s="401"/>
    </row>
    <row r="2962" spans="7:7" hidden="1" x14ac:dyDescent="0.2">
      <c r="G2962" s="401"/>
    </row>
    <row r="2963" spans="7:7" hidden="1" x14ac:dyDescent="0.2">
      <c r="G2963" s="401"/>
    </row>
    <row r="2964" spans="7:7" hidden="1" x14ac:dyDescent="0.2">
      <c r="G2964" s="401"/>
    </row>
    <row r="2965" spans="7:7" hidden="1" x14ac:dyDescent="0.2">
      <c r="G2965" s="401"/>
    </row>
    <row r="2966" spans="7:7" hidden="1" x14ac:dyDescent="0.2">
      <c r="G2966" s="401"/>
    </row>
    <row r="2967" spans="7:7" hidden="1" x14ac:dyDescent="0.2">
      <c r="G2967" s="401"/>
    </row>
    <row r="2968" spans="7:7" hidden="1" x14ac:dyDescent="0.2">
      <c r="G2968" s="401"/>
    </row>
    <row r="2969" spans="7:7" hidden="1" x14ac:dyDescent="0.2">
      <c r="G2969" s="401"/>
    </row>
    <row r="2970" spans="7:7" hidden="1" x14ac:dyDescent="0.2">
      <c r="G2970" s="401"/>
    </row>
    <row r="2971" spans="7:7" hidden="1" x14ac:dyDescent="0.2">
      <c r="G2971" s="401"/>
    </row>
    <row r="2972" spans="7:7" hidden="1" x14ac:dyDescent="0.2">
      <c r="G2972" s="401"/>
    </row>
    <row r="2973" spans="7:7" hidden="1" x14ac:dyDescent="0.2">
      <c r="G2973" s="401"/>
    </row>
    <row r="2974" spans="7:7" hidden="1" x14ac:dyDescent="0.2">
      <c r="G2974" s="401"/>
    </row>
    <row r="2975" spans="7:7" hidden="1" x14ac:dyDescent="0.2">
      <c r="G2975" s="401"/>
    </row>
    <row r="2976" spans="7:7" hidden="1" x14ac:dyDescent="0.2">
      <c r="G2976" s="401"/>
    </row>
    <row r="2977" spans="7:7" hidden="1" x14ac:dyDescent="0.2">
      <c r="G2977" s="401"/>
    </row>
    <row r="2978" spans="7:7" hidden="1" x14ac:dyDescent="0.2">
      <c r="G2978" s="401"/>
    </row>
    <row r="2979" spans="7:7" hidden="1" x14ac:dyDescent="0.2">
      <c r="G2979" s="401"/>
    </row>
    <row r="2980" spans="7:7" hidden="1" x14ac:dyDescent="0.2">
      <c r="G2980" s="401"/>
    </row>
    <row r="2981" spans="7:7" hidden="1" x14ac:dyDescent="0.2">
      <c r="G2981" s="401"/>
    </row>
    <row r="2982" spans="7:7" hidden="1" x14ac:dyDescent="0.2">
      <c r="G2982" s="401"/>
    </row>
    <row r="2983" spans="7:7" hidden="1" x14ac:dyDescent="0.2">
      <c r="G2983" s="401"/>
    </row>
    <row r="2984" spans="7:7" hidden="1" x14ac:dyDescent="0.2">
      <c r="G2984" s="401"/>
    </row>
    <row r="2985" spans="7:7" hidden="1" x14ac:dyDescent="0.2">
      <c r="G2985" s="401"/>
    </row>
    <row r="2986" spans="7:7" hidden="1" x14ac:dyDescent="0.2">
      <c r="G2986" s="401"/>
    </row>
    <row r="2987" spans="7:7" hidden="1" x14ac:dyDescent="0.2">
      <c r="G2987" s="401"/>
    </row>
    <row r="2988" spans="7:7" hidden="1" x14ac:dyDescent="0.2">
      <c r="G2988" s="401"/>
    </row>
    <row r="2989" spans="7:7" hidden="1" x14ac:dyDescent="0.2">
      <c r="G2989" s="401"/>
    </row>
    <row r="2990" spans="7:7" hidden="1" x14ac:dyDescent="0.2">
      <c r="G2990" s="401"/>
    </row>
    <row r="2991" spans="7:7" hidden="1" x14ac:dyDescent="0.2">
      <c r="G2991" s="401"/>
    </row>
    <row r="2992" spans="7:7" hidden="1" x14ac:dyDescent="0.2">
      <c r="G2992" s="401"/>
    </row>
    <row r="2993" spans="7:7" hidden="1" x14ac:dyDescent="0.2">
      <c r="G2993" s="401"/>
    </row>
    <row r="2994" spans="7:7" hidden="1" x14ac:dyDescent="0.2">
      <c r="G2994" s="401"/>
    </row>
    <row r="2995" spans="7:7" hidden="1" x14ac:dyDescent="0.2">
      <c r="G2995" s="401"/>
    </row>
    <row r="2996" spans="7:7" hidden="1" x14ac:dyDescent="0.2">
      <c r="G2996" s="401"/>
    </row>
    <row r="2997" spans="7:7" hidden="1" x14ac:dyDescent="0.2">
      <c r="G2997" s="401"/>
    </row>
    <row r="2998" spans="7:7" hidden="1" x14ac:dyDescent="0.2">
      <c r="G2998" s="401"/>
    </row>
    <row r="2999" spans="7:7" hidden="1" x14ac:dyDescent="0.2">
      <c r="G2999" s="401"/>
    </row>
    <row r="3000" spans="7:7" hidden="1" x14ac:dyDescent="0.2">
      <c r="G3000" s="401"/>
    </row>
    <row r="3001" spans="7:7" hidden="1" x14ac:dyDescent="0.2">
      <c r="G3001" s="401"/>
    </row>
    <row r="3002" spans="7:7" hidden="1" x14ac:dyDescent="0.2">
      <c r="G3002" s="401"/>
    </row>
    <row r="3003" spans="7:7" hidden="1" x14ac:dyDescent="0.2">
      <c r="G3003" s="401"/>
    </row>
    <row r="3004" spans="7:7" hidden="1" x14ac:dyDescent="0.2">
      <c r="G3004" s="401"/>
    </row>
    <row r="3005" spans="7:7" hidden="1" x14ac:dyDescent="0.2">
      <c r="G3005" s="401"/>
    </row>
    <row r="3006" spans="7:7" hidden="1" x14ac:dyDescent="0.2">
      <c r="G3006" s="401"/>
    </row>
    <row r="3007" spans="7:7" hidden="1" x14ac:dyDescent="0.2">
      <c r="G3007" s="401"/>
    </row>
    <row r="3008" spans="7:7" hidden="1" x14ac:dyDescent="0.2">
      <c r="G3008" s="401"/>
    </row>
    <row r="3009" spans="7:7" hidden="1" x14ac:dyDescent="0.2">
      <c r="G3009" s="401"/>
    </row>
    <row r="3010" spans="7:7" hidden="1" x14ac:dyDescent="0.2">
      <c r="G3010" s="401"/>
    </row>
    <row r="3011" spans="7:7" hidden="1" x14ac:dyDescent="0.2">
      <c r="G3011" s="401"/>
    </row>
    <row r="3012" spans="7:7" hidden="1" x14ac:dyDescent="0.2">
      <c r="G3012" s="401"/>
    </row>
    <row r="3013" spans="7:7" hidden="1" x14ac:dyDescent="0.2">
      <c r="G3013" s="401"/>
    </row>
    <row r="3014" spans="7:7" hidden="1" x14ac:dyDescent="0.2">
      <c r="G3014" s="401"/>
    </row>
    <row r="3015" spans="7:7" hidden="1" x14ac:dyDescent="0.2">
      <c r="G3015" s="401"/>
    </row>
    <row r="3016" spans="7:7" hidden="1" x14ac:dyDescent="0.2">
      <c r="G3016" s="401"/>
    </row>
    <row r="3017" spans="7:7" hidden="1" x14ac:dyDescent="0.2">
      <c r="G3017" s="401"/>
    </row>
    <row r="3018" spans="7:7" hidden="1" x14ac:dyDescent="0.2">
      <c r="G3018" s="401"/>
    </row>
    <row r="3019" spans="7:7" hidden="1" x14ac:dyDescent="0.2">
      <c r="G3019" s="401"/>
    </row>
    <row r="3020" spans="7:7" hidden="1" x14ac:dyDescent="0.2">
      <c r="G3020" s="401"/>
    </row>
    <row r="3021" spans="7:7" hidden="1" x14ac:dyDescent="0.2">
      <c r="G3021" s="401"/>
    </row>
    <row r="3022" spans="7:7" hidden="1" x14ac:dyDescent="0.2">
      <c r="G3022" s="401"/>
    </row>
    <row r="3023" spans="7:7" hidden="1" x14ac:dyDescent="0.2">
      <c r="G3023" s="401"/>
    </row>
    <row r="3024" spans="7:7" hidden="1" x14ac:dyDescent="0.2">
      <c r="G3024" s="401"/>
    </row>
    <row r="3025" spans="7:7" hidden="1" x14ac:dyDescent="0.2">
      <c r="G3025" s="401"/>
    </row>
    <row r="3026" spans="7:7" hidden="1" x14ac:dyDescent="0.2">
      <c r="G3026" s="401"/>
    </row>
    <row r="3027" spans="7:7" hidden="1" x14ac:dyDescent="0.2">
      <c r="G3027" s="401"/>
    </row>
    <row r="3028" spans="7:7" hidden="1" x14ac:dyDescent="0.2">
      <c r="G3028" s="401"/>
    </row>
    <row r="3029" spans="7:7" hidden="1" x14ac:dyDescent="0.2">
      <c r="G3029" s="401"/>
    </row>
    <row r="3030" spans="7:7" hidden="1" x14ac:dyDescent="0.2">
      <c r="G3030" s="401"/>
    </row>
    <row r="3031" spans="7:7" hidden="1" x14ac:dyDescent="0.2">
      <c r="G3031" s="401"/>
    </row>
    <row r="3032" spans="7:7" hidden="1" x14ac:dyDescent="0.2">
      <c r="G3032" s="401"/>
    </row>
    <row r="3033" spans="7:7" hidden="1" x14ac:dyDescent="0.2">
      <c r="G3033" s="401"/>
    </row>
    <row r="3034" spans="7:7" hidden="1" x14ac:dyDescent="0.2">
      <c r="G3034" s="401"/>
    </row>
    <row r="3035" spans="7:7" hidden="1" x14ac:dyDescent="0.2">
      <c r="G3035" s="401"/>
    </row>
    <row r="3036" spans="7:7" hidden="1" x14ac:dyDescent="0.2">
      <c r="G3036" s="401"/>
    </row>
    <row r="3037" spans="7:7" hidden="1" x14ac:dyDescent="0.2">
      <c r="G3037" s="401"/>
    </row>
    <row r="3038" spans="7:7" hidden="1" x14ac:dyDescent="0.2">
      <c r="G3038" s="401"/>
    </row>
    <row r="3039" spans="7:7" hidden="1" x14ac:dyDescent="0.2">
      <c r="G3039" s="401"/>
    </row>
    <row r="3040" spans="7:7" hidden="1" x14ac:dyDescent="0.2">
      <c r="G3040" s="401"/>
    </row>
    <row r="3041" spans="7:7" hidden="1" x14ac:dyDescent="0.2">
      <c r="G3041" s="401"/>
    </row>
    <row r="3042" spans="7:7" hidden="1" x14ac:dyDescent="0.2">
      <c r="G3042" s="401"/>
    </row>
    <row r="3043" spans="7:7" hidden="1" x14ac:dyDescent="0.2">
      <c r="G3043" s="401"/>
    </row>
    <row r="3044" spans="7:7" hidden="1" x14ac:dyDescent="0.2">
      <c r="G3044" s="401"/>
    </row>
    <row r="3045" spans="7:7" hidden="1" x14ac:dyDescent="0.2">
      <c r="G3045" s="401"/>
    </row>
    <row r="3046" spans="7:7" hidden="1" x14ac:dyDescent="0.2">
      <c r="G3046" s="401"/>
    </row>
    <row r="3047" spans="7:7" hidden="1" x14ac:dyDescent="0.2">
      <c r="G3047" s="401"/>
    </row>
    <row r="3048" spans="7:7" hidden="1" x14ac:dyDescent="0.2">
      <c r="G3048" s="401"/>
    </row>
    <row r="3049" spans="7:7" hidden="1" x14ac:dyDescent="0.2">
      <c r="G3049" s="401"/>
    </row>
    <row r="3050" spans="7:7" hidden="1" x14ac:dyDescent="0.2">
      <c r="G3050" s="401"/>
    </row>
    <row r="3051" spans="7:7" hidden="1" x14ac:dyDescent="0.2">
      <c r="G3051" s="401"/>
    </row>
    <row r="3052" spans="7:7" hidden="1" x14ac:dyDescent="0.2">
      <c r="G3052" s="401"/>
    </row>
    <row r="3053" spans="7:7" hidden="1" x14ac:dyDescent="0.2">
      <c r="G3053" s="401"/>
    </row>
    <row r="3054" spans="7:7" hidden="1" x14ac:dyDescent="0.2">
      <c r="G3054" s="401"/>
    </row>
    <row r="3055" spans="7:7" hidden="1" x14ac:dyDescent="0.2">
      <c r="G3055" s="401"/>
    </row>
    <row r="3056" spans="7:7" hidden="1" x14ac:dyDescent="0.2">
      <c r="G3056" s="401"/>
    </row>
    <row r="3057" spans="7:7" hidden="1" x14ac:dyDescent="0.2">
      <c r="G3057" s="401"/>
    </row>
    <row r="3058" spans="7:7" hidden="1" x14ac:dyDescent="0.2">
      <c r="G3058" s="401"/>
    </row>
    <row r="3059" spans="7:7" hidden="1" x14ac:dyDescent="0.2">
      <c r="G3059" s="401"/>
    </row>
    <row r="3060" spans="7:7" hidden="1" x14ac:dyDescent="0.2">
      <c r="G3060" s="401"/>
    </row>
    <row r="3061" spans="7:7" hidden="1" x14ac:dyDescent="0.2">
      <c r="G3061" s="401"/>
    </row>
    <row r="3062" spans="7:7" hidden="1" x14ac:dyDescent="0.2">
      <c r="G3062" s="401"/>
    </row>
    <row r="3063" spans="7:7" hidden="1" x14ac:dyDescent="0.2">
      <c r="G3063" s="401"/>
    </row>
    <row r="3064" spans="7:7" hidden="1" x14ac:dyDescent="0.2">
      <c r="G3064" s="401"/>
    </row>
    <row r="3065" spans="7:7" hidden="1" x14ac:dyDescent="0.2">
      <c r="G3065" s="401"/>
    </row>
    <row r="3066" spans="7:7" hidden="1" x14ac:dyDescent="0.2">
      <c r="G3066" s="401"/>
    </row>
    <row r="3067" spans="7:7" hidden="1" x14ac:dyDescent="0.2">
      <c r="G3067" s="401"/>
    </row>
    <row r="3068" spans="7:7" hidden="1" x14ac:dyDescent="0.2">
      <c r="G3068" s="401"/>
    </row>
    <row r="3069" spans="7:7" hidden="1" x14ac:dyDescent="0.2">
      <c r="G3069" s="401"/>
    </row>
    <row r="3070" spans="7:7" hidden="1" x14ac:dyDescent="0.2">
      <c r="G3070" s="401"/>
    </row>
    <row r="3071" spans="7:7" hidden="1" x14ac:dyDescent="0.2">
      <c r="G3071" s="401"/>
    </row>
    <row r="3072" spans="7:7" hidden="1" x14ac:dyDescent="0.2">
      <c r="G3072" s="401"/>
    </row>
    <row r="3073" spans="7:7" hidden="1" x14ac:dyDescent="0.2">
      <c r="G3073" s="401"/>
    </row>
    <row r="3074" spans="7:7" hidden="1" x14ac:dyDescent="0.2">
      <c r="G3074" s="401"/>
    </row>
    <row r="3075" spans="7:7" hidden="1" x14ac:dyDescent="0.2">
      <c r="G3075" s="401"/>
    </row>
    <row r="3076" spans="7:7" hidden="1" x14ac:dyDescent="0.2">
      <c r="G3076" s="401"/>
    </row>
    <row r="3077" spans="7:7" hidden="1" x14ac:dyDescent="0.2">
      <c r="G3077" s="401"/>
    </row>
    <row r="3078" spans="7:7" hidden="1" x14ac:dyDescent="0.2">
      <c r="G3078" s="401"/>
    </row>
    <row r="3079" spans="7:7" hidden="1" x14ac:dyDescent="0.2">
      <c r="G3079" s="401"/>
    </row>
    <row r="3080" spans="7:7" hidden="1" x14ac:dyDescent="0.2">
      <c r="G3080" s="401"/>
    </row>
    <row r="3081" spans="7:7" hidden="1" x14ac:dyDescent="0.2">
      <c r="G3081" s="401"/>
    </row>
    <row r="3082" spans="7:7" hidden="1" x14ac:dyDescent="0.2">
      <c r="G3082" s="401"/>
    </row>
    <row r="3083" spans="7:7" hidden="1" x14ac:dyDescent="0.2">
      <c r="G3083" s="401"/>
    </row>
    <row r="3084" spans="7:7" hidden="1" x14ac:dyDescent="0.2">
      <c r="G3084" s="401"/>
    </row>
    <row r="3085" spans="7:7" hidden="1" x14ac:dyDescent="0.2">
      <c r="G3085" s="401"/>
    </row>
    <row r="3086" spans="7:7" hidden="1" x14ac:dyDescent="0.2">
      <c r="G3086" s="401"/>
    </row>
    <row r="3087" spans="7:7" hidden="1" x14ac:dyDescent="0.2">
      <c r="G3087" s="401"/>
    </row>
    <row r="3088" spans="7:7" hidden="1" x14ac:dyDescent="0.2">
      <c r="G3088" s="401"/>
    </row>
    <row r="3089" spans="7:7" hidden="1" x14ac:dyDescent="0.2">
      <c r="G3089" s="401"/>
    </row>
    <row r="3090" spans="7:7" hidden="1" x14ac:dyDescent="0.2">
      <c r="G3090" s="401"/>
    </row>
    <row r="3091" spans="7:7" hidden="1" x14ac:dyDescent="0.2">
      <c r="G3091" s="401"/>
    </row>
    <row r="3092" spans="7:7" hidden="1" x14ac:dyDescent="0.2">
      <c r="G3092" s="401"/>
    </row>
    <row r="3093" spans="7:7" hidden="1" x14ac:dyDescent="0.2">
      <c r="G3093" s="401"/>
    </row>
    <row r="3094" spans="7:7" hidden="1" x14ac:dyDescent="0.2">
      <c r="G3094" s="401"/>
    </row>
    <row r="3095" spans="7:7" hidden="1" x14ac:dyDescent="0.2">
      <c r="G3095" s="401"/>
    </row>
    <row r="3096" spans="7:7" hidden="1" x14ac:dyDescent="0.2">
      <c r="G3096" s="401"/>
    </row>
    <row r="3097" spans="7:7" hidden="1" x14ac:dyDescent="0.2">
      <c r="G3097" s="401"/>
    </row>
    <row r="3098" spans="7:7" hidden="1" x14ac:dyDescent="0.2">
      <c r="G3098" s="401"/>
    </row>
    <row r="3099" spans="7:7" hidden="1" x14ac:dyDescent="0.2">
      <c r="G3099" s="401"/>
    </row>
    <row r="3100" spans="7:7" hidden="1" x14ac:dyDescent="0.2">
      <c r="G3100" s="401"/>
    </row>
    <row r="3101" spans="7:7" hidden="1" x14ac:dyDescent="0.2">
      <c r="G3101" s="401"/>
    </row>
    <row r="3102" spans="7:7" hidden="1" x14ac:dyDescent="0.2">
      <c r="G3102" s="401"/>
    </row>
    <row r="3103" spans="7:7" hidden="1" x14ac:dyDescent="0.2">
      <c r="G3103" s="401"/>
    </row>
    <row r="3104" spans="7:7" hidden="1" x14ac:dyDescent="0.2">
      <c r="G3104" s="401"/>
    </row>
    <row r="3105" spans="7:7" hidden="1" x14ac:dyDescent="0.2">
      <c r="G3105" s="401"/>
    </row>
    <row r="3106" spans="7:7" hidden="1" x14ac:dyDescent="0.2">
      <c r="G3106" s="401"/>
    </row>
    <row r="3107" spans="7:7" hidden="1" x14ac:dyDescent="0.2">
      <c r="G3107" s="401"/>
    </row>
    <row r="3108" spans="7:7" hidden="1" x14ac:dyDescent="0.2">
      <c r="G3108" s="401"/>
    </row>
    <row r="3109" spans="7:7" hidden="1" x14ac:dyDescent="0.2">
      <c r="G3109" s="401"/>
    </row>
    <row r="3110" spans="7:7" hidden="1" x14ac:dyDescent="0.2">
      <c r="G3110" s="401"/>
    </row>
    <row r="3111" spans="7:7" hidden="1" x14ac:dyDescent="0.2">
      <c r="G3111" s="401"/>
    </row>
    <row r="3112" spans="7:7" hidden="1" x14ac:dyDescent="0.2">
      <c r="G3112" s="401"/>
    </row>
    <row r="3113" spans="7:7" hidden="1" x14ac:dyDescent="0.2">
      <c r="G3113" s="401"/>
    </row>
    <row r="3114" spans="7:7" hidden="1" x14ac:dyDescent="0.2">
      <c r="G3114" s="401"/>
    </row>
    <row r="3115" spans="7:7" hidden="1" x14ac:dyDescent="0.2">
      <c r="G3115" s="401"/>
    </row>
    <row r="3116" spans="7:7" hidden="1" x14ac:dyDescent="0.2">
      <c r="G3116" s="401"/>
    </row>
    <row r="3117" spans="7:7" hidden="1" x14ac:dyDescent="0.2">
      <c r="G3117" s="401"/>
    </row>
    <row r="3118" spans="7:7" hidden="1" x14ac:dyDescent="0.2">
      <c r="G3118" s="401"/>
    </row>
    <row r="3119" spans="7:7" hidden="1" x14ac:dyDescent="0.2">
      <c r="G3119" s="401"/>
    </row>
    <row r="3120" spans="7:7" hidden="1" x14ac:dyDescent="0.2">
      <c r="G3120" s="401"/>
    </row>
    <row r="3121" spans="7:7" hidden="1" x14ac:dyDescent="0.2">
      <c r="G3121" s="401"/>
    </row>
    <row r="3122" spans="7:7" hidden="1" x14ac:dyDescent="0.2">
      <c r="G3122" s="401"/>
    </row>
    <row r="3123" spans="7:7" hidden="1" x14ac:dyDescent="0.2">
      <c r="G3123" s="401"/>
    </row>
    <row r="3124" spans="7:7" hidden="1" x14ac:dyDescent="0.2">
      <c r="G3124" s="401"/>
    </row>
    <row r="3125" spans="7:7" hidden="1" x14ac:dyDescent="0.2">
      <c r="G3125" s="401"/>
    </row>
    <row r="3126" spans="7:7" hidden="1" x14ac:dyDescent="0.2">
      <c r="G3126" s="401"/>
    </row>
    <row r="3127" spans="7:7" hidden="1" x14ac:dyDescent="0.2">
      <c r="G3127" s="401"/>
    </row>
    <row r="3128" spans="7:7" hidden="1" x14ac:dyDescent="0.2">
      <c r="G3128" s="401"/>
    </row>
    <row r="3129" spans="7:7" hidden="1" x14ac:dyDescent="0.2">
      <c r="G3129" s="401"/>
    </row>
    <row r="3130" spans="7:7" hidden="1" x14ac:dyDescent="0.2">
      <c r="G3130" s="401"/>
    </row>
    <row r="3131" spans="7:7" hidden="1" x14ac:dyDescent="0.2">
      <c r="G3131" s="401"/>
    </row>
    <row r="3132" spans="7:7" hidden="1" x14ac:dyDescent="0.2">
      <c r="G3132" s="401"/>
    </row>
    <row r="3133" spans="7:7" hidden="1" x14ac:dyDescent="0.2">
      <c r="G3133" s="401"/>
    </row>
    <row r="3134" spans="7:7" hidden="1" x14ac:dyDescent="0.2">
      <c r="G3134" s="401"/>
    </row>
    <row r="3135" spans="7:7" hidden="1" x14ac:dyDescent="0.2">
      <c r="G3135" s="401"/>
    </row>
    <row r="3136" spans="7:7" hidden="1" x14ac:dyDescent="0.2">
      <c r="G3136" s="401"/>
    </row>
    <row r="3137" spans="7:7" hidden="1" x14ac:dyDescent="0.2">
      <c r="G3137" s="401"/>
    </row>
    <row r="3138" spans="7:7" hidden="1" x14ac:dyDescent="0.2">
      <c r="G3138" s="401"/>
    </row>
    <row r="3139" spans="7:7" hidden="1" x14ac:dyDescent="0.2">
      <c r="G3139" s="401"/>
    </row>
    <row r="3140" spans="7:7" hidden="1" x14ac:dyDescent="0.2">
      <c r="G3140" s="401"/>
    </row>
    <row r="3141" spans="7:7" hidden="1" x14ac:dyDescent="0.2">
      <c r="G3141" s="401"/>
    </row>
    <row r="3142" spans="7:7" hidden="1" x14ac:dyDescent="0.2">
      <c r="G3142" s="401"/>
    </row>
    <row r="3143" spans="7:7" hidden="1" x14ac:dyDescent="0.2">
      <c r="G3143" s="401"/>
    </row>
    <row r="3144" spans="7:7" hidden="1" x14ac:dyDescent="0.2">
      <c r="G3144" s="401"/>
    </row>
    <row r="3145" spans="7:7" hidden="1" x14ac:dyDescent="0.2">
      <c r="G3145" s="401"/>
    </row>
    <row r="3146" spans="7:7" hidden="1" x14ac:dyDescent="0.2">
      <c r="G3146" s="401"/>
    </row>
    <row r="3147" spans="7:7" hidden="1" x14ac:dyDescent="0.2">
      <c r="G3147" s="401"/>
    </row>
    <row r="3148" spans="7:7" hidden="1" x14ac:dyDescent="0.2">
      <c r="G3148" s="401"/>
    </row>
    <row r="3149" spans="7:7" hidden="1" x14ac:dyDescent="0.2">
      <c r="G3149" s="401"/>
    </row>
    <row r="3150" spans="7:7" hidden="1" x14ac:dyDescent="0.2">
      <c r="G3150" s="401"/>
    </row>
    <row r="3151" spans="7:7" hidden="1" x14ac:dyDescent="0.2">
      <c r="G3151" s="401"/>
    </row>
    <row r="3152" spans="7:7" hidden="1" x14ac:dyDescent="0.2">
      <c r="G3152" s="401"/>
    </row>
    <row r="3153" spans="7:7" hidden="1" x14ac:dyDescent="0.2">
      <c r="G3153" s="401"/>
    </row>
    <row r="3154" spans="7:7" hidden="1" x14ac:dyDescent="0.2">
      <c r="G3154" s="401"/>
    </row>
    <row r="3155" spans="7:7" hidden="1" x14ac:dyDescent="0.2">
      <c r="G3155" s="401"/>
    </row>
    <row r="3156" spans="7:7" hidden="1" x14ac:dyDescent="0.2">
      <c r="G3156" s="401"/>
    </row>
    <row r="3157" spans="7:7" hidden="1" x14ac:dyDescent="0.2">
      <c r="G3157" s="401"/>
    </row>
    <row r="3158" spans="7:7" hidden="1" x14ac:dyDescent="0.2">
      <c r="G3158" s="401"/>
    </row>
    <row r="3159" spans="7:7" hidden="1" x14ac:dyDescent="0.2">
      <c r="G3159" s="401"/>
    </row>
    <row r="3160" spans="7:7" hidden="1" x14ac:dyDescent="0.2">
      <c r="G3160" s="401"/>
    </row>
    <row r="3161" spans="7:7" hidden="1" x14ac:dyDescent="0.2">
      <c r="G3161" s="401"/>
    </row>
    <row r="3162" spans="7:7" hidden="1" x14ac:dyDescent="0.2">
      <c r="G3162" s="401"/>
    </row>
    <row r="3163" spans="7:7" hidden="1" x14ac:dyDescent="0.2">
      <c r="G3163" s="401"/>
    </row>
    <row r="3164" spans="7:7" hidden="1" x14ac:dyDescent="0.2">
      <c r="G3164" s="401"/>
    </row>
    <row r="3165" spans="7:7" hidden="1" x14ac:dyDescent="0.2">
      <c r="G3165" s="401"/>
    </row>
    <row r="3166" spans="7:7" hidden="1" x14ac:dyDescent="0.2">
      <c r="G3166" s="401"/>
    </row>
    <row r="3167" spans="7:7" hidden="1" x14ac:dyDescent="0.2">
      <c r="G3167" s="401"/>
    </row>
    <row r="3168" spans="7:7" hidden="1" x14ac:dyDescent="0.2">
      <c r="G3168" s="401"/>
    </row>
    <row r="3169" spans="7:7" hidden="1" x14ac:dyDescent="0.2">
      <c r="G3169" s="401"/>
    </row>
    <row r="3170" spans="7:7" hidden="1" x14ac:dyDescent="0.2">
      <c r="G3170" s="401"/>
    </row>
    <row r="3171" spans="7:7" hidden="1" x14ac:dyDescent="0.2">
      <c r="G3171" s="401"/>
    </row>
    <row r="3172" spans="7:7" hidden="1" x14ac:dyDescent="0.2">
      <c r="G3172" s="401"/>
    </row>
    <row r="3173" spans="7:7" hidden="1" x14ac:dyDescent="0.2">
      <c r="G3173" s="401"/>
    </row>
    <row r="3174" spans="7:7" hidden="1" x14ac:dyDescent="0.2">
      <c r="G3174" s="401"/>
    </row>
    <row r="3175" spans="7:7" hidden="1" x14ac:dyDescent="0.2">
      <c r="G3175" s="401"/>
    </row>
    <row r="3176" spans="7:7" hidden="1" x14ac:dyDescent="0.2">
      <c r="G3176" s="401"/>
    </row>
    <row r="3177" spans="7:7" hidden="1" x14ac:dyDescent="0.2">
      <c r="G3177" s="401"/>
    </row>
    <row r="3178" spans="7:7" hidden="1" x14ac:dyDescent="0.2">
      <c r="G3178" s="401"/>
    </row>
    <row r="3179" spans="7:7" hidden="1" x14ac:dyDescent="0.2">
      <c r="G3179" s="401"/>
    </row>
    <row r="3180" spans="7:7" hidden="1" x14ac:dyDescent="0.2">
      <c r="G3180" s="401"/>
    </row>
    <row r="3181" spans="7:7" hidden="1" x14ac:dyDescent="0.2">
      <c r="G3181" s="401"/>
    </row>
    <row r="3182" spans="7:7" hidden="1" x14ac:dyDescent="0.2">
      <c r="G3182" s="401"/>
    </row>
    <row r="3183" spans="7:7" hidden="1" x14ac:dyDescent="0.2">
      <c r="G3183" s="401"/>
    </row>
    <row r="3184" spans="7:7" hidden="1" x14ac:dyDescent="0.2">
      <c r="G3184" s="401"/>
    </row>
    <row r="3185" spans="7:7" hidden="1" x14ac:dyDescent="0.2">
      <c r="G3185" s="401"/>
    </row>
    <row r="3186" spans="7:7" hidden="1" x14ac:dyDescent="0.2">
      <c r="G3186" s="401"/>
    </row>
    <row r="3187" spans="7:7" hidden="1" x14ac:dyDescent="0.2">
      <c r="G3187" s="401"/>
    </row>
    <row r="3188" spans="7:7" hidden="1" x14ac:dyDescent="0.2">
      <c r="G3188" s="401"/>
    </row>
    <row r="3189" spans="7:7" hidden="1" x14ac:dyDescent="0.2">
      <c r="G3189" s="401"/>
    </row>
    <row r="3190" spans="7:7" hidden="1" x14ac:dyDescent="0.2">
      <c r="G3190" s="401"/>
    </row>
    <row r="3191" spans="7:7" hidden="1" x14ac:dyDescent="0.2">
      <c r="G3191" s="401"/>
    </row>
    <row r="3192" spans="7:7" hidden="1" x14ac:dyDescent="0.2">
      <c r="G3192" s="401"/>
    </row>
    <row r="3193" spans="7:7" hidden="1" x14ac:dyDescent="0.2">
      <c r="G3193" s="401"/>
    </row>
    <row r="3194" spans="7:7" hidden="1" x14ac:dyDescent="0.2">
      <c r="G3194" s="401"/>
    </row>
    <row r="3195" spans="7:7" hidden="1" x14ac:dyDescent="0.2">
      <c r="G3195" s="401"/>
    </row>
    <row r="3196" spans="7:7" hidden="1" x14ac:dyDescent="0.2">
      <c r="G3196" s="401"/>
    </row>
    <row r="3197" spans="7:7" hidden="1" x14ac:dyDescent="0.2">
      <c r="G3197" s="401"/>
    </row>
    <row r="3198" spans="7:7" hidden="1" x14ac:dyDescent="0.2">
      <c r="G3198" s="401"/>
    </row>
    <row r="3199" spans="7:7" hidden="1" x14ac:dyDescent="0.2">
      <c r="G3199" s="401"/>
    </row>
    <row r="3200" spans="7:7" hidden="1" x14ac:dyDescent="0.2">
      <c r="G3200" s="401"/>
    </row>
    <row r="3201" spans="7:7" hidden="1" x14ac:dyDescent="0.2">
      <c r="G3201" s="401"/>
    </row>
    <row r="3202" spans="7:7" hidden="1" x14ac:dyDescent="0.2">
      <c r="G3202" s="401"/>
    </row>
    <row r="3203" spans="7:7" hidden="1" x14ac:dyDescent="0.2">
      <c r="G3203" s="401"/>
    </row>
    <row r="3204" spans="7:7" hidden="1" x14ac:dyDescent="0.2">
      <c r="G3204" s="401"/>
    </row>
    <row r="3205" spans="7:7" hidden="1" x14ac:dyDescent="0.2">
      <c r="G3205" s="401"/>
    </row>
    <row r="3206" spans="7:7" hidden="1" x14ac:dyDescent="0.2">
      <c r="G3206" s="401"/>
    </row>
    <row r="3207" spans="7:7" hidden="1" x14ac:dyDescent="0.2">
      <c r="G3207" s="401"/>
    </row>
    <row r="3208" spans="7:7" hidden="1" x14ac:dyDescent="0.2">
      <c r="G3208" s="401"/>
    </row>
    <row r="3209" spans="7:7" hidden="1" x14ac:dyDescent="0.2">
      <c r="G3209" s="401"/>
    </row>
    <row r="3210" spans="7:7" hidden="1" x14ac:dyDescent="0.2">
      <c r="G3210" s="401"/>
    </row>
    <row r="3211" spans="7:7" hidden="1" x14ac:dyDescent="0.2">
      <c r="G3211" s="401"/>
    </row>
    <row r="3212" spans="7:7" hidden="1" x14ac:dyDescent="0.2">
      <c r="G3212" s="401"/>
    </row>
    <row r="3213" spans="7:7" hidden="1" x14ac:dyDescent="0.2">
      <c r="G3213" s="401"/>
    </row>
    <row r="3214" spans="7:7" hidden="1" x14ac:dyDescent="0.2">
      <c r="G3214" s="401"/>
    </row>
    <row r="3215" spans="7:7" hidden="1" x14ac:dyDescent="0.2">
      <c r="G3215" s="401"/>
    </row>
    <row r="3216" spans="7:7" hidden="1" x14ac:dyDescent="0.2">
      <c r="G3216" s="401"/>
    </row>
    <row r="3217" spans="7:7" hidden="1" x14ac:dyDescent="0.2">
      <c r="G3217" s="401"/>
    </row>
    <row r="3218" spans="7:7" hidden="1" x14ac:dyDescent="0.2">
      <c r="G3218" s="401"/>
    </row>
    <row r="3219" spans="7:7" hidden="1" x14ac:dyDescent="0.2">
      <c r="G3219" s="401"/>
    </row>
    <row r="3220" spans="7:7" hidden="1" x14ac:dyDescent="0.2">
      <c r="G3220" s="401"/>
    </row>
    <row r="3221" spans="7:7" hidden="1" x14ac:dyDescent="0.2">
      <c r="G3221" s="401"/>
    </row>
    <row r="3222" spans="7:7" hidden="1" x14ac:dyDescent="0.2">
      <c r="G3222" s="401"/>
    </row>
    <row r="3223" spans="7:7" hidden="1" x14ac:dyDescent="0.2">
      <c r="G3223" s="401"/>
    </row>
    <row r="3224" spans="7:7" hidden="1" x14ac:dyDescent="0.2">
      <c r="G3224" s="401"/>
    </row>
    <row r="3225" spans="7:7" hidden="1" x14ac:dyDescent="0.2">
      <c r="G3225" s="401"/>
    </row>
    <row r="3226" spans="7:7" hidden="1" x14ac:dyDescent="0.2">
      <c r="G3226" s="401"/>
    </row>
    <row r="3227" spans="7:7" hidden="1" x14ac:dyDescent="0.2">
      <c r="G3227" s="401"/>
    </row>
    <row r="3228" spans="7:7" hidden="1" x14ac:dyDescent="0.2">
      <c r="G3228" s="401"/>
    </row>
    <row r="3229" spans="7:7" hidden="1" x14ac:dyDescent="0.2">
      <c r="G3229" s="401"/>
    </row>
    <row r="3230" spans="7:7" hidden="1" x14ac:dyDescent="0.2">
      <c r="G3230" s="401"/>
    </row>
    <row r="3231" spans="7:7" hidden="1" x14ac:dyDescent="0.2">
      <c r="G3231" s="401"/>
    </row>
    <row r="3232" spans="7:7" hidden="1" x14ac:dyDescent="0.2">
      <c r="G3232" s="401"/>
    </row>
    <row r="3233" spans="7:7" hidden="1" x14ac:dyDescent="0.2">
      <c r="G3233" s="401"/>
    </row>
    <row r="3234" spans="7:7" hidden="1" x14ac:dyDescent="0.2">
      <c r="G3234" s="401"/>
    </row>
    <row r="3235" spans="7:7" hidden="1" x14ac:dyDescent="0.2">
      <c r="G3235" s="401"/>
    </row>
    <row r="3236" spans="7:7" hidden="1" x14ac:dyDescent="0.2">
      <c r="G3236" s="401"/>
    </row>
    <row r="3237" spans="7:7" hidden="1" x14ac:dyDescent="0.2">
      <c r="G3237" s="401"/>
    </row>
    <row r="3238" spans="7:7" hidden="1" x14ac:dyDescent="0.2">
      <c r="G3238" s="401"/>
    </row>
    <row r="3239" spans="7:7" hidden="1" x14ac:dyDescent="0.2">
      <c r="G3239" s="401"/>
    </row>
    <row r="3240" spans="7:7" hidden="1" x14ac:dyDescent="0.2">
      <c r="G3240" s="401"/>
    </row>
    <row r="3241" spans="7:7" hidden="1" x14ac:dyDescent="0.2">
      <c r="G3241" s="401"/>
    </row>
    <row r="3242" spans="7:7" hidden="1" x14ac:dyDescent="0.2">
      <c r="G3242" s="401"/>
    </row>
    <row r="3243" spans="7:7" hidden="1" x14ac:dyDescent="0.2">
      <c r="G3243" s="401"/>
    </row>
    <row r="3244" spans="7:7" hidden="1" x14ac:dyDescent="0.2">
      <c r="G3244" s="401"/>
    </row>
    <row r="3245" spans="7:7" hidden="1" x14ac:dyDescent="0.2">
      <c r="G3245" s="401"/>
    </row>
    <row r="3246" spans="7:7" hidden="1" x14ac:dyDescent="0.2">
      <c r="G3246" s="401"/>
    </row>
    <row r="3247" spans="7:7" hidden="1" x14ac:dyDescent="0.2">
      <c r="G3247" s="401"/>
    </row>
    <row r="3248" spans="7:7" hidden="1" x14ac:dyDescent="0.2">
      <c r="G3248" s="401"/>
    </row>
    <row r="3249" spans="7:7" hidden="1" x14ac:dyDescent="0.2">
      <c r="G3249" s="401"/>
    </row>
    <row r="3250" spans="7:7" hidden="1" x14ac:dyDescent="0.2">
      <c r="G3250" s="401"/>
    </row>
    <row r="3251" spans="7:7" hidden="1" x14ac:dyDescent="0.2">
      <c r="G3251" s="401"/>
    </row>
    <row r="3252" spans="7:7" hidden="1" x14ac:dyDescent="0.2">
      <c r="G3252" s="401"/>
    </row>
    <row r="3253" spans="7:7" hidden="1" x14ac:dyDescent="0.2">
      <c r="G3253" s="401"/>
    </row>
    <row r="3254" spans="7:7" hidden="1" x14ac:dyDescent="0.2">
      <c r="G3254" s="401"/>
    </row>
    <row r="3255" spans="7:7" hidden="1" x14ac:dyDescent="0.2">
      <c r="G3255" s="401"/>
    </row>
    <row r="3256" spans="7:7" hidden="1" x14ac:dyDescent="0.2">
      <c r="G3256" s="401"/>
    </row>
    <row r="3257" spans="7:7" hidden="1" x14ac:dyDescent="0.2">
      <c r="G3257" s="401"/>
    </row>
    <row r="3258" spans="7:7" hidden="1" x14ac:dyDescent="0.2">
      <c r="G3258" s="401"/>
    </row>
    <row r="3259" spans="7:7" hidden="1" x14ac:dyDescent="0.2">
      <c r="G3259" s="401"/>
    </row>
    <row r="3260" spans="7:7" hidden="1" x14ac:dyDescent="0.2">
      <c r="G3260" s="401"/>
    </row>
    <row r="3261" spans="7:7" hidden="1" x14ac:dyDescent="0.2">
      <c r="G3261" s="401"/>
    </row>
    <row r="3262" spans="7:7" hidden="1" x14ac:dyDescent="0.2">
      <c r="G3262" s="401"/>
    </row>
    <row r="3263" spans="7:7" hidden="1" x14ac:dyDescent="0.2">
      <c r="G3263" s="401"/>
    </row>
    <row r="3264" spans="7:7" hidden="1" x14ac:dyDescent="0.2">
      <c r="G3264" s="401"/>
    </row>
    <row r="3265" spans="7:7" hidden="1" x14ac:dyDescent="0.2">
      <c r="G3265" s="401"/>
    </row>
    <row r="3266" spans="7:7" hidden="1" x14ac:dyDescent="0.2">
      <c r="G3266" s="401"/>
    </row>
    <row r="3267" spans="7:7" hidden="1" x14ac:dyDescent="0.2">
      <c r="G3267" s="401"/>
    </row>
    <row r="3268" spans="7:7" hidden="1" x14ac:dyDescent="0.2">
      <c r="G3268" s="401"/>
    </row>
    <row r="3269" spans="7:7" hidden="1" x14ac:dyDescent="0.2">
      <c r="G3269" s="401"/>
    </row>
    <row r="3270" spans="7:7" hidden="1" x14ac:dyDescent="0.2">
      <c r="G3270" s="401"/>
    </row>
    <row r="3271" spans="7:7" hidden="1" x14ac:dyDescent="0.2">
      <c r="G3271" s="401"/>
    </row>
    <row r="3272" spans="7:7" hidden="1" x14ac:dyDescent="0.2">
      <c r="G3272" s="401"/>
    </row>
    <row r="3273" spans="7:7" hidden="1" x14ac:dyDescent="0.2">
      <c r="G3273" s="401"/>
    </row>
    <row r="3274" spans="7:7" hidden="1" x14ac:dyDescent="0.2">
      <c r="G3274" s="401"/>
    </row>
    <row r="3275" spans="7:7" hidden="1" x14ac:dyDescent="0.2">
      <c r="G3275" s="401"/>
    </row>
    <row r="3276" spans="7:7" hidden="1" x14ac:dyDescent="0.2">
      <c r="G3276" s="401"/>
    </row>
    <row r="3277" spans="7:7" hidden="1" x14ac:dyDescent="0.2">
      <c r="G3277" s="401"/>
    </row>
    <row r="3278" spans="7:7" hidden="1" x14ac:dyDescent="0.2">
      <c r="G3278" s="401"/>
    </row>
    <row r="3279" spans="7:7" hidden="1" x14ac:dyDescent="0.2">
      <c r="G3279" s="401"/>
    </row>
    <row r="3280" spans="7:7" hidden="1" x14ac:dyDescent="0.2">
      <c r="G3280" s="401"/>
    </row>
    <row r="3281" spans="7:7" hidden="1" x14ac:dyDescent="0.2">
      <c r="G3281" s="401"/>
    </row>
    <row r="3282" spans="7:7" hidden="1" x14ac:dyDescent="0.2">
      <c r="G3282" s="401"/>
    </row>
    <row r="3283" spans="7:7" hidden="1" x14ac:dyDescent="0.2">
      <c r="G3283" s="401"/>
    </row>
    <row r="3284" spans="7:7" hidden="1" x14ac:dyDescent="0.2">
      <c r="G3284" s="401"/>
    </row>
    <row r="3285" spans="7:7" hidden="1" x14ac:dyDescent="0.2">
      <c r="G3285" s="401"/>
    </row>
    <row r="3286" spans="7:7" hidden="1" x14ac:dyDescent="0.2">
      <c r="G3286" s="401"/>
    </row>
    <row r="3287" spans="7:7" hidden="1" x14ac:dyDescent="0.2">
      <c r="G3287" s="401"/>
    </row>
    <row r="3288" spans="7:7" hidden="1" x14ac:dyDescent="0.2">
      <c r="G3288" s="401"/>
    </row>
    <row r="3289" spans="7:7" hidden="1" x14ac:dyDescent="0.2">
      <c r="G3289" s="401"/>
    </row>
    <row r="3290" spans="7:7" hidden="1" x14ac:dyDescent="0.2">
      <c r="G3290" s="401"/>
    </row>
    <row r="3291" spans="7:7" hidden="1" x14ac:dyDescent="0.2">
      <c r="G3291" s="401"/>
    </row>
    <row r="3292" spans="7:7" hidden="1" x14ac:dyDescent="0.2">
      <c r="G3292" s="401"/>
    </row>
    <row r="3293" spans="7:7" hidden="1" x14ac:dyDescent="0.2">
      <c r="G3293" s="401"/>
    </row>
    <row r="3294" spans="7:7" hidden="1" x14ac:dyDescent="0.2">
      <c r="G3294" s="401"/>
    </row>
    <row r="3295" spans="7:7" hidden="1" x14ac:dyDescent="0.2">
      <c r="G3295" s="401"/>
    </row>
    <row r="3296" spans="7:7" hidden="1" x14ac:dyDescent="0.2">
      <c r="G3296" s="401"/>
    </row>
    <row r="3297" spans="7:7" hidden="1" x14ac:dyDescent="0.2">
      <c r="G3297" s="401"/>
    </row>
    <row r="3298" spans="7:7" hidden="1" x14ac:dyDescent="0.2">
      <c r="G3298" s="401"/>
    </row>
    <row r="3299" spans="7:7" hidden="1" x14ac:dyDescent="0.2">
      <c r="G3299" s="401"/>
    </row>
    <row r="3300" spans="7:7" hidden="1" x14ac:dyDescent="0.2">
      <c r="G3300" s="401"/>
    </row>
    <row r="3301" spans="7:7" hidden="1" x14ac:dyDescent="0.2">
      <c r="G3301" s="401"/>
    </row>
    <row r="3302" spans="7:7" hidden="1" x14ac:dyDescent="0.2">
      <c r="G3302" s="401"/>
    </row>
    <row r="3303" spans="7:7" hidden="1" x14ac:dyDescent="0.2">
      <c r="G3303" s="401"/>
    </row>
    <row r="3304" spans="7:7" hidden="1" x14ac:dyDescent="0.2">
      <c r="G3304" s="401"/>
    </row>
    <row r="3305" spans="7:7" hidden="1" x14ac:dyDescent="0.2">
      <c r="G3305" s="401"/>
    </row>
    <row r="3306" spans="7:7" hidden="1" x14ac:dyDescent="0.2">
      <c r="G3306" s="401"/>
    </row>
    <row r="3307" spans="7:7" hidden="1" x14ac:dyDescent="0.2">
      <c r="G3307" s="401"/>
    </row>
    <row r="3308" spans="7:7" hidden="1" x14ac:dyDescent="0.2">
      <c r="G3308" s="401"/>
    </row>
    <row r="3309" spans="7:7" hidden="1" x14ac:dyDescent="0.2">
      <c r="G3309" s="401"/>
    </row>
    <row r="3310" spans="7:7" hidden="1" x14ac:dyDescent="0.2">
      <c r="G3310" s="401"/>
    </row>
    <row r="3311" spans="7:7" hidden="1" x14ac:dyDescent="0.2">
      <c r="G3311" s="401"/>
    </row>
    <row r="3312" spans="7:7" hidden="1" x14ac:dyDescent="0.2">
      <c r="G3312" s="401"/>
    </row>
    <row r="3313" spans="7:7" hidden="1" x14ac:dyDescent="0.2">
      <c r="G3313" s="401"/>
    </row>
    <row r="3314" spans="7:7" hidden="1" x14ac:dyDescent="0.2">
      <c r="G3314" s="401"/>
    </row>
    <row r="3315" spans="7:7" hidden="1" x14ac:dyDescent="0.2">
      <c r="G3315" s="401"/>
    </row>
    <row r="3316" spans="7:7" hidden="1" x14ac:dyDescent="0.2">
      <c r="G3316" s="401"/>
    </row>
    <row r="3317" spans="7:7" hidden="1" x14ac:dyDescent="0.2">
      <c r="G3317" s="401"/>
    </row>
    <row r="3318" spans="7:7" hidden="1" x14ac:dyDescent="0.2">
      <c r="G3318" s="401"/>
    </row>
    <row r="3319" spans="7:7" hidden="1" x14ac:dyDescent="0.2">
      <c r="G3319" s="401"/>
    </row>
    <row r="3320" spans="7:7" hidden="1" x14ac:dyDescent="0.2">
      <c r="G3320" s="401"/>
    </row>
    <row r="3321" spans="7:7" hidden="1" x14ac:dyDescent="0.2">
      <c r="G3321" s="401"/>
    </row>
    <row r="3322" spans="7:7" hidden="1" x14ac:dyDescent="0.2">
      <c r="G3322" s="401"/>
    </row>
    <row r="3323" spans="7:7" hidden="1" x14ac:dyDescent="0.2">
      <c r="G3323" s="401"/>
    </row>
    <row r="3324" spans="7:7" hidden="1" x14ac:dyDescent="0.2">
      <c r="G3324" s="401"/>
    </row>
    <row r="3325" spans="7:7" hidden="1" x14ac:dyDescent="0.2">
      <c r="G3325" s="401"/>
    </row>
    <row r="3326" spans="7:7" hidden="1" x14ac:dyDescent="0.2">
      <c r="G3326" s="401"/>
    </row>
    <row r="3327" spans="7:7" hidden="1" x14ac:dyDescent="0.2">
      <c r="G3327" s="401"/>
    </row>
    <row r="3328" spans="7:7" hidden="1" x14ac:dyDescent="0.2">
      <c r="G3328" s="401"/>
    </row>
    <row r="3329" spans="7:7" hidden="1" x14ac:dyDescent="0.2">
      <c r="G3329" s="401"/>
    </row>
    <row r="3330" spans="7:7" hidden="1" x14ac:dyDescent="0.2">
      <c r="G3330" s="401"/>
    </row>
    <row r="3331" spans="7:7" hidden="1" x14ac:dyDescent="0.2">
      <c r="G3331" s="401"/>
    </row>
    <row r="3332" spans="7:7" hidden="1" x14ac:dyDescent="0.2">
      <c r="G3332" s="401"/>
    </row>
    <row r="3333" spans="7:7" hidden="1" x14ac:dyDescent="0.2">
      <c r="G3333" s="401"/>
    </row>
    <row r="3334" spans="7:7" hidden="1" x14ac:dyDescent="0.2">
      <c r="G3334" s="401"/>
    </row>
    <row r="3335" spans="7:7" hidden="1" x14ac:dyDescent="0.2">
      <c r="G3335" s="401"/>
    </row>
    <row r="3336" spans="7:7" hidden="1" x14ac:dyDescent="0.2">
      <c r="G3336" s="401"/>
    </row>
    <row r="3337" spans="7:7" hidden="1" x14ac:dyDescent="0.2">
      <c r="G3337" s="401"/>
    </row>
    <row r="3338" spans="7:7" hidden="1" x14ac:dyDescent="0.2">
      <c r="G3338" s="401"/>
    </row>
    <row r="3339" spans="7:7" hidden="1" x14ac:dyDescent="0.2">
      <c r="G3339" s="401"/>
    </row>
    <row r="3340" spans="7:7" hidden="1" x14ac:dyDescent="0.2">
      <c r="G3340" s="401"/>
    </row>
    <row r="3341" spans="7:7" hidden="1" x14ac:dyDescent="0.2">
      <c r="G3341" s="401"/>
    </row>
    <row r="3342" spans="7:7" hidden="1" x14ac:dyDescent="0.2">
      <c r="G3342" s="401"/>
    </row>
    <row r="3343" spans="7:7" hidden="1" x14ac:dyDescent="0.2">
      <c r="G3343" s="401"/>
    </row>
    <row r="3344" spans="7:7" hidden="1" x14ac:dyDescent="0.2">
      <c r="G3344" s="401"/>
    </row>
    <row r="3345" spans="7:7" hidden="1" x14ac:dyDescent="0.2">
      <c r="G3345" s="401"/>
    </row>
    <row r="3346" spans="7:7" hidden="1" x14ac:dyDescent="0.2">
      <c r="G3346" s="401"/>
    </row>
    <row r="3347" spans="7:7" hidden="1" x14ac:dyDescent="0.2">
      <c r="G3347" s="401"/>
    </row>
    <row r="3348" spans="7:7" hidden="1" x14ac:dyDescent="0.2">
      <c r="G3348" s="401"/>
    </row>
    <row r="3349" spans="7:7" hidden="1" x14ac:dyDescent="0.2">
      <c r="G3349" s="401"/>
    </row>
    <row r="3350" spans="7:7" hidden="1" x14ac:dyDescent="0.2">
      <c r="G3350" s="401"/>
    </row>
    <row r="3351" spans="7:7" hidden="1" x14ac:dyDescent="0.2">
      <c r="G3351" s="401"/>
    </row>
    <row r="3352" spans="7:7" hidden="1" x14ac:dyDescent="0.2">
      <c r="G3352" s="401"/>
    </row>
    <row r="3353" spans="7:7" hidden="1" x14ac:dyDescent="0.2">
      <c r="G3353" s="401"/>
    </row>
    <row r="3354" spans="7:7" hidden="1" x14ac:dyDescent="0.2">
      <c r="G3354" s="401"/>
    </row>
    <row r="3355" spans="7:7" hidden="1" x14ac:dyDescent="0.2">
      <c r="G3355" s="401"/>
    </row>
    <row r="3356" spans="7:7" hidden="1" x14ac:dyDescent="0.2">
      <c r="G3356" s="401"/>
    </row>
    <row r="3357" spans="7:7" hidden="1" x14ac:dyDescent="0.2">
      <c r="G3357" s="401"/>
    </row>
    <row r="3358" spans="7:7" hidden="1" x14ac:dyDescent="0.2">
      <c r="G3358" s="401"/>
    </row>
    <row r="3359" spans="7:7" hidden="1" x14ac:dyDescent="0.2">
      <c r="G3359" s="401"/>
    </row>
    <row r="3360" spans="7:7" hidden="1" x14ac:dyDescent="0.2">
      <c r="G3360" s="401"/>
    </row>
    <row r="3361" spans="7:7" hidden="1" x14ac:dyDescent="0.2">
      <c r="G3361" s="401"/>
    </row>
    <row r="3362" spans="7:7" hidden="1" x14ac:dyDescent="0.2">
      <c r="G3362" s="401"/>
    </row>
    <row r="3363" spans="7:7" hidden="1" x14ac:dyDescent="0.2">
      <c r="G3363" s="401"/>
    </row>
    <row r="3364" spans="7:7" hidden="1" x14ac:dyDescent="0.2">
      <c r="G3364" s="401"/>
    </row>
    <row r="3365" spans="7:7" hidden="1" x14ac:dyDescent="0.2">
      <c r="G3365" s="401"/>
    </row>
    <row r="3366" spans="7:7" hidden="1" x14ac:dyDescent="0.2">
      <c r="G3366" s="401"/>
    </row>
    <row r="3367" spans="7:7" hidden="1" x14ac:dyDescent="0.2">
      <c r="G3367" s="401"/>
    </row>
    <row r="3368" spans="7:7" hidden="1" x14ac:dyDescent="0.2">
      <c r="G3368" s="401"/>
    </row>
    <row r="3369" spans="7:7" hidden="1" x14ac:dyDescent="0.2">
      <c r="G3369" s="401"/>
    </row>
    <row r="3370" spans="7:7" hidden="1" x14ac:dyDescent="0.2">
      <c r="G3370" s="401"/>
    </row>
    <row r="3371" spans="7:7" hidden="1" x14ac:dyDescent="0.2">
      <c r="G3371" s="401"/>
    </row>
    <row r="3372" spans="7:7" hidden="1" x14ac:dyDescent="0.2">
      <c r="G3372" s="401"/>
    </row>
    <row r="3373" spans="7:7" hidden="1" x14ac:dyDescent="0.2">
      <c r="G3373" s="401"/>
    </row>
    <row r="3374" spans="7:7" hidden="1" x14ac:dyDescent="0.2">
      <c r="G3374" s="401"/>
    </row>
    <row r="3375" spans="7:7" hidden="1" x14ac:dyDescent="0.2">
      <c r="G3375" s="401"/>
    </row>
    <row r="3376" spans="7:7" hidden="1" x14ac:dyDescent="0.2">
      <c r="G3376" s="401"/>
    </row>
    <row r="3377" spans="7:7" hidden="1" x14ac:dyDescent="0.2">
      <c r="G3377" s="401"/>
    </row>
    <row r="3378" spans="7:7" hidden="1" x14ac:dyDescent="0.2">
      <c r="G3378" s="401"/>
    </row>
    <row r="3379" spans="7:7" hidden="1" x14ac:dyDescent="0.2">
      <c r="G3379" s="401"/>
    </row>
    <row r="3380" spans="7:7" hidden="1" x14ac:dyDescent="0.2">
      <c r="G3380" s="401"/>
    </row>
    <row r="3381" spans="7:7" hidden="1" x14ac:dyDescent="0.2">
      <c r="G3381" s="401"/>
    </row>
    <row r="3382" spans="7:7" hidden="1" x14ac:dyDescent="0.2">
      <c r="G3382" s="401"/>
    </row>
    <row r="3383" spans="7:7" hidden="1" x14ac:dyDescent="0.2">
      <c r="G3383" s="401"/>
    </row>
    <row r="3384" spans="7:7" hidden="1" x14ac:dyDescent="0.2">
      <c r="G3384" s="401"/>
    </row>
    <row r="3385" spans="7:7" hidden="1" x14ac:dyDescent="0.2">
      <c r="G3385" s="401"/>
    </row>
    <row r="3386" spans="7:7" hidden="1" x14ac:dyDescent="0.2">
      <c r="G3386" s="401"/>
    </row>
    <row r="3387" spans="7:7" hidden="1" x14ac:dyDescent="0.2">
      <c r="G3387" s="401"/>
    </row>
    <row r="3388" spans="7:7" hidden="1" x14ac:dyDescent="0.2">
      <c r="G3388" s="401"/>
    </row>
    <row r="3389" spans="7:7" hidden="1" x14ac:dyDescent="0.2">
      <c r="G3389" s="401"/>
    </row>
    <row r="3390" spans="7:7" hidden="1" x14ac:dyDescent="0.2">
      <c r="G3390" s="401"/>
    </row>
    <row r="3391" spans="7:7" hidden="1" x14ac:dyDescent="0.2">
      <c r="G3391" s="401"/>
    </row>
    <row r="3392" spans="7:7" hidden="1" x14ac:dyDescent="0.2">
      <c r="G3392" s="401"/>
    </row>
    <row r="3393" spans="7:7" hidden="1" x14ac:dyDescent="0.2">
      <c r="G3393" s="401"/>
    </row>
    <row r="3394" spans="7:7" hidden="1" x14ac:dyDescent="0.2">
      <c r="G3394" s="401"/>
    </row>
    <row r="3395" spans="7:7" hidden="1" x14ac:dyDescent="0.2">
      <c r="G3395" s="401"/>
    </row>
    <row r="3396" spans="7:7" hidden="1" x14ac:dyDescent="0.2">
      <c r="G3396" s="401"/>
    </row>
    <row r="3397" spans="7:7" hidden="1" x14ac:dyDescent="0.2">
      <c r="G3397" s="401"/>
    </row>
    <row r="3398" spans="7:7" hidden="1" x14ac:dyDescent="0.2">
      <c r="G3398" s="401"/>
    </row>
    <row r="3399" spans="7:7" hidden="1" x14ac:dyDescent="0.2">
      <c r="G3399" s="401"/>
    </row>
    <row r="3400" spans="7:7" hidden="1" x14ac:dyDescent="0.2">
      <c r="G3400" s="401"/>
    </row>
    <row r="3401" spans="7:7" hidden="1" x14ac:dyDescent="0.2">
      <c r="G3401" s="401"/>
    </row>
    <row r="3402" spans="7:7" hidden="1" x14ac:dyDescent="0.2">
      <c r="G3402" s="401"/>
    </row>
    <row r="3403" spans="7:7" hidden="1" x14ac:dyDescent="0.2">
      <c r="G3403" s="401"/>
    </row>
    <row r="3404" spans="7:7" hidden="1" x14ac:dyDescent="0.2">
      <c r="G3404" s="401"/>
    </row>
    <row r="3405" spans="7:7" hidden="1" x14ac:dyDescent="0.2">
      <c r="G3405" s="401"/>
    </row>
    <row r="3406" spans="7:7" hidden="1" x14ac:dyDescent="0.2">
      <c r="G3406" s="401"/>
    </row>
    <row r="3407" spans="7:7" hidden="1" x14ac:dyDescent="0.2">
      <c r="G3407" s="401"/>
    </row>
    <row r="3408" spans="7:7" hidden="1" x14ac:dyDescent="0.2">
      <c r="G3408" s="401"/>
    </row>
    <row r="3409" spans="7:7" hidden="1" x14ac:dyDescent="0.2">
      <c r="G3409" s="401"/>
    </row>
    <row r="3410" spans="7:7" hidden="1" x14ac:dyDescent="0.2">
      <c r="G3410" s="401"/>
    </row>
    <row r="3411" spans="7:7" hidden="1" x14ac:dyDescent="0.2">
      <c r="G3411" s="401"/>
    </row>
    <row r="3412" spans="7:7" hidden="1" x14ac:dyDescent="0.2">
      <c r="G3412" s="401"/>
    </row>
    <row r="3413" spans="7:7" hidden="1" x14ac:dyDescent="0.2">
      <c r="G3413" s="401"/>
    </row>
    <row r="3414" spans="7:7" hidden="1" x14ac:dyDescent="0.2">
      <c r="G3414" s="401"/>
    </row>
    <row r="3415" spans="7:7" hidden="1" x14ac:dyDescent="0.2">
      <c r="G3415" s="401"/>
    </row>
    <row r="3416" spans="7:7" hidden="1" x14ac:dyDescent="0.2">
      <c r="G3416" s="401"/>
    </row>
    <row r="3417" spans="7:7" hidden="1" x14ac:dyDescent="0.2">
      <c r="G3417" s="401"/>
    </row>
    <row r="3418" spans="7:7" hidden="1" x14ac:dyDescent="0.2">
      <c r="G3418" s="401"/>
    </row>
    <row r="3419" spans="7:7" hidden="1" x14ac:dyDescent="0.2">
      <c r="G3419" s="401"/>
    </row>
    <row r="3420" spans="7:7" hidden="1" x14ac:dyDescent="0.2">
      <c r="G3420" s="401"/>
    </row>
    <row r="3421" spans="7:7" hidden="1" x14ac:dyDescent="0.2">
      <c r="G3421" s="401"/>
    </row>
    <row r="3422" spans="7:7" hidden="1" x14ac:dyDescent="0.2">
      <c r="G3422" s="401"/>
    </row>
    <row r="3423" spans="7:7" hidden="1" x14ac:dyDescent="0.2">
      <c r="G3423" s="401"/>
    </row>
    <row r="3424" spans="7:7" hidden="1" x14ac:dyDescent="0.2">
      <c r="G3424" s="401"/>
    </row>
    <row r="3425" spans="7:7" hidden="1" x14ac:dyDescent="0.2">
      <c r="G3425" s="401"/>
    </row>
    <row r="3426" spans="7:7" hidden="1" x14ac:dyDescent="0.2">
      <c r="G3426" s="401"/>
    </row>
    <row r="3427" spans="7:7" hidden="1" x14ac:dyDescent="0.2">
      <c r="G3427" s="401"/>
    </row>
    <row r="3428" spans="7:7" hidden="1" x14ac:dyDescent="0.2">
      <c r="G3428" s="401"/>
    </row>
    <row r="3429" spans="7:7" hidden="1" x14ac:dyDescent="0.2">
      <c r="G3429" s="401"/>
    </row>
    <row r="3430" spans="7:7" hidden="1" x14ac:dyDescent="0.2">
      <c r="G3430" s="401"/>
    </row>
    <row r="3431" spans="7:7" hidden="1" x14ac:dyDescent="0.2">
      <c r="G3431" s="401"/>
    </row>
    <row r="3432" spans="7:7" hidden="1" x14ac:dyDescent="0.2">
      <c r="G3432" s="401"/>
    </row>
    <row r="3433" spans="7:7" hidden="1" x14ac:dyDescent="0.2">
      <c r="G3433" s="401"/>
    </row>
    <row r="3434" spans="7:7" hidden="1" x14ac:dyDescent="0.2">
      <c r="G3434" s="401"/>
    </row>
    <row r="3435" spans="7:7" hidden="1" x14ac:dyDescent="0.2">
      <c r="G3435" s="401"/>
    </row>
    <row r="3436" spans="7:7" hidden="1" x14ac:dyDescent="0.2">
      <c r="G3436" s="401"/>
    </row>
    <row r="3437" spans="7:7" hidden="1" x14ac:dyDescent="0.2">
      <c r="G3437" s="401"/>
    </row>
    <row r="3438" spans="7:7" hidden="1" x14ac:dyDescent="0.2">
      <c r="G3438" s="401"/>
    </row>
    <row r="3439" spans="7:7" hidden="1" x14ac:dyDescent="0.2">
      <c r="G3439" s="401"/>
    </row>
    <row r="3440" spans="7:7" hidden="1" x14ac:dyDescent="0.2">
      <c r="G3440" s="401"/>
    </row>
    <row r="3441" spans="7:7" hidden="1" x14ac:dyDescent="0.2">
      <c r="G3441" s="401"/>
    </row>
    <row r="3442" spans="7:7" hidden="1" x14ac:dyDescent="0.2">
      <c r="G3442" s="401"/>
    </row>
    <row r="3443" spans="7:7" hidden="1" x14ac:dyDescent="0.2">
      <c r="G3443" s="401"/>
    </row>
    <row r="3444" spans="7:7" hidden="1" x14ac:dyDescent="0.2">
      <c r="G3444" s="401"/>
    </row>
    <row r="3445" spans="7:7" hidden="1" x14ac:dyDescent="0.2">
      <c r="G3445" s="401"/>
    </row>
    <row r="3446" spans="7:7" hidden="1" x14ac:dyDescent="0.2">
      <c r="G3446" s="401"/>
    </row>
    <row r="3447" spans="7:7" hidden="1" x14ac:dyDescent="0.2">
      <c r="G3447" s="401"/>
    </row>
    <row r="3448" spans="7:7" hidden="1" x14ac:dyDescent="0.2">
      <c r="G3448" s="401"/>
    </row>
    <row r="3449" spans="7:7" hidden="1" x14ac:dyDescent="0.2">
      <c r="G3449" s="401"/>
    </row>
    <row r="3450" spans="7:7" hidden="1" x14ac:dyDescent="0.2">
      <c r="G3450" s="401"/>
    </row>
    <row r="3451" spans="7:7" hidden="1" x14ac:dyDescent="0.2">
      <c r="G3451" s="401"/>
    </row>
    <row r="3452" spans="7:7" hidden="1" x14ac:dyDescent="0.2">
      <c r="G3452" s="401"/>
    </row>
    <row r="3453" spans="7:7" hidden="1" x14ac:dyDescent="0.2">
      <c r="G3453" s="401"/>
    </row>
    <row r="3454" spans="7:7" hidden="1" x14ac:dyDescent="0.2">
      <c r="G3454" s="401"/>
    </row>
    <row r="3455" spans="7:7" hidden="1" x14ac:dyDescent="0.2">
      <c r="G3455" s="401"/>
    </row>
    <row r="3456" spans="7:7" hidden="1" x14ac:dyDescent="0.2">
      <c r="G3456" s="401"/>
    </row>
    <row r="3457" spans="7:7" hidden="1" x14ac:dyDescent="0.2">
      <c r="G3457" s="401"/>
    </row>
    <row r="3458" spans="7:7" hidden="1" x14ac:dyDescent="0.2">
      <c r="G3458" s="401"/>
    </row>
    <row r="3459" spans="7:7" hidden="1" x14ac:dyDescent="0.2">
      <c r="G3459" s="401"/>
    </row>
    <row r="3460" spans="7:7" hidden="1" x14ac:dyDescent="0.2">
      <c r="G3460" s="401"/>
    </row>
    <row r="3461" spans="7:7" hidden="1" x14ac:dyDescent="0.2">
      <c r="G3461" s="401"/>
    </row>
    <row r="3462" spans="7:7" hidden="1" x14ac:dyDescent="0.2">
      <c r="G3462" s="401"/>
    </row>
    <row r="3463" spans="7:7" hidden="1" x14ac:dyDescent="0.2">
      <c r="G3463" s="401"/>
    </row>
    <row r="3464" spans="7:7" hidden="1" x14ac:dyDescent="0.2">
      <c r="G3464" s="401"/>
    </row>
    <row r="3465" spans="7:7" hidden="1" x14ac:dyDescent="0.2">
      <c r="G3465" s="401"/>
    </row>
    <row r="3466" spans="7:7" hidden="1" x14ac:dyDescent="0.2">
      <c r="G3466" s="401"/>
    </row>
    <row r="3467" spans="7:7" hidden="1" x14ac:dyDescent="0.2">
      <c r="G3467" s="401"/>
    </row>
    <row r="3468" spans="7:7" hidden="1" x14ac:dyDescent="0.2">
      <c r="G3468" s="401"/>
    </row>
    <row r="3469" spans="7:7" hidden="1" x14ac:dyDescent="0.2">
      <c r="G3469" s="401"/>
    </row>
    <row r="3470" spans="7:7" hidden="1" x14ac:dyDescent="0.2">
      <c r="G3470" s="401"/>
    </row>
    <row r="3471" spans="7:7" hidden="1" x14ac:dyDescent="0.2">
      <c r="G3471" s="401"/>
    </row>
    <row r="3472" spans="7:7" hidden="1" x14ac:dyDescent="0.2">
      <c r="G3472" s="401"/>
    </row>
    <row r="3473" spans="7:7" hidden="1" x14ac:dyDescent="0.2">
      <c r="G3473" s="401"/>
    </row>
    <row r="3474" spans="7:7" hidden="1" x14ac:dyDescent="0.2">
      <c r="G3474" s="401"/>
    </row>
    <row r="3475" spans="7:7" hidden="1" x14ac:dyDescent="0.2">
      <c r="G3475" s="401"/>
    </row>
    <row r="3476" spans="7:7" hidden="1" x14ac:dyDescent="0.2">
      <c r="G3476" s="401"/>
    </row>
    <row r="3477" spans="7:7" hidden="1" x14ac:dyDescent="0.2">
      <c r="G3477" s="401"/>
    </row>
    <row r="3478" spans="7:7" hidden="1" x14ac:dyDescent="0.2">
      <c r="G3478" s="401"/>
    </row>
    <row r="3479" spans="7:7" hidden="1" x14ac:dyDescent="0.2">
      <c r="G3479" s="401"/>
    </row>
    <row r="3480" spans="7:7" hidden="1" x14ac:dyDescent="0.2">
      <c r="G3480" s="401"/>
    </row>
    <row r="3481" spans="7:7" hidden="1" x14ac:dyDescent="0.2">
      <c r="G3481" s="401"/>
    </row>
    <row r="3482" spans="7:7" hidden="1" x14ac:dyDescent="0.2">
      <c r="G3482" s="401"/>
    </row>
    <row r="3483" spans="7:7" hidden="1" x14ac:dyDescent="0.2">
      <c r="G3483" s="401"/>
    </row>
    <row r="3484" spans="7:7" hidden="1" x14ac:dyDescent="0.2">
      <c r="G3484" s="401"/>
    </row>
    <row r="3485" spans="7:7" hidden="1" x14ac:dyDescent="0.2">
      <c r="G3485" s="401"/>
    </row>
    <row r="3486" spans="7:7" hidden="1" x14ac:dyDescent="0.2">
      <c r="G3486" s="401"/>
    </row>
    <row r="3487" spans="7:7" hidden="1" x14ac:dyDescent="0.2">
      <c r="G3487" s="401"/>
    </row>
    <row r="3488" spans="7:7" hidden="1" x14ac:dyDescent="0.2">
      <c r="G3488" s="401"/>
    </row>
    <row r="3489" spans="7:7" hidden="1" x14ac:dyDescent="0.2">
      <c r="G3489" s="401"/>
    </row>
    <row r="3490" spans="7:7" hidden="1" x14ac:dyDescent="0.2">
      <c r="G3490" s="401"/>
    </row>
    <row r="3491" spans="7:7" hidden="1" x14ac:dyDescent="0.2">
      <c r="G3491" s="401"/>
    </row>
    <row r="3492" spans="7:7" hidden="1" x14ac:dyDescent="0.2">
      <c r="G3492" s="401"/>
    </row>
    <row r="3493" spans="7:7" hidden="1" x14ac:dyDescent="0.2">
      <c r="G3493" s="401"/>
    </row>
    <row r="3494" spans="7:7" hidden="1" x14ac:dyDescent="0.2">
      <c r="G3494" s="401"/>
    </row>
    <row r="3495" spans="7:7" hidden="1" x14ac:dyDescent="0.2">
      <c r="G3495" s="401"/>
    </row>
    <row r="3496" spans="7:7" hidden="1" x14ac:dyDescent="0.2">
      <c r="G3496" s="401"/>
    </row>
    <row r="3497" spans="7:7" hidden="1" x14ac:dyDescent="0.2">
      <c r="G3497" s="401"/>
    </row>
    <row r="3498" spans="7:7" hidden="1" x14ac:dyDescent="0.2">
      <c r="G3498" s="401"/>
    </row>
    <row r="3499" spans="7:7" hidden="1" x14ac:dyDescent="0.2">
      <c r="G3499" s="401"/>
    </row>
    <row r="3500" spans="7:7" hidden="1" x14ac:dyDescent="0.2">
      <c r="G3500" s="401"/>
    </row>
    <row r="3501" spans="7:7" hidden="1" x14ac:dyDescent="0.2">
      <c r="G3501" s="401"/>
    </row>
    <row r="3502" spans="7:7" hidden="1" x14ac:dyDescent="0.2">
      <c r="G3502" s="401"/>
    </row>
    <row r="3503" spans="7:7" hidden="1" x14ac:dyDescent="0.2">
      <c r="G3503" s="401"/>
    </row>
    <row r="3504" spans="7:7" hidden="1" x14ac:dyDescent="0.2">
      <c r="G3504" s="401"/>
    </row>
    <row r="3505" spans="7:7" hidden="1" x14ac:dyDescent="0.2">
      <c r="G3505" s="401"/>
    </row>
    <row r="3506" spans="7:7" hidden="1" x14ac:dyDescent="0.2">
      <c r="G3506" s="401"/>
    </row>
    <row r="3507" spans="7:7" hidden="1" x14ac:dyDescent="0.2">
      <c r="G3507" s="401"/>
    </row>
    <row r="3508" spans="7:7" hidden="1" x14ac:dyDescent="0.2">
      <c r="G3508" s="401"/>
    </row>
    <row r="3509" spans="7:7" hidden="1" x14ac:dyDescent="0.2">
      <c r="G3509" s="401"/>
    </row>
    <row r="3510" spans="7:7" hidden="1" x14ac:dyDescent="0.2">
      <c r="G3510" s="401"/>
    </row>
    <row r="3511" spans="7:7" hidden="1" x14ac:dyDescent="0.2">
      <c r="G3511" s="401"/>
    </row>
    <row r="3512" spans="7:7" hidden="1" x14ac:dyDescent="0.2">
      <c r="G3512" s="401"/>
    </row>
    <row r="3513" spans="7:7" hidden="1" x14ac:dyDescent="0.2">
      <c r="G3513" s="401"/>
    </row>
    <row r="3514" spans="7:7" hidden="1" x14ac:dyDescent="0.2">
      <c r="G3514" s="401"/>
    </row>
    <row r="3515" spans="7:7" hidden="1" x14ac:dyDescent="0.2">
      <c r="G3515" s="401"/>
    </row>
    <row r="3516" spans="7:7" hidden="1" x14ac:dyDescent="0.2">
      <c r="G3516" s="401"/>
    </row>
    <row r="3517" spans="7:7" hidden="1" x14ac:dyDescent="0.2">
      <c r="G3517" s="401"/>
    </row>
    <row r="3518" spans="7:7" hidden="1" x14ac:dyDescent="0.2">
      <c r="G3518" s="401"/>
    </row>
    <row r="3519" spans="7:7" hidden="1" x14ac:dyDescent="0.2">
      <c r="G3519" s="401"/>
    </row>
    <row r="3520" spans="7:7" hidden="1" x14ac:dyDescent="0.2">
      <c r="G3520" s="401"/>
    </row>
    <row r="3521" spans="7:7" hidden="1" x14ac:dyDescent="0.2">
      <c r="G3521" s="401"/>
    </row>
    <row r="3522" spans="7:7" hidden="1" x14ac:dyDescent="0.2">
      <c r="G3522" s="401"/>
    </row>
    <row r="3523" spans="7:7" hidden="1" x14ac:dyDescent="0.2">
      <c r="G3523" s="401"/>
    </row>
    <row r="3524" spans="7:7" hidden="1" x14ac:dyDescent="0.2">
      <c r="G3524" s="401"/>
    </row>
    <row r="3525" spans="7:7" hidden="1" x14ac:dyDescent="0.2">
      <c r="G3525" s="401"/>
    </row>
    <row r="3526" spans="7:7" hidden="1" x14ac:dyDescent="0.2">
      <c r="G3526" s="401"/>
    </row>
    <row r="3527" spans="7:7" hidden="1" x14ac:dyDescent="0.2">
      <c r="G3527" s="401"/>
    </row>
    <row r="3528" spans="7:7" hidden="1" x14ac:dyDescent="0.2">
      <c r="G3528" s="401"/>
    </row>
    <row r="3529" spans="7:7" hidden="1" x14ac:dyDescent="0.2">
      <c r="G3529" s="401"/>
    </row>
    <row r="3530" spans="7:7" hidden="1" x14ac:dyDescent="0.2">
      <c r="G3530" s="401"/>
    </row>
    <row r="3531" spans="7:7" hidden="1" x14ac:dyDescent="0.2">
      <c r="G3531" s="401"/>
    </row>
    <row r="3532" spans="7:7" hidden="1" x14ac:dyDescent="0.2">
      <c r="G3532" s="401"/>
    </row>
    <row r="3533" spans="7:7" hidden="1" x14ac:dyDescent="0.2">
      <c r="G3533" s="401"/>
    </row>
    <row r="3534" spans="7:7" hidden="1" x14ac:dyDescent="0.2">
      <c r="G3534" s="401"/>
    </row>
    <row r="3535" spans="7:7" hidden="1" x14ac:dyDescent="0.2">
      <c r="G3535" s="401"/>
    </row>
    <row r="3536" spans="7:7" hidden="1" x14ac:dyDescent="0.2">
      <c r="G3536" s="401"/>
    </row>
    <row r="3537" spans="7:7" hidden="1" x14ac:dyDescent="0.2">
      <c r="G3537" s="401"/>
    </row>
    <row r="3538" spans="7:7" hidden="1" x14ac:dyDescent="0.2">
      <c r="G3538" s="401"/>
    </row>
    <row r="3539" spans="7:7" hidden="1" x14ac:dyDescent="0.2">
      <c r="G3539" s="401"/>
    </row>
    <row r="3540" spans="7:7" hidden="1" x14ac:dyDescent="0.2">
      <c r="G3540" s="401"/>
    </row>
    <row r="3541" spans="7:7" hidden="1" x14ac:dyDescent="0.2">
      <c r="G3541" s="401"/>
    </row>
    <row r="3542" spans="7:7" hidden="1" x14ac:dyDescent="0.2">
      <c r="G3542" s="401"/>
    </row>
    <row r="3543" spans="7:7" hidden="1" x14ac:dyDescent="0.2">
      <c r="G3543" s="401"/>
    </row>
    <row r="3544" spans="7:7" hidden="1" x14ac:dyDescent="0.2">
      <c r="G3544" s="401"/>
    </row>
    <row r="3545" spans="7:7" hidden="1" x14ac:dyDescent="0.2">
      <c r="G3545" s="401"/>
    </row>
    <row r="3546" spans="7:7" hidden="1" x14ac:dyDescent="0.2">
      <c r="G3546" s="401"/>
    </row>
    <row r="3547" spans="7:7" hidden="1" x14ac:dyDescent="0.2">
      <c r="G3547" s="401"/>
    </row>
    <row r="3548" spans="7:7" hidden="1" x14ac:dyDescent="0.2">
      <c r="G3548" s="401"/>
    </row>
    <row r="3549" spans="7:7" hidden="1" x14ac:dyDescent="0.2">
      <c r="G3549" s="401"/>
    </row>
    <row r="3550" spans="7:7" hidden="1" x14ac:dyDescent="0.2">
      <c r="G3550" s="401"/>
    </row>
    <row r="3551" spans="7:7" hidden="1" x14ac:dyDescent="0.2">
      <c r="G3551" s="401"/>
    </row>
    <row r="3552" spans="7:7" hidden="1" x14ac:dyDescent="0.2">
      <c r="G3552" s="401"/>
    </row>
    <row r="3553" spans="7:7" hidden="1" x14ac:dyDescent="0.2">
      <c r="G3553" s="401"/>
    </row>
    <row r="3554" spans="7:7" hidden="1" x14ac:dyDescent="0.2">
      <c r="G3554" s="401"/>
    </row>
    <row r="3555" spans="7:7" hidden="1" x14ac:dyDescent="0.2">
      <c r="G3555" s="401"/>
    </row>
    <row r="3556" spans="7:7" hidden="1" x14ac:dyDescent="0.2">
      <c r="G3556" s="401"/>
    </row>
    <row r="3557" spans="7:7" hidden="1" x14ac:dyDescent="0.2">
      <c r="G3557" s="401"/>
    </row>
    <row r="3558" spans="7:7" hidden="1" x14ac:dyDescent="0.2">
      <c r="G3558" s="401"/>
    </row>
    <row r="3559" spans="7:7" hidden="1" x14ac:dyDescent="0.2">
      <c r="G3559" s="401"/>
    </row>
    <row r="3560" spans="7:7" hidden="1" x14ac:dyDescent="0.2">
      <c r="G3560" s="401"/>
    </row>
    <row r="3561" spans="7:7" hidden="1" x14ac:dyDescent="0.2">
      <c r="G3561" s="401"/>
    </row>
    <row r="3562" spans="7:7" hidden="1" x14ac:dyDescent="0.2">
      <c r="G3562" s="401"/>
    </row>
    <row r="3563" spans="7:7" hidden="1" x14ac:dyDescent="0.2">
      <c r="G3563" s="401"/>
    </row>
    <row r="3564" spans="7:7" hidden="1" x14ac:dyDescent="0.2">
      <c r="G3564" s="401"/>
    </row>
    <row r="3565" spans="7:7" hidden="1" x14ac:dyDescent="0.2">
      <c r="G3565" s="401"/>
    </row>
    <row r="3566" spans="7:7" hidden="1" x14ac:dyDescent="0.2">
      <c r="G3566" s="401"/>
    </row>
    <row r="3567" spans="7:7" hidden="1" x14ac:dyDescent="0.2">
      <c r="G3567" s="401"/>
    </row>
    <row r="3568" spans="7:7" hidden="1" x14ac:dyDescent="0.2">
      <c r="G3568" s="401"/>
    </row>
    <row r="3569" spans="7:7" hidden="1" x14ac:dyDescent="0.2">
      <c r="G3569" s="401"/>
    </row>
    <row r="3570" spans="7:7" hidden="1" x14ac:dyDescent="0.2">
      <c r="G3570" s="401"/>
    </row>
    <row r="3571" spans="7:7" hidden="1" x14ac:dyDescent="0.2">
      <c r="G3571" s="401"/>
    </row>
    <row r="3572" spans="7:7" hidden="1" x14ac:dyDescent="0.2">
      <c r="G3572" s="401"/>
    </row>
    <row r="3573" spans="7:7" hidden="1" x14ac:dyDescent="0.2">
      <c r="G3573" s="401"/>
    </row>
    <row r="3574" spans="7:7" hidden="1" x14ac:dyDescent="0.2">
      <c r="G3574" s="401"/>
    </row>
    <row r="3575" spans="7:7" hidden="1" x14ac:dyDescent="0.2">
      <c r="G3575" s="401"/>
    </row>
    <row r="3576" spans="7:7" hidden="1" x14ac:dyDescent="0.2">
      <c r="G3576" s="401"/>
    </row>
    <row r="3577" spans="7:7" hidden="1" x14ac:dyDescent="0.2">
      <c r="G3577" s="401"/>
    </row>
    <row r="3578" spans="7:7" hidden="1" x14ac:dyDescent="0.2">
      <c r="G3578" s="401"/>
    </row>
    <row r="3579" spans="7:7" hidden="1" x14ac:dyDescent="0.2">
      <c r="G3579" s="401"/>
    </row>
    <row r="3580" spans="7:7" hidden="1" x14ac:dyDescent="0.2">
      <c r="G3580" s="401"/>
    </row>
    <row r="3581" spans="7:7" hidden="1" x14ac:dyDescent="0.2">
      <c r="G3581" s="401"/>
    </row>
    <row r="3582" spans="7:7" hidden="1" x14ac:dyDescent="0.2">
      <c r="G3582" s="401"/>
    </row>
    <row r="3583" spans="7:7" hidden="1" x14ac:dyDescent="0.2">
      <c r="G3583" s="401"/>
    </row>
    <row r="3584" spans="7:7" hidden="1" x14ac:dyDescent="0.2">
      <c r="G3584" s="401"/>
    </row>
    <row r="3585" spans="7:7" hidden="1" x14ac:dyDescent="0.2">
      <c r="G3585" s="401"/>
    </row>
    <row r="3586" spans="7:7" hidden="1" x14ac:dyDescent="0.2">
      <c r="G3586" s="401"/>
    </row>
    <row r="3587" spans="7:7" hidden="1" x14ac:dyDescent="0.2">
      <c r="G3587" s="401"/>
    </row>
    <row r="3588" spans="7:7" hidden="1" x14ac:dyDescent="0.2">
      <c r="G3588" s="401"/>
    </row>
    <row r="3589" spans="7:7" hidden="1" x14ac:dyDescent="0.2">
      <c r="G3589" s="401"/>
    </row>
    <row r="3590" spans="7:7" hidden="1" x14ac:dyDescent="0.2">
      <c r="G3590" s="401"/>
    </row>
    <row r="3591" spans="7:7" hidden="1" x14ac:dyDescent="0.2">
      <c r="G3591" s="401"/>
    </row>
    <row r="3592" spans="7:7" hidden="1" x14ac:dyDescent="0.2">
      <c r="G3592" s="401"/>
    </row>
    <row r="3593" spans="7:7" hidden="1" x14ac:dyDescent="0.2">
      <c r="G3593" s="401"/>
    </row>
    <row r="3594" spans="7:7" hidden="1" x14ac:dyDescent="0.2">
      <c r="G3594" s="401"/>
    </row>
    <row r="3595" spans="7:7" hidden="1" x14ac:dyDescent="0.2">
      <c r="G3595" s="401"/>
    </row>
    <row r="3596" spans="7:7" hidden="1" x14ac:dyDescent="0.2">
      <c r="G3596" s="401"/>
    </row>
    <row r="3597" spans="7:7" hidden="1" x14ac:dyDescent="0.2">
      <c r="G3597" s="401"/>
    </row>
    <row r="3598" spans="7:7" hidden="1" x14ac:dyDescent="0.2">
      <c r="G3598" s="401"/>
    </row>
    <row r="3599" spans="7:7" hidden="1" x14ac:dyDescent="0.2">
      <c r="G3599" s="401"/>
    </row>
    <row r="3600" spans="7:7" hidden="1" x14ac:dyDescent="0.2">
      <c r="G3600" s="401"/>
    </row>
    <row r="3601" spans="7:7" hidden="1" x14ac:dyDescent="0.2">
      <c r="G3601" s="401"/>
    </row>
    <row r="3602" spans="7:7" hidden="1" x14ac:dyDescent="0.2">
      <c r="G3602" s="401"/>
    </row>
    <row r="3603" spans="7:7" hidden="1" x14ac:dyDescent="0.2">
      <c r="G3603" s="401"/>
    </row>
    <row r="3604" spans="7:7" hidden="1" x14ac:dyDescent="0.2">
      <c r="G3604" s="401"/>
    </row>
    <row r="3605" spans="7:7" hidden="1" x14ac:dyDescent="0.2">
      <c r="G3605" s="401"/>
    </row>
    <row r="3606" spans="7:7" hidden="1" x14ac:dyDescent="0.2">
      <c r="G3606" s="401"/>
    </row>
    <row r="3607" spans="7:7" hidden="1" x14ac:dyDescent="0.2">
      <c r="G3607" s="401"/>
    </row>
    <row r="3608" spans="7:7" hidden="1" x14ac:dyDescent="0.2">
      <c r="G3608" s="401"/>
    </row>
    <row r="3609" spans="7:7" hidden="1" x14ac:dyDescent="0.2">
      <c r="G3609" s="401"/>
    </row>
    <row r="3610" spans="7:7" hidden="1" x14ac:dyDescent="0.2">
      <c r="G3610" s="401"/>
    </row>
    <row r="3611" spans="7:7" hidden="1" x14ac:dyDescent="0.2">
      <c r="G3611" s="401"/>
    </row>
    <row r="3612" spans="7:7" hidden="1" x14ac:dyDescent="0.2">
      <c r="G3612" s="401"/>
    </row>
    <row r="3613" spans="7:7" hidden="1" x14ac:dyDescent="0.2">
      <c r="G3613" s="401"/>
    </row>
    <row r="3614" spans="7:7" hidden="1" x14ac:dyDescent="0.2">
      <c r="G3614" s="401"/>
    </row>
    <row r="3615" spans="7:7" hidden="1" x14ac:dyDescent="0.2">
      <c r="G3615" s="401"/>
    </row>
    <row r="3616" spans="7:7" hidden="1" x14ac:dyDescent="0.2">
      <c r="G3616" s="401"/>
    </row>
    <row r="3617" spans="7:7" hidden="1" x14ac:dyDescent="0.2">
      <c r="G3617" s="401"/>
    </row>
    <row r="3618" spans="7:7" hidden="1" x14ac:dyDescent="0.2">
      <c r="G3618" s="401"/>
    </row>
    <row r="3619" spans="7:7" hidden="1" x14ac:dyDescent="0.2">
      <c r="G3619" s="401"/>
    </row>
    <row r="3620" spans="7:7" hidden="1" x14ac:dyDescent="0.2">
      <c r="G3620" s="401"/>
    </row>
    <row r="3621" spans="7:7" hidden="1" x14ac:dyDescent="0.2">
      <c r="G3621" s="401"/>
    </row>
    <row r="3622" spans="7:7" hidden="1" x14ac:dyDescent="0.2">
      <c r="G3622" s="401"/>
    </row>
    <row r="3623" spans="7:7" hidden="1" x14ac:dyDescent="0.2">
      <c r="G3623" s="401"/>
    </row>
    <row r="3624" spans="7:7" hidden="1" x14ac:dyDescent="0.2">
      <c r="G3624" s="401"/>
    </row>
    <row r="3625" spans="7:7" hidden="1" x14ac:dyDescent="0.2">
      <c r="G3625" s="401"/>
    </row>
    <row r="3626" spans="7:7" hidden="1" x14ac:dyDescent="0.2">
      <c r="G3626" s="401"/>
    </row>
    <row r="3627" spans="7:7" hidden="1" x14ac:dyDescent="0.2">
      <c r="G3627" s="401"/>
    </row>
    <row r="3628" spans="7:7" hidden="1" x14ac:dyDescent="0.2">
      <c r="G3628" s="401"/>
    </row>
    <row r="3629" spans="7:7" hidden="1" x14ac:dyDescent="0.2">
      <c r="G3629" s="401"/>
    </row>
    <row r="3630" spans="7:7" hidden="1" x14ac:dyDescent="0.2">
      <c r="G3630" s="401"/>
    </row>
    <row r="3631" spans="7:7" hidden="1" x14ac:dyDescent="0.2">
      <c r="G3631" s="401"/>
    </row>
    <row r="3632" spans="7:7" hidden="1" x14ac:dyDescent="0.2">
      <c r="G3632" s="401"/>
    </row>
    <row r="3633" spans="7:7" hidden="1" x14ac:dyDescent="0.2">
      <c r="G3633" s="401"/>
    </row>
    <row r="3634" spans="7:7" hidden="1" x14ac:dyDescent="0.2">
      <c r="G3634" s="401"/>
    </row>
    <row r="3635" spans="7:7" hidden="1" x14ac:dyDescent="0.2">
      <c r="G3635" s="401"/>
    </row>
    <row r="3636" spans="7:7" hidden="1" x14ac:dyDescent="0.2">
      <c r="G3636" s="401"/>
    </row>
    <row r="3637" spans="7:7" hidden="1" x14ac:dyDescent="0.2">
      <c r="G3637" s="401"/>
    </row>
    <row r="3638" spans="7:7" hidden="1" x14ac:dyDescent="0.2">
      <c r="G3638" s="401"/>
    </row>
    <row r="3639" spans="7:7" hidden="1" x14ac:dyDescent="0.2">
      <c r="G3639" s="401"/>
    </row>
    <row r="3640" spans="7:7" hidden="1" x14ac:dyDescent="0.2">
      <c r="G3640" s="401"/>
    </row>
    <row r="3641" spans="7:7" hidden="1" x14ac:dyDescent="0.2">
      <c r="G3641" s="401"/>
    </row>
    <row r="3642" spans="7:7" hidden="1" x14ac:dyDescent="0.2">
      <c r="G3642" s="401"/>
    </row>
    <row r="3643" spans="7:7" hidden="1" x14ac:dyDescent="0.2">
      <c r="G3643" s="401"/>
    </row>
    <row r="3644" spans="7:7" hidden="1" x14ac:dyDescent="0.2">
      <c r="G3644" s="401"/>
    </row>
    <row r="3645" spans="7:7" hidden="1" x14ac:dyDescent="0.2">
      <c r="G3645" s="401"/>
    </row>
    <row r="3646" spans="7:7" hidden="1" x14ac:dyDescent="0.2">
      <c r="G3646" s="401"/>
    </row>
    <row r="3647" spans="7:7" hidden="1" x14ac:dyDescent="0.2">
      <c r="G3647" s="401"/>
    </row>
    <row r="3648" spans="7:7" hidden="1" x14ac:dyDescent="0.2">
      <c r="G3648" s="401"/>
    </row>
    <row r="3649" spans="7:7" hidden="1" x14ac:dyDescent="0.2">
      <c r="G3649" s="401"/>
    </row>
    <row r="3650" spans="7:7" hidden="1" x14ac:dyDescent="0.2">
      <c r="G3650" s="401"/>
    </row>
    <row r="3651" spans="7:7" hidden="1" x14ac:dyDescent="0.2">
      <c r="G3651" s="401"/>
    </row>
    <row r="3652" spans="7:7" hidden="1" x14ac:dyDescent="0.2">
      <c r="G3652" s="401"/>
    </row>
    <row r="3653" spans="7:7" hidden="1" x14ac:dyDescent="0.2">
      <c r="G3653" s="401"/>
    </row>
    <row r="3654" spans="7:7" hidden="1" x14ac:dyDescent="0.2">
      <c r="G3654" s="401"/>
    </row>
    <row r="3655" spans="7:7" hidden="1" x14ac:dyDescent="0.2">
      <c r="G3655" s="401"/>
    </row>
    <row r="3656" spans="7:7" hidden="1" x14ac:dyDescent="0.2">
      <c r="G3656" s="401"/>
    </row>
    <row r="3657" spans="7:7" hidden="1" x14ac:dyDescent="0.2">
      <c r="G3657" s="401"/>
    </row>
    <row r="3658" spans="7:7" hidden="1" x14ac:dyDescent="0.2">
      <c r="G3658" s="401"/>
    </row>
    <row r="3659" spans="7:7" hidden="1" x14ac:dyDescent="0.2">
      <c r="G3659" s="401"/>
    </row>
    <row r="3660" spans="7:7" hidden="1" x14ac:dyDescent="0.2">
      <c r="G3660" s="401"/>
    </row>
    <row r="3661" spans="7:7" hidden="1" x14ac:dyDescent="0.2">
      <c r="G3661" s="401"/>
    </row>
    <row r="3662" spans="7:7" hidden="1" x14ac:dyDescent="0.2">
      <c r="G3662" s="401"/>
    </row>
    <row r="3663" spans="7:7" hidden="1" x14ac:dyDescent="0.2">
      <c r="G3663" s="401"/>
    </row>
    <row r="3664" spans="7:7" hidden="1" x14ac:dyDescent="0.2">
      <c r="G3664" s="401"/>
    </row>
    <row r="3665" spans="7:7" hidden="1" x14ac:dyDescent="0.2">
      <c r="G3665" s="401"/>
    </row>
    <row r="3666" spans="7:7" hidden="1" x14ac:dyDescent="0.2">
      <c r="G3666" s="401"/>
    </row>
    <row r="3667" spans="7:7" hidden="1" x14ac:dyDescent="0.2">
      <c r="G3667" s="401"/>
    </row>
    <row r="3668" spans="7:7" hidden="1" x14ac:dyDescent="0.2">
      <c r="G3668" s="401"/>
    </row>
    <row r="3669" spans="7:7" hidden="1" x14ac:dyDescent="0.2">
      <c r="G3669" s="401"/>
    </row>
    <row r="3670" spans="7:7" hidden="1" x14ac:dyDescent="0.2">
      <c r="G3670" s="401"/>
    </row>
    <row r="3671" spans="7:7" hidden="1" x14ac:dyDescent="0.2">
      <c r="G3671" s="401"/>
    </row>
    <row r="3672" spans="7:7" hidden="1" x14ac:dyDescent="0.2">
      <c r="G3672" s="401"/>
    </row>
    <row r="3673" spans="7:7" hidden="1" x14ac:dyDescent="0.2">
      <c r="G3673" s="401"/>
    </row>
    <row r="3674" spans="7:7" hidden="1" x14ac:dyDescent="0.2">
      <c r="G3674" s="401"/>
    </row>
    <row r="3675" spans="7:7" hidden="1" x14ac:dyDescent="0.2">
      <c r="G3675" s="401"/>
    </row>
    <row r="3676" spans="7:7" hidden="1" x14ac:dyDescent="0.2">
      <c r="G3676" s="401"/>
    </row>
    <row r="3677" spans="7:7" hidden="1" x14ac:dyDescent="0.2">
      <c r="G3677" s="401"/>
    </row>
    <row r="3678" spans="7:7" hidden="1" x14ac:dyDescent="0.2">
      <c r="G3678" s="401"/>
    </row>
    <row r="3679" spans="7:7" hidden="1" x14ac:dyDescent="0.2">
      <c r="G3679" s="401"/>
    </row>
    <row r="3680" spans="7:7" hidden="1" x14ac:dyDescent="0.2">
      <c r="G3680" s="401"/>
    </row>
    <row r="3681" spans="7:7" hidden="1" x14ac:dyDescent="0.2">
      <c r="G3681" s="401"/>
    </row>
    <row r="3682" spans="7:7" hidden="1" x14ac:dyDescent="0.2">
      <c r="G3682" s="401"/>
    </row>
    <row r="3683" spans="7:7" hidden="1" x14ac:dyDescent="0.2">
      <c r="G3683" s="401"/>
    </row>
    <row r="3684" spans="7:7" hidden="1" x14ac:dyDescent="0.2">
      <c r="G3684" s="401"/>
    </row>
    <row r="3685" spans="7:7" hidden="1" x14ac:dyDescent="0.2">
      <c r="G3685" s="401"/>
    </row>
    <row r="3686" spans="7:7" hidden="1" x14ac:dyDescent="0.2">
      <c r="G3686" s="401"/>
    </row>
    <row r="3687" spans="7:7" hidden="1" x14ac:dyDescent="0.2">
      <c r="G3687" s="401"/>
    </row>
    <row r="3688" spans="7:7" hidden="1" x14ac:dyDescent="0.2">
      <c r="G3688" s="401"/>
    </row>
    <row r="3689" spans="7:7" hidden="1" x14ac:dyDescent="0.2">
      <c r="G3689" s="401"/>
    </row>
    <row r="3690" spans="7:7" hidden="1" x14ac:dyDescent="0.2">
      <c r="G3690" s="401"/>
    </row>
    <row r="3691" spans="7:7" hidden="1" x14ac:dyDescent="0.2">
      <c r="G3691" s="401"/>
    </row>
    <row r="3692" spans="7:7" hidden="1" x14ac:dyDescent="0.2">
      <c r="G3692" s="401"/>
    </row>
    <row r="3693" spans="7:7" hidden="1" x14ac:dyDescent="0.2">
      <c r="G3693" s="401"/>
    </row>
    <row r="3694" spans="7:7" hidden="1" x14ac:dyDescent="0.2">
      <c r="G3694" s="401"/>
    </row>
    <row r="3695" spans="7:7" hidden="1" x14ac:dyDescent="0.2">
      <c r="G3695" s="401"/>
    </row>
    <row r="3696" spans="7:7" hidden="1" x14ac:dyDescent="0.2">
      <c r="G3696" s="401"/>
    </row>
    <row r="3697" spans="7:7" hidden="1" x14ac:dyDescent="0.2">
      <c r="G3697" s="401"/>
    </row>
    <row r="3698" spans="7:7" hidden="1" x14ac:dyDescent="0.2">
      <c r="G3698" s="401"/>
    </row>
    <row r="3699" spans="7:7" hidden="1" x14ac:dyDescent="0.2">
      <c r="G3699" s="401"/>
    </row>
    <row r="3700" spans="7:7" hidden="1" x14ac:dyDescent="0.2">
      <c r="G3700" s="401"/>
    </row>
    <row r="3701" spans="7:7" hidden="1" x14ac:dyDescent="0.2">
      <c r="G3701" s="401"/>
    </row>
    <row r="3702" spans="7:7" hidden="1" x14ac:dyDescent="0.2">
      <c r="G3702" s="401"/>
    </row>
    <row r="3703" spans="7:7" hidden="1" x14ac:dyDescent="0.2">
      <c r="G3703" s="401"/>
    </row>
    <row r="3704" spans="7:7" hidden="1" x14ac:dyDescent="0.2">
      <c r="G3704" s="401"/>
    </row>
    <row r="3705" spans="7:7" hidden="1" x14ac:dyDescent="0.2">
      <c r="G3705" s="401"/>
    </row>
    <row r="3706" spans="7:7" hidden="1" x14ac:dyDescent="0.2">
      <c r="G3706" s="401"/>
    </row>
    <row r="3707" spans="7:7" hidden="1" x14ac:dyDescent="0.2">
      <c r="G3707" s="401"/>
    </row>
    <row r="3708" spans="7:7" hidden="1" x14ac:dyDescent="0.2">
      <c r="G3708" s="401"/>
    </row>
    <row r="3709" spans="7:7" hidden="1" x14ac:dyDescent="0.2">
      <c r="G3709" s="401"/>
    </row>
    <row r="3710" spans="7:7" hidden="1" x14ac:dyDescent="0.2">
      <c r="G3710" s="401"/>
    </row>
    <row r="3711" spans="7:7" hidden="1" x14ac:dyDescent="0.2">
      <c r="G3711" s="401"/>
    </row>
    <row r="3712" spans="7:7" hidden="1" x14ac:dyDescent="0.2">
      <c r="G3712" s="401"/>
    </row>
    <row r="3713" spans="7:7" hidden="1" x14ac:dyDescent="0.2">
      <c r="G3713" s="401"/>
    </row>
    <row r="3714" spans="7:7" hidden="1" x14ac:dyDescent="0.2">
      <c r="G3714" s="401"/>
    </row>
    <row r="3715" spans="7:7" hidden="1" x14ac:dyDescent="0.2">
      <c r="G3715" s="401"/>
    </row>
    <row r="3716" spans="7:7" hidden="1" x14ac:dyDescent="0.2">
      <c r="G3716" s="401"/>
    </row>
    <row r="3717" spans="7:7" hidden="1" x14ac:dyDescent="0.2">
      <c r="G3717" s="401"/>
    </row>
    <row r="3718" spans="7:7" hidden="1" x14ac:dyDescent="0.2">
      <c r="G3718" s="401"/>
    </row>
    <row r="3719" spans="7:7" hidden="1" x14ac:dyDescent="0.2">
      <c r="G3719" s="401"/>
    </row>
    <row r="3720" spans="7:7" hidden="1" x14ac:dyDescent="0.2">
      <c r="G3720" s="401"/>
    </row>
    <row r="3721" spans="7:7" hidden="1" x14ac:dyDescent="0.2">
      <c r="G3721" s="401"/>
    </row>
    <row r="3722" spans="7:7" hidden="1" x14ac:dyDescent="0.2">
      <c r="G3722" s="401"/>
    </row>
    <row r="3723" spans="7:7" hidden="1" x14ac:dyDescent="0.2">
      <c r="G3723" s="401"/>
    </row>
    <row r="3724" spans="7:7" hidden="1" x14ac:dyDescent="0.2">
      <c r="G3724" s="401"/>
    </row>
    <row r="3725" spans="7:7" hidden="1" x14ac:dyDescent="0.2">
      <c r="G3725" s="401"/>
    </row>
    <row r="3726" spans="7:7" hidden="1" x14ac:dyDescent="0.2">
      <c r="G3726" s="401"/>
    </row>
    <row r="3727" spans="7:7" hidden="1" x14ac:dyDescent="0.2">
      <c r="G3727" s="401"/>
    </row>
    <row r="3728" spans="7:7" hidden="1" x14ac:dyDescent="0.2">
      <c r="G3728" s="401"/>
    </row>
    <row r="3729" spans="7:7" hidden="1" x14ac:dyDescent="0.2">
      <c r="G3729" s="401"/>
    </row>
    <row r="3730" spans="7:7" hidden="1" x14ac:dyDescent="0.2">
      <c r="G3730" s="401"/>
    </row>
    <row r="3731" spans="7:7" hidden="1" x14ac:dyDescent="0.2">
      <c r="G3731" s="401"/>
    </row>
    <row r="3732" spans="7:7" hidden="1" x14ac:dyDescent="0.2">
      <c r="G3732" s="401"/>
    </row>
    <row r="3733" spans="7:7" hidden="1" x14ac:dyDescent="0.2">
      <c r="G3733" s="401"/>
    </row>
    <row r="3734" spans="7:7" hidden="1" x14ac:dyDescent="0.2">
      <c r="G3734" s="401"/>
    </row>
    <row r="3735" spans="7:7" hidden="1" x14ac:dyDescent="0.2">
      <c r="G3735" s="401"/>
    </row>
    <row r="3736" spans="7:7" hidden="1" x14ac:dyDescent="0.2">
      <c r="G3736" s="401"/>
    </row>
    <row r="3737" spans="7:7" hidden="1" x14ac:dyDescent="0.2">
      <c r="G3737" s="401"/>
    </row>
    <row r="3738" spans="7:7" hidden="1" x14ac:dyDescent="0.2">
      <c r="G3738" s="401"/>
    </row>
    <row r="3739" spans="7:7" hidden="1" x14ac:dyDescent="0.2">
      <c r="G3739" s="401"/>
    </row>
    <row r="3740" spans="7:7" hidden="1" x14ac:dyDescent="0.2">
      <c r="G3740" s="401"/>
    </row>
    <row r="3741" spans="7:7" hidden="1" x14ac:dyDescent="0.2">
      <c r="G3741" s="401"/>
    </row>
    <row r="3742" spans="7:7" hidden="1" x14ac:dyDescent="0.2">
      <c r="G3742" s="401"/>
    </row>
    <row r="3743" spans="7:7" hidden="1" x14ac:dyDescent="0.2">
      <c r="G3743" s="401"/>
    </row>
    <row r="3744" spans="7:7" hidden="1" x14ac:dyDescent="0.2">
      <c r="G3744" s="401"/>
    </row>
    <row r="3745" spans="7:7" hidden="1" x14ac:dyDescent="0.2">
      <c r="G3745" s="401"/>
    </row>
    <row r="3746" spans="7:7" hidden="1" x14ac:dyDescent="0.2">
      <c r="G3746" s="401"/>
    </row>
    <row r="3747" spans="7:7" hidden="1" x14ac:dyDescent="0.2">
      <c r="G3747" s="401"/>
    </row>
    <row r="3748" spans="7:7" hidden="1" x14ac:dyDescent="0.2">
      <c r="G3748" s="401"/>
    </row>
    <row r="3749" spans="7:7" hidden="1" x14ac:dyDescent="0.2">
      <c r="G3749" s="401"/>
    </row>
    <row r="3750" spans="7:7" hidden="1" x14ac:dyDescent="0.2">
      <c r="G3750" s="401"/>
    </row>
    <row r="3751" spans="7:7" hidden="1" x14ac:dyDescent="0.2">
      <c r="G3751" s="401"/>
    </row>
    <row r="3752" spans="7:7" hidden="1" x14ac:dyDescent="0.2">
      <c r="G3752" s="401"/>
    </row>
    <row r="3753" spans="7:7" hidden="1" x14ac:dyDescent="0.2">
      <c r="G3753" s="401"/>
    </row>
    <row r="3754" spans="7:7" hidden="1" x14ac:dyDescent="0.2">
      <c r="G3754" s="401"/>
    </row>
    <row r="3755" spans="7:7" hidden="1" x14ac:dyDescent="0.2">
      <c r="G3755" s="401"/>
    </row>
    <row r="3756" spans="7:7" hidden="1" x14ac:dyDescent="0.2">
      <c r="G3756" s="401"/>
    </row>
    <row r="3757" spans="7:7" hidden="1" x14ac:dyDescent="0.2">
      <c r="G3757" s="401"/>
    </row>
    <row r="3758" spans="7:7" hidden="1" x14ac:dyDescent="0.2">
      <c r="G3758" s="401"/>
    </row>
    <row r="3759" spans="7:7" hidden="1" x14ac:dyDescent="0.2">
      <c r="G3759" s="401"/>
    </row>
    <row r="3760" spans="7:7" hidden="1" x14ac:dyDescent="0.2">
      <c r="G3760" s="401"/>
    </row>
    <row r="3761" spans="7:7" hidden="1" x14ac:dyDescent="0.2">
      <c r="G3761" s="401"/>
    </row>
    <row r="3762" spans="7:7" hidden="1" x14ac:dyDescent="0.2">
      <c r="G3762" s="401"/>
    </row>
    <row r="3763" spans="7:7" hidden="1" x14ac:dyDescent="0.2">
      <c r="G3763" s="401"/>
    </row>
    <row r="3764" spans="7:7" hidden="1" x14ac:dyDescent="0.2">
      <c r="G3764" s="401"/>
    </row>
    <row r="3765" spans="7:7" hidden="1" x14ac:dyDescent="0.2">
      <c r="G3765" s="401"/>
    </row>
    <row r="3766" spans="7:7" hidden="1" x14ac:dyDescent="0.2">
      <c r="G3766" s="401"/>
    </row>
    <row r="3767" spans="7:7" hidden="1" x14ac:dyDescent="0.2">
      <c r="G3767" s="401"/>
    </row>
    <row r="3768" spans="7:7" hidden="1" x14ac:dyDescent="0.2">
      <c r="G3768" s="401"/>
    </row>
    <row r="3769" spans="7:7" hidden="1" x14ac:dyDescent="0.2">
      <c r="G3769" s="401"/>
    </row>
    <row r="3770" spans="7:7" hidden="1" x14ac:dyDescent="0.2">
      <c r="G3770" s="401"/>
    </row>
    <row r="3771" spans="7:7" hidden="1" x14ac:dyDescent="0.2">
      <c r="G3771" s="401"/>
    </row>
    <row r="3772" spans="7:7" hidden="1" x14ac:dyDescent="0.2">
      <c r="G3772" s="401"/>
    </row>
    <row r="3773" spans="7:7" hidden="1" x14ac:dyDescent="0.2">
      <c r="G3773" s="401"/>
    </row>
    <row r="3774" spans="7:7" hidden="1" x14ac:dyDescent="0.2">
      <c r="G3774" s="401"/>
    </row>
    <row r="3775" spans="7:7" hidden="1" x14ac:dyDescent="0.2">
      <c r="G3775" s="401"/>
    </row>
    <row r="3776" spans="7:7" hidden="1" x14ac:dyDescent="0.2">
      <c r="G3776" s="401"/>
    </row>
    <row r="3777" spans="7:7" hidden="1" x14ac:dyDescent="0.2">
      <c r="G3777" s="401"/>
    </row>
    <row r="3778" spans="7:7" hidden="1" x14ac:dyDescent="0.2">
      <c r="G3778" s="401"/>
    </row>
    <row r="3779" spans="7:7" hidden="1" x14ac:dyDescent="0.2">
      <c r="G3779" s="401"/>
    </row>
    <row r="3780" spans="7:7" hidden="1" x14ac:dyDescent="0.2">
      <c r="G3780" s="401"/>
    </row>
    <row r="3781" spans="7:7" hidden="1" x14ac:dyDescent="0.2">
      <c r="G3781" s="401"/>
    </row>
    <row r="3782" spans="7:7" hidden="1" x14ac:dyDescent="0.2">
      <c r="G3782" s="401"/>
    </row>
    <row r="3783" spans="7:7" hidden="1" x14ac:dyDescent="0.2">
      <c r="G3783" s="401"/>
    </row>
    <row r="3784" spans="7:7" hidden="1" x14ac:dyDescent="0.2">
      <c r="G3784" s="401"/>
    </row>
    <row r="3785" spans="7:7" hidden="1" x14ac:dyDescent="0.2">
      <c r="G3785" s="401"/>
    </row>
    <row r="3786" spans="7:7" hidden="1" x14ac:dyDescent="0.2">
      <c r="G3786" s="401"/>
    </row>
    <row r="3787" spans="7:7" hidden="1" x14ac:dyDescent="0.2">
      <c r="G3787" s="401"/>
    </row>
    <row r="3788" spans="7:7" hidden="1" x14ac:dyDescent="0.2">
      <c r="G3788" s="401"/>
    </row>
    <row r="3789" spans="7:7" hidden="1" x14ac:dyDescent="0.2">
      <c r="G3789" s="401"/>
    </row>
    <row r="3790" spans="7:7" hidden="1" x14ac:dyDescent="0.2">
      <c r="G3790" s="401"/>
    </row>
    <row r="3791" spans="7:7" hidden="1" x14ac:dyDescent="0.2">
      <c r="G3791" s="401"/>
    </row>
    <row r="3792" spans="7:7" hidden="1" x14ac:dyDescent="0.2">
      <c r="G3792" s="401"/>
    </row>
    <row r="3793" spans="7:7" hidden="1" x14ac:dyDescent="0.2">
      <c r="G3793" s="401"/>
    </row>
    <row r="3794" spans="7:7" hidden="1" x14ac:dyDescent="0.2">
      <c r="G3794" s="401"/>
    </row>
    <row r="3795" spans="7:7" hidden="1" x14ac:dyDescent="0.2">
      <c r="G3795" s="401"/>
    </row>
    <row r="3796" spans="7:7" hidden="1" x14ac:dyDescent="0.2">
      <c r="G3796" s="401"/>
    </row>
    <row r="3797" spans="7:7" hidden="1" x14ac:dyDescent="0.2">
      <c r="G3797" s="401"/>
    </row>
    <row r="3798" spans="7:7" hidden="1" x14ac:dyDescent="0.2">
      <c r="G3798" s="401"/>
    </row>
    <row r="3799" spans="7:7" hidden="1" x14ac:dyDescent="0.2">
      <c r="G3799" s="401"/>
    </row>
    <row r="3800" spans="7:7" hidden="1" x14ac:dyDescent="0.2">
      <c r="G3800" s="401"/>
    </row>
    <row r="3801" spans="7:7" hidden="1" x14ac:dyDescent="0.2">
      <c r="G3801" s="401"/>
    </row>
    <row r="3802" spans="7:7" hidden="1" x14ac:dyDescent="0.2">
      <c r="G3802" s="401"/>
    </row>
    <row r="3803" spans="7:7" hidden="1" x14ac:dyDescent="0.2">
      <c r="G3803" s="401"/>
    </row>
    <row r="3804" spans="7:7" hidden="1" x14ac:dyDescent="0.2">
      <c r="G3804" s="401"/>
    </row>
    <row r="3805" spans="7:7" hidden="1" x14ac:dyDescent="0.2">
      <c r="G3805" s="401"/>
    </row>
    <row r="3806" spans="7:7" hidden="1" x14ac:dyDescent="0.2">
      <c r="G3806" s="401"/>
    </row>
    <row r="3807" spans="7:7" hidden="1" x14ac:dyDescent="0.2">
      <c r="G3807" s="401"/>
    </row>
    <row r="3808" spans="7:7" hidden="1" x14ac:dyDescent="0.2">
      <c r="G3808" s="401"/>
    </row>
    <row r="3809" spans="7:7" hidden="1" x14ac:dyDescent="0.2">
      <c r="G3809" s="401"/>
    </row>
    <row r="3810" spans="7:7" hidden="1" x14ac:dyDescent="0.2">
      <c r="G3810" s="401"/>
    </row>
    <row r="3811" spans="7:7" hidden="1" x14ac:dyDescent="0.2">
      <c r="G3811" s="401"/>
    </row>
    <row r="3812" spans="7:7" hidden="1" x14ac:dyDescent="0.2">
      <c r="G3812" s="401"/>
    </row>
    <row r="3813" spans="7:7" hidden="1" x14ac:dyDescent="0.2">
      <c r="G3813" s="401"/>
    </row>
    <row r="3814" spans="7:7" hidden="1" x14ac:dyDescent="0.2">
      <c r="G3814" s="401"/>
    </row>
    <row r="3815" spans="7:7" hidden="1" x14ac:dyDescent="0.2">
      <c r="G3815" s="401"/>
    </row>
    <row r="3816" spans="7:7" hidden="1" x14ac:dyDescent="0.2">
      <c r="G3816" s="401"/>
    </row>
    <row r="3817" spans="7:7" hidden="1" x14ac:dyDescent="0.2">
      <c r="G3817" s="401"/>
    </row>
    <row r="3818" spans="7:7" hidden="1" x14ac:dyDescent="0.2">
      <c r="G3818" s="401"/>
    </row>
    <row r="3819" spans="7:7" hidden="1" x14ac:dyDescent="0.2">
      <c r="G3819" s="401"/>
    </row>
    <row r="3820" spans="7:7" hidden="1" x14ac:dyDescent="0.2">
      <c r="G3820" s="401"/>
    </row>
    <row r="3821" spans="7:7" hidden="1" x14ac:dyDescent="0.2">
      <c r="G3821" s="401"/>
    </row>
    <row r="3822" spans="7:7" hidden="1" x14ac:dyDescent="0.2">
      <c r="G3822" s="401"/>
    </row>
    <row r="3823" spans="7:7" hidden="1" x14ac:dyDescent="0.2">
      <c r="G3823" s="401"/>
    </row>
    <row r="3824" spans="7:7" hidden="1" x14ac:dyDescent="0.2">
      <c r="G3824" s="401"/>
    </row>
    <row r="3825" spans="7:7" hidden="1" x14ac:dyDescent="0.2">
      <c r="G3825" s="401"/>
    </row>
    <row r="3826" spans="7:7" hidden="1" x14ac:dyDescent="0.2">
      <c r="G3826" s="401"/>
    </row>
    <row r="3827" spans="7:7" hidden="1" x14ac:dyDescent="0.2">
      <c r="G3827" s="401"/>
    </row>
    <row r="3828" spans="7:7" hidden="1" x14ac:dyDescent="0.2">
      <c r="G3828" s="401"/>
    </row>
    <row r="3829" spans="7:7" hidden="1" x14ac:dyDescent="0.2">
      <c r="G3829" s="401"/>
    </row>
    <row r="3830" spans="7:7" hidden="1" x14ac:dyDescent="0.2">
      <c r="G3830" s="401"/>
    </row>
    <row r="3831" spans="7:7" hidden="1" x14ac:dyDescent="0.2">
      <c r="G3831" s="401"/>
    </row>
    <row r="3832" spans="7:7" hidden="1" x14ac:dyDescent="0.2">
      <c r="G3832" s="401"/>
    </row>
    <row r="3833" spans="7:7" hidden="1" x14ac:dyDescent="0.2">
      <c r="G3833" s="401"/>
    </row>
    <row r="3834" spans="7:7" hidden="1" x14ac:dyDescent="0.2">
      <c r="G3834" s="401"/>
    </row>
    <row r="3835" spans="7:7" hidden="1" x14ac:dyDescent="0.2">
      <c r="G3835" s="401"/>
    </row>
    <row r="3836" spans="7:7" hidden="1" x14ac:dyDescent="0.2">
      <c r="G3836" s="401"/>
    </row>
    <row r="3837" spans="7:7" hidden="1" x14ac:dyDescent="0.2">
      <c r="G3837" s="401"/>
    </row>
    <row r="3838" spans="7:7" hidden="1" x14ac:dyDescent="0.2">
      <c r="G3838" s="401"/>
    </row>
    <row r="3839" spans="7:7" hidden="1" x14ac:dyDescent="0.2">
      <c r="G3839" s="401"/>
    </row>
    <row r="3840" spans="7:7" hidden="1" x14ac:dyDescent="0.2">
      <c r="G3840" s="401"/>
    </row>
    <row r="3841" spans="7:7" hidden="1" x14ac:dyDescent="0.2">
      <c r="G3841" s="401"/>
    </row>
    <row r="3842" spans="7:7" hidden="1" x14ac:dyDescent="0.2">
      <c r="G3842" s="401"/>
    </row>
    <row r="3843" spans="7:7" hidden="1" x14ac:dyDescent="0.2">
      <c r="G3843" s="401"/>
    </row>
    <row r="3844" spans="7:7" hidden="1" x14ac:dyDescent="0.2">
      <c r="G3844" s="401"/>
    </row>
    <row r="3845" spans="7:7" hidden="1" x14ac:dyDescent="0.2">
      <c r="G3845" s="401"/>
    </row>
    <row r="3846" spans="7:7" hidden="1" x14ac:dyDescent="0.2">
      <c r="G3846" s="401"/>
    </row>
    <row r="3847" spans="7:7" hidden="1" x14ac:dyDescent="0.2">
      <c r="G3847" s="401"/>
    </row>
    <row r="3848" spans="7:7" hidden="1" x14ac:dyDescent="0.2">
      <c r="G3848" s="401"/>
    </row>
    <row r="3849" spans="7:7" hidden="1" x14ac:dyDescent="0.2">
      <c r="G3849" s="401"/>
    </row>
    <row r="3850" spans="7:7" hidden="1" x14ac:dyDescent="0.2">
      <c r="G3850" s="401"/>
    </row>
    <row r="3851" spans="7:7" hidden="1" x14ac:dyDescent="0.2">
      <c r="G3851" s="401"/>
    </row>
    <row r="3852" spans="7:7" hidden="1" x14ac:dyDescent="0.2">
      <c r="G3852" s="401"/>
    </row>
    <row r="3853" spans="7:7" hidden="1" x14ac:dyDescent="0.2">
      <c r="G3853" s="401"/>
    </row>
    <row r="3854" spans="7:7" hidden="1" x14ac:dyDescent="0.2">
      <c r="G3854" s="401"/>
    </row>
    <row r="3855" spans="7:7" hidden="1" x14ac:dyDescent="0.2">
      <c r="G3855" s="401"/>
    </row>
    <row r="3856" spans="7:7" hidden="1" x14ac:dyDescent="0.2">
      <c r="G3856" s="401"/>
    </row>
    <row r="3857" spans="7:7" hidden="1" x14ac:dyDescent="0.2">
      <c r="G3857" s="401"/>
    </row>
    <row r="3858" spans="7:7" hidden="1" x14ac:dyDescent="0.2">
      <c r="G3858" s="401"/>
    </row>
    <row r="3859" spans="7:7" hidden="1" x14ac:dyDescent="0.2">
      <c r="G3859" s="401"/>
    </row>
    <row r="3860" spans="7:7" hidden="1" x14ac:dyDescent="0.2">
      <c r="G3860" s="401"/>
    </row>
    <row r="3861" spans="7:7" hidden="1" x14ac:dyDescent="0.2">
      <c r="G3861" s="401"/>
    </row>
    <row r="3862" spans="7:7" hidden="1" x14ac:dyDescent="0.2">
      <c r="G3862" s="401"/>
    </row>
    <row r="3863" spans="7:7" hidden="1" x14ac:dyDescent="0.2">
      <c r="G3863" s="401"/>
    </row>
    <row r="3864" spans="7:7" hidden="1" x14ac:dyDescent="0.2">
      <c r="G3864" s="401"/>
    </row>
    <row r="3865" spans="7:7" hidden="1" x14ac:dyDescent="0.2">
      <c r="G3865" s="401"/>
    </row>
    <row r="3866" spans="7:7" hidden="1" x14ac:dyDescent="0.2">
      <c r="G3866" s="401"/>
    </row>
    <row r="3867" spans="7:7" hidden="1" x14ac:dyDescent="0.2">
      <c r="G3867" s="401"/>
    </row>
    <row r="3868" spans="7:7" hidden="1" x14ac:dyDescent="0.2">
      <c r="G3868" s="401"/>
    </row>
    <row r="3869" spans="7:7" hidden="1" x14ac:dyDescent="0.2">
      <c r="G3869" s="401"/>
    </row>
    <row r="3870" spans="7:7" hidden="1" x14ac:dyDescent="0.2">
      <c r="G3870" s="401"/>
    </row>
    <row r="3871" spans="7:7" hidden="1" x14ac:dyDescent="0.2">
      <c r="G3871" s="401"/>
    </row>
    <row r="3872" spans="7:7" hidden="1" x14ac:dyDescent="0.2">
      <c r="G3872" s="401"/>
    </row>
    <row r="3873" spans="7:7" hidden="1" x14ac:dyDescent="0.2">
      <c r="G3873" s="401"/>
    </row>
    <row r="3874" spans="7:7" hidden="1" x14ac:dyDescent="0.2">
      <c r="G3874" s="401"/>
    </row>
    <row r="3875" spans="7:7" hidden="1" x14ac:dyDescent="0.2">
      <c r="G3875" s="401"/>
    </row>
    <row r="3876" spans="7:7" hidden="1" x14ac:dyDescent="0.2">
      <c r="G3876" s="401"/>
    </row>
    <row r="3877" spans="7:7" hidden="1" x14ac:dyDescent="0.2">
      <c r="G3877" s="401"/>
    </row>
    <row r="3878" spans="7:7" hidden="1" x14ac:dyDescent="0.2">
      <c r="G3878" s="401"/>
    </row>
    <row r="3879" spans="7:7" hidden="1" x14ac:dyDescent="0.2">
      <c r="G3879" s="401"/>
    </row>
    <row r="3880" spans="7:7" hidden="1" x14ac:dyDescent="0.2">
      <c r="G3880" s="401"/>
    </row>
    <row r="3881" spans="7:7" hidden="1" x14ac:dyDescent="0.2">
      <c r="G3881" s="401"/>
    </row>
    <row r="3882" spans="7:7" hidden="1" x14ac:dyDescent="0.2">
      <c r="G3882" s="401"/>
    </row>
    <row r="3883" spans="7:7" hidden="1" x14ac:dyDescent="0.2">
      <c r="G3883" s="401"/>
    </row>
    <row r="3884" spans="7:7" hidden="1" x14ac:dyDescent="0.2">
      <c r="G3884" s="401"/>
    </row>
    <row r="3885" spans="7:7" hidden="1" x14ac:dyDescent="0.2">
      <c r="G3885" s="401"/>
    </row>
    <row r="3886" spans="7:7" hidden="1" x14ac:dyDescent="0.2">
      <c r="G3886" s="401"/>
    </row>
    <row r="3887" spans="7:7" hidden="1" x14ac:dyDescent="0.2">
      <c r="G3887" s="401"/>
    </row>
    <row r="3888" spans="7:7" hidden="1" x14ac:dyDescent="0.2">
      <c r="G3888" s="401"/>
    </row>
    <row r="3889" spans="7:7" hidden="1" x14ac:dyDescent="0.2">
      <c r="G3889" s="401"/>
    </row>
    <row r="3890" spans="7:7" hidden="1" x14ac:dyDescent="0.2">
      <c r="G3890" s="401"/>
    </row>
    <row r="3891" spans="7:7" hidden="1" x14ac:dyDescent="0.2">
      <c r="G3891" s="401"/>
    </row>
    <row r="3892" spans="7:7" hidden="1" x14ac:dyDescent="0.2">
      <c r="G3892" s="401"/>
    </row>
    <row r="3893" spans="7:7" hidden="1" x14ac:dyDescent="0.2">
      <c r="G3893" s="401"/>
    </row>
    <row r="3894" spans="7:7" hidden="1" x14ac:dyDescent="0.2">
      <c r="G3894" s="401"/>
    </row>
    <row r="3895" spans="7:7" hidden="1" x14ac:dyDescent="0.2">
      <c r="G3895" s="401"/>
    </row>
    <row r="3896" spans="7:7" hidden="1" x14ac:dyDescent="0.2">
      <c r="G3896" s="401"/>
    </row>
    <row r="3897" spans="7:7" hidden="1" x14ac:dyDescent="0.2">
      <c r="G3897" s="401"/>
    </row>
    <row r="3898" spans="7:7" hidden="1" x14ac:dyDescent="0.2">
      <c r="G3898" s="401"/>
    </row>
    <row r="3899" spans="7:7" hidden="1" x14ac:dyDescent="0.2">
      <c r="G3899" s="401"/>
    </row>
    <row r="3900" spans="7:7" hidden="1" x14ac:dyDescent="0.2">
      <c r="G3900" s="401"/>
    </row>
    <row r="3901" spans="7:7" hidden="1" x14ac:dyDescent="0.2">
      <c r="G3901" s="401"/>
    </row>
    <row r="3902" spans="7:7" hidden="1" x14ac:dyDescent="0.2">
      <c r="G3902" s="401"/>
    </row>
    <row r="3903" spans="7:7" hidden="1" x14ac:dyDescent="0.2">
      <c r="G3903" s="401"/>
    </row>
    <row r="3904" spans="7:7" hidden="1" x14ac:dyDescent="0.2">
      <c r="G3904" s="401"/>
    </row>
    <row r="3905" spans="7:7" hidden="1" x14ac:dyDescent="0.2">
      <c r="G3905" s="401"/>
    </row>
    <row r="3906" spans="7:7" hidden="1" x14ac:dyDescent="0.2">
      <c r="G3906" s="401"/>
    </row>
    <row r="3907" spans="7:7" hidden="1" x14ac:dyDescent="0.2">
      <c r="G3907" s="401"/>
    </row>
    <row r="3908" spans="7:7" hidden="1" x14ac:dyDescent="0.2">
      <c r="G3908" s="401"/>
    </row>
    <row r="3909" spans="7:7" hidden="1" x14ac:dyDescent="0.2">
      <c r="G3909" s="401"/>
    </row>
    <row r="3910" spans="7:7" hidden="1" x14ac:dyDescent="0.2">
      <c r="G3910" s="401"/>
    </row>
    <row r="3911" spans="7:7" hidden="1" x14ac:dyDescent="0.2">
      <c r="G3911" s="401"/>
    </row>
    <row r="3912" spans="7:7" hidden="1" x14ac:dyDescent="0.2">
      <c r="G3912" s="401"/>
    </row>
    <row r="3913" spans="7:7" hidden="1" x14ac:dyDescent="0.2">
      <c r="G3913" s="401"/>
    </row>
    <row r="3914" spans="7:7" hidden="1" x14ac:dyDescent="0.2">
      <c r="G3914" s="401"/>
    </row>
    <row r="3915" spans="7:7" hidden="1" x14ac:dyDescent="0.2">
      <c r="G3915" s="401"/>
    </row>
    <row r="3916" spans="7:7" hidden="1" x14ac:dyDescent="0.2">
      <c r="G3916" s="401"/>
    </row>
    <row r="3917" spans="7:7" hidden="1" x14ac:dyDescent="0.2">
      <c r="G3917" s="401"/>
    </row>
    <row r="3918" spans="7:7" hidden="1" x14ac:dyDescent="0.2">
      <c r="G3918" s="401"/>
    </row>
    <row r="3919" spans="7:7" hidden="1" x14ac:dyDescent="0.2">
      <c r="G3919" s="401"/>
    </row>
    <row r="3920" spans="7:7" hidden="1" x14ac:dyDescent="0.2">
      <c r="G3920" s="401"/>
    </row>
    <row r="3921" spans="7:7" hidden="1" x14ac:dyDescent="0.2">
      <c r="G3921" s="401"/>
    </row>
    <row r="3922" spans="7:7" hidden="1" x14ac:dyDescent="0.2">
      <c r="G3922" s="401"/>
    </row>
    <row r="3923" spans="7:7" hidden="1" x14ac:dyDescent="0.2">
      <c r="G3923" s="401"/>
    </row>
    <row r="3924" spans="7:7" hidden="1" x14ac:dyDescent="0.2">
      <c r="G3924" s="401"/>
    </row>
    <row r="3925" spans="7:7" hidden="1" x14ac:dyDescent="0.2">
      <c r="G3925" s="401"/>
    </row>
    <row r="3926" spans="7:7" hidden="1" x14ac:dyDescent="0.2">
      <c r="G3926" s="401"/>
    </row>
    <row r="3927" spans="7:7" hidden="1" x14ac:dyDescent="0.2">
      <c r="G3927" s="401"/>
    </row>
    <row r="3928" spans="7:7" hidden="1" x14ac:dyDescent="0.2">
      <c r="G3928" s="401"/>
    </row>
    <row r="3929" spans="7:7" hidden="1" x14ac:dyDescent="0.2">
      <c r="G3929" s="401"/>
    </row>
    <row r="3930" spans="7:7" hidden="1" x14ac:dyDescent="0.2">
      <c r="G3930" s="401"/>
    </row>
    <row r="3931" spans="7:7" hidden="1" x14ac:dyDescent="0.2">
      <c r="G3931" s="401"/>
    </row>
    <row r="3932" spans="7:7" hidden="1" x14ac:dyDescent="0.2">
      <c r="G3932" s="401"/>
    </row>
    <row r="3933" spans="7:7" hidden="1" x14ac:dyDescent="0.2">
      <c r="G3933" s="401"/>
    </row>
    <row r="3934" spans="7:7" hidden="1" x14ac:dyDescent="0.2">
      <c r="G3934" s="401"/>
    </row>
    <row r="3935" spans="7:7" hidden="1" x14ac:dyDescent="0.2">
      <c r="G3935" s="401"/>
    </row>
    <row r="3936" spans="7:7" hidden="1" x14ac:dyDescent="0.2">
      <c r="G3936" s="401"/>
    </row>
    <row r="3937" spans="7:7" hidden="1" x14ac:dyDescent="0.2">
      <c r="G3937" s="401"/>
    </row>
    <row r="3938" spans="7:7" hidden="1" x14ac:dyDescent="0.2">
      <c r="G3938" s="401"/>
    </row>
    <row r="3939" spans="7:7" hidden="1" x14ac:dyDescent="0.2">
      <c r="G3939" s="401"/>
    </row>
    <row r="3940" spans="7:7" hidden="1" x14ac:dyDescent="0.2">
      <c r="G3940" s="401"/>
    </row>
    <row r="3941" spans="7:7" hidden="1" x14ac:dyDescent="0.2">
      <c r="G3941" s="401"/>
    </row>
    <row r="3942" spans="7:7" hidden="1" x14ac:dyDescent="0.2">
      <c r="G3942" s="401"/>
    </row>
    <row r="3943" spans="7:7" hidden="1" x14ac:dyDescent="0.2">
      <c r="G3943" s="401"/>
    </row>
    <row r="3944" spans="7:7" hidden="1" x14ac:dyDescent="0.2">
      <c r="G3944" s="401"/>
    </row>
    <row r="3945" spans="7:7" hidden="1" x14ac:dyDescent="0.2">
      <c r="G3945" s="401"/>
    </row>
    <row r="3946" spans="7:7" hidden="1" x14ac:dyDescent="0.2">
      <c r="G3946" s="401"/>
    </row>
    <row r="3947" spans="7:7" hidden="1" x14ac:dyDescent="0.2">
      <c r="G3947" s="401"/>
    </row>
    <row r="3948" spans="7:7" hidden="1" x14ac:dyDescent="0.2">
      <c r="G3948" s="401"/>
    </row>
    <row r="3949" spans="7:7" hidden="1" x14ac:dyDescent="0.2">
      <c r="G3949" s="401"/>
    </row>
    <row r="3950" spans="7:7" hidden="1" x14ac:dyDescent="0.2">
      <c r="G3950" s="401"/>
    </row>
    <row r="3951" spans="7:7" hidden="1" x14ac:dyDescent="0.2">
      <c r="G3951" s="401"/>
    </row>
    <row r="3952" spans="7:7" hidden="1" x14ac:dyDescent="0.2">
      <c r="G3952" s="401"/>
    </row>
    <row r="3953" spans="7:7" hidden="1" x14ac:dyDescent="0.2">
      <c r="G3953" s="401"/>
    </row>
    <row r="3954" spans="7:7" hidden="1" x14ac:dyDescent="0.2">
      <c r="G3954" s="401"/>
    </row>
    <row r="3955" spans="7:7" hidden="1" x14ac:dyDescent="0.2">
      <c r="G3955" s="401"/>
    </row>
    <row r="3956" spans="7:7" hidden="1" x14ac:dyDescent="0.2">
      <c r="G3956" s="401"/>
    </row>
    <row r="3957" spans="7:7" hidden="1" x14ac:dyDescent="0.2">
      <c r="G3957" s="401"/>
    </row>
    <row r="3958" spans="7:7" hidden="1" x14ac:dyDescent="0.2">
      <c r="G3958" s="401"/>
    </row>
    <row r="3959" spans="7:7" hidden="1" x14ac:dyDescent="0.2">
      <c r="G3959" s="401"/>
    </row>
    <row r="3960" spans="7:7" hidden="1" x14ac:dyDescent="0.2">
      <c r="G3960" s="401"/>
    </row>
    <row r="3961" spans="7:7" hidden="1" x14ac:dyDescent="0.2">
      <c r="G3961" s="401"/>
    </row>
    <row r="3962" spans="7:7" hidden="1" x14ac:dyDescent="0.2">
      <c r="G3962" s="401"/>
    </row>
    <row r="3963" spans="7:7" hidden="1" x14ac:dyDescent="0.2">
      <c r="G3963" s="401"/>
    </row>
    <row r="3964" spans="7:7" hidden="1" x14ac:dyDescent="0.2">
      <c r="G3964" s="401"/>
    </row>
    <row r="3965" spans="7:7" hidden="1" x14ac:dyDescent="0.2">
      <c r="G3965" s="401"/>
    </row>
    <row r="3966" spans="7:7" hidden="1" x14ac:dyDescent="0.2">
      <c r="G3966" s="401"/>
    </row>
    <row r="3967" spans="7:7" hidden="1" x14ac:dyDescent="0.2">
      <c r="G3967" s="401"/>
    </row>
    <row r="3968" spans="7:7" hidden="1" x14ac:dyDescent="0.2">
      <c r="G3968" s="401"/>
    </row>
    <row r="3969" spans="7:7" hidden="1" x14ac:dyDescent="0.2">
      <c r="G3969" s="401"/>
    </row>
    <row r="3970" spans="7:7" hidden="1" x14ac:dyDescent="0.2">
      <c r="G3970" s="401"/>
    </row>
    <row r="3971" spans="7:7" hidden="1" x14ac:dyDescent="0.2">
      <c r="G3971" s="401"/>
    </row>
    <row r="3972" spans="7:7" hidden="1" x14ac:dyDescent="0.2">
      <c r="G3972" s="401"/>
    </row>
    <row r="3973" spans="7:7" hidden="1" x14ac:dyDescent="0.2">
      <c r="G3973" s="401"/>
    </row>
    <row r="3974" spans="7:7" hidden="1" x14ac:dyDescent="0.2">
      <c r="G3974" s="401"/>
    </row>
    <row r="3975" spans="7:7" hidden="1" x14ac:dyDescent="0.2">
      <c r="G3975" s="401"/>
    </row>
    <row r="3976" spans="7:7" hidden="1" x14ac:dyDescent="0.2">
      <c r="G3976" s="401"/>
    </row>
    <row r="3977" spans="7:7" hidden="1" x14ac:dyDescent="0.2">
      <c r="G3977" s="401"/>
    </row>
    <row r="3978" spans="7:7" hidden="1" x14ac:dyDescent="0.2">
      <c r="G3978" s="401"/>
    </row>
    <row r="3979" spans="7:7" hidden="1" x14ac:dyDescent="0.2">
      <c r="G3979" s="401"/>
    </row>
    <row r="3980" spans="7:7" hidden="1" x14ac:dyDescent="0.2">
      <c r="G3980" s="401"/>
    </row>
    <row r="3981" spans="7:7" hidden="1" x14ac:dyDescent="0.2">
      <c r="G3981" s="401"/>
    </row>
    <row r="3982" spans="7:7" hidden="1" x14ac:dyDescent="0.2">
      <c r="G3982" s="401"/>
    </row>
    <row r="3983" spans="7:7" hidden="1" x14ac:dyDescent="0.2">
      <c r="G3983" s="401"/>
    </row>
    <row r="3984" spans="7:7" hidden="1" x14ac:dyDescent="0.2">
      <c r="G3984" s="401"/>
    </row>
    <row r="3985" spans="7:7" hidden="1" x14ac:dyDescent="0.2">
      <c r="G3985" s="401"/>
    </row>
    <row r="3986" spans="7:7" hidden="1" x14ac:dyDescent="0.2">
      <c r="G3986" s="401"/>
    </row>
    <row r="3987" spans="7:7" hidden="1" x14ac:dyDescent="0.2">
      <c r="G3987" s="401"/>
    </row>
    <row r="3988" spans="7:7" hidden="1" x14ac:dyDescent="0.2">
      <c r="G3988" s="401"/>
    </row>
    <row r="3989" spans="7:7" hidden="1" x14ac:dyDescent="0.2">
      <c r="G3989" s="401"/>
    </row>
    <row r="3990" spans="7:7" hidden="1" x14ac:dyDescent="0.2">
      <c r="G3990" s="401"/>
    </row>
    <row r="3991" spans="7:7" hidden="1" x14ac:dyDescent="0.2">
      <c r="G3991" s="401"/>
    </row>
    <row r="3992" spans="7:7" hidden="1" x14ac:dyDescent="0.2">
      <c r="G3992" s="401"/>
    </row>
    <row r="3993" spans="7:7" hidden="1" x14ac:dyDescent="0.2">
      <c r="G3993" s="401"/>
    </row>
    <row r="3994" spans="7:7" hidden="1" x14ac:dyDescent="0.2">
      <c r="G3994" s="401"/>
    </row>
    <row r="3995" spans="7:7" hidden="1" x14ac:dyDescent="0.2">
      <c r="G3995" s="401"/>
    </row>
    <row r="3996" spans="7:7" hidden="1" x14ac:dyDescent="0.2">
      <c r="G3996" s="401"/>
    </row>
    <row r="3997" spans="7:7" hidden="1" x14ac:dyDescent="0.2">
      <c r="G3997" s="401"/>
    </row>
    <row r="3998" spans="7:7" hidden="1" x14ac:dyDescent="0.2">
      <c r="G3998" s="401"/>
    </row>
    <row r="3999" spans="7:7" hidden="1" x14ac:dyDescent="0.2">
      <c r="G3999" s="401"/>
    </row>
    <row r="4000" spans="7:7" hidden="1" x14ac:dyDescent="0.2">
      <c r="G4000" s="401"/>
    </row>
    <row r="4001" spans="7:7" hidden="1" x14ac:dyDescent="0.2">
      <c r="G4001" s="401"/>
    </row>
    <row r="4002" spans="7:7" hidden="1" x14ac:dyDescent="0.2">
      <c r="G4002" s="401"/>
    </row>
    <row r="4003" spans="7:7" hidden="1" x14ac:dyDescent="0.2">
      <c r="G4003" s="401"/>
    </row>
    <row r="4004" spans="7:7" hidden="1" x14ac:dyDescent="0.2">
      <c r="G4004" s="401"/>
    </row>
    <row r="4005" spans="7:7" hidden="1" x14ac:dyDescent="0.2">
      <c r="G4005" s="401"/>
    </row>
    <row r="4006" spans="7:7" hidden="1" x14ac:dyDescent="0.2">
      <c r="G4006" s="401"/>
    </row>
    <row r="4007" spans="7:7" hidden="1" x14ac:dyDescent="0.2">
      <c r="G4007" s="401"/>
    </row>
    <row r="4008" spans="7:7" hidden="1" x14ac:dyDescent="0.2">
      <c r="G4008" s="401"/>
    </row>
    <row r="4009" spans="7:7" hidden="1" x14ac:dyDescent="0.2">
      <c r="G4009" s="401"/>
    </row>
    <row r="4010" spans="7:7" hidden="1" x14ac:dyDescent="0.2">
      <c r="G4010" s="401"/>
    </row>
    <row r="4011" spans="7:7" hidden="1" x14ac:dyDescent="0.2">
      <c r="G4011" s="401"/>
    </row>
    <row r="4012" spans="7:7" hidden="1" x14ac:dyDescent="0.2">
      <c r="G4012" s="401"/>
    </row>
    <row r="4013" spans="7:7" hidden="1" x14ac:dyDescent="0.2">
      <c r="G4013" s="401"/>
    </row>
    <row r="4014" spans="7:7" hidden="1" x14ac:dyDescent="0.2">
      <c r="G4014" s="401"/>
    </row>
    <row r="4015" spans="7:7" hidden="1" x14ac:dyDescent="0.2">
      <c r="G4015" s="401"/>
    </row>
    <row r="4016" spans="7:7" hidden="1" x14ac:dyDescent="0.2">
      <c r="G4016" s="401"/>
    </row>
    <row r="4017" spans="7:7" hidden="1" x14ac:dyDescent="0.2">
      <c r="G4017" s="401"/>
    </row>
    <row r="4018" spans="7:7" hidden="1" x14ac:dyDescent="0.2">
      <c r="G4018" s="401"/>
    </row>
    <row r="4019" spans="7:7" hidden="1" x14ac:dyDescent="0.2">
      <c r="G4019" s="401"/>
    </row>
    <row r="4020" spans="7:7" hidden="1" x14ac:dyDescent="0.2">
      <c r="G4020" s="401"/>
    </row>
    <row r="4021" spans="7:7" hidden="1" x14ac:dyDescent="0.2">
      <c r="G4021" s="401"/>
    </row>
    <row r="4022" spans="7:7" hidden="1" x14ac:dyDescent="0.2">
      <c r="G4022" s="401"/>
    </row>
    <row r="4023" spans="7:7" hidden="1" x14ac:dyDescent="0.2">
      <c r="G4023" s="401"/>
    </row>
    <row r="4024" spans="7:7" hidden="1" x14ac:dyDescent="0.2">
      <c r="G4024" s="401"/>
    </row>
    <row r="4025" spans="7:7" hidden="1" x14ac:dyDescent="0.2">
      <c r="G4025" s="401"/>
    </row>
    <row r="4026" spans="7:7" hidden="1" x14ac:dyDescent="0.2">
      <c r="G4026" s="401"/>
    </row>
    <row r="4027" spans="7:7" hidden="1" x14ac:dyDescent="0.2">
      <c r="G4027" s="401"/>
    </row>
    <row r="4028" spans="7:7" hidden="1" x14ac:dyDescent="0.2">
      <c r="G4028" s="401"/>
    </row>
    <row r="4029" spans="7:7" hidden="1" x14ac:dyDescent="0.2">
      <c r="G4029" s="401"/>
    </row>
    <row r="4030" spans="7:7" hidden="1" x14ac:dyDescent="0.2">
      <c r="G4030" s="401"/>
    </row>
    <row r="4031" spans="7:7" hidden="1" x14ac:dyDescent="0.2">
      <c r="G4031" s="401"/>
    </row>
    <row r="4032" spans="7:7" hidden="1" x14ac:dyDescent="0.2">
      <c r="G4032" s="401"/>
    </row>
    <row r="4033" spans="7:7" hidden="1" x14ac:dyDescent="0.2">
      <c r="G4033" s="401"/>
    </row>
    <row r="4034" spans="7:7" hidden="1" x14ac:dyDescent="0.2">
      <c r="G4034" s="401"/>
    </row>
    <row r="4035" spans="7:7" hidden="1" x14ac:dyDescent="0.2">
      <c r="G4035" s="401"/>
    </row>
    <row r="4036" spans="7:7" hidden="1" x14ac:dyDescent="0.2">
      <c r="G4036" s="401"/>
    </row>
    <row r="4037" spans="7:7" hidden="1" x14ac:dyDescent="0.2">
      <c r="G4037" s="401"/>
    </row>
    <row r="4038" spans="7:7" hidden="1" x14ac:dyDescent="0.2">
      <c r="G4038" s="401"/>
    </row>
    <row r="4039" spans="7:7" hidden="1" x14ac:dyDescent="0.2">
      <c r="G4039" s="401"/>
    </row>
    <row r="4040" spans="7:7" hidden="1" x14ac:dyDescent="0.2">
      <c r="G4040" s="401"/>
    </row>
    <row r="4041" spans="7:7" hidden="1" x14ac:dyDescent="0.2">
      <c r="G4041" s="401"/>
    </row>
    <row r="4042" spans="7:7" hidden="1" x14ac:dyDescent="0.2">
      <c r="G4042" s="401"/>
    </row>
    <row r="4043" spans="7:7" hidden="1" x14ac:dyDescent="0.2">
      <c r="G4043" s="401"/>
    </row>
    <row r="4044" spans="7:7" hidden="1" x14ac:dyDescent="0.2">
      <c r="G4044" s="401"/>
    </row>
    <row r="4045" spans="7:7" hidden="1" x14ac:dyDescent="0.2">
      <c r="G4045" s="401"/>
    </row>
    <row r="4046" spans="7:7" hidden="1" x14ac:dyDescent="0.2">
      <c r="G4046" s="401"/>
    </row>
    <row r="4047" spans="7:7" hidden="1" x14ac:dyDescent="0.2">
      <c r="G4047" s="401"/>
    </row>
    <row r="4048" spans="7:7" hidden="1" x14ac:dyDescent="0.2">
      <c r="G4048" s="401"/>
    </row>
    <row r="4049" spans="7:7" hidden="1" x14ac:dyDescent="0.2">
      <c r="G4049" s="401"/>
    </row>
    <row r="4050" spans="7:7" hidden="1" x14ac:dyDescent="0.2">
      <c r="G4050" s="401"/>
    </row>
    <row r="4051" spans="7:7" hidden="1" x14ac:dyDescent="0.2">
      <c r="G4051" s="401"/>
    </row>
    <row r="4052" spans="7:7" hidden="1" x14ac:dyDescent="0.2">
      <c r="G4052" s="401"/>
    </row>
    <row r="4053" spans="7:7" hidden="1" x14ac:dyDescent="0.2">
      <c r="G4053" s="401"/>
    </row>
    <row r="4054" spans="7:7" hidden="1" x14ac:dyDescent="0.2">
      <c r="G4054" s="401"/>
    </row>
    <row r="4055" spans="7:7" hidden="1" x14ac:dyDescent="0.2">
      <c r="G4055" s="401"/>
    </row>
    <row r="4056" spans="7:7" hidden="1" x14ac:dyDescent="0.2">
      <c r="G4056" s="401"/>
    </row>
    <row r="4057" spans="7:7" hidden="1" x14ac:dyDescent="0.2">
      <c r="G4057" s="401"/>
    </row>
    <row r="4058" spans="7:7" hidden="1" x14ac:dyDescent="0.2">
      <c r="G4058" s="401"/>
    </row>
    <row r="4059" spans="7:7" hidden="1" x14ac:dyDescent="0.2">
      <c r="G4059" s="401"/>
    </row>
    <row r="4060" spans="7:7" hidden="1" x14ac:dyDescent="0.2">
      <c r="G4060" s="401"/>
    </row>
    <row r="4061" spans="7:7" hidden="1" x14ac:dyDescent="0.2">
      <c r="G4061" s="401"/>
    </row>
    <row r="4062" spans="7:7" hidden="1" x14ac:dyDescent="0.2">
      <c r="G4062" s="401"/>
    </row>
    <row r="4063" spans="7:7" hidden="1" x14ac:dyDescent="0.2">
      <c r="G4063" s="401"/>
    </row>
    <row r="4064" spans="7:7" hidden="1" x14ac:dyDescent="0.2">
      <c r="G4064" s="401"/>
    </row>
    <row r="4065" spans="7:7" hidden="1" x14ac:dyDescent="0.2">
      <c r="G4065" s="401"/>
    </row>
    <row r="4066" spans="7:7" hidden="1" x14ac:dyDescent="0.2">
      <c r="G4066" s="401"/>
    </row>
    <row r="4067" spans="7:7" hidden="1" x14ac:dyDescent="0.2">
      <c r="G4067" s="401"/>
    </row>
    <row r="4068" spans="7:7" hidden="1" x14ac:dyDescent="0.2">
      <c r="G4068" s="401"/>
    </row>
    <row r="4069" spans="7:7" hidden="1" x14ac:dyDescent="0.2">
      <c r="G4069" s="401"/>
    </row>
    <row r="4070" spans="7:7" hidden="1" x14ac:dyDescent="0.2">
      <c r="G4070" s="401"/>
    </row>
    <row r="4071" spans="7:7" hidden="1" x14ac:dyDescent="0.2">
      <c r="G4071" s="401"/>
    </row>
    <row r="4072" spans="7:7" hidden="1" x14ac:dyDescent="0.2">
      <c r="G4072" s="401"/>
    </row>
    <row r="4073" spans="7:7" hidden="1" x14ac:dyDescent="0.2">
      <c r="G4073" s="401"/>
    </row>
    <row r="4074" spans="7:7" hidden="1" x14ac:dyDescent="0.2">
      <c r="G4074" s="401"/>
    </row>
    <row r="4075" spans="7:7" hidden="1" x14ac:dyDescent="0.2">
      <c r="G4075" s="401"/>
    </row>
    <row r="4076" spans="7:7" hidden="1" x14ac:dyDescent="0.2">
      <c r="G4076" s="401"/>
    </row>
    <row r="4077" spans="7:7" hidden="1" x14ac:dyDescent="0.2">
      <c r="G4077" s="401"/>
    </row>
    <row r="4078" spans="7:7" hidden="1" x14ac:dyDescent="0.2">
      <c r="G4078" s="401"/>
    </row>
    <row r="4079" spans="7:7" hidden="1" x14ac:dyDescent="0.2">
      <c r="G4079" s="401"/>
    </row>
    <row r="4080" spans="7:7" hidden="1" x14ac:dyDescent="0.2">
      <c r="G4080" s="401"/>
    </row>
    <row r="4081" spans="7:7" hidden="1" x14ac:dyDescent="0.2">
      <c r="G4081" s="401"/>
    </row>
    <row r="4082" spans="7:7" hidden="1" x14ac:dyDescent="0.2">
      <c r="G4082" s="401"/>
    </row>
    <row r="4083" spans="7:7" hidden="1" x14ac:dyDescent="0.2">
      <c r="G4083" s="401"/>
    </row>
    <row r="4084" spans="7:7" hidden="1" x14ac:dyDescent="0.2">
      <c r="G4084" s="401"/>
    </row>
    <row r="4085" spans="7:7" hidden="1" x14ac:dyDescent="0.2">
      <c r="G4085" s="401"/>
    </row>
    <row r="4086" spans="7:7" hidden="1" x14ac:dyDescent="0.2">
      <c r="G4086" s="401"/>
    </row>
    <row r="4087" spans="7:7" hidden="1" x14ac:dyDescent="0.2">
      <c r="G4087" s="401"/>
    </row>
    <row r="4088" spans="7:7" hidden="1" x14ac:dyDescent="0.2">
      <c r="G4088" s="401"/>
    </row>
    <row r="4089" spans="7:7" hidden="1" x14ac:dyDescent="0.2">
      <c r="G4089" s="401"/>
    </row>
    <row r="4090" spans="7:7" hidden="1" x14ac:dyDescent="0.2">
      <c r="G4090" s="401"/>
    </row>
    <row r="4091" spans="7:7" hidden="1" x14ac:dyDescent="0.2">
      <c r="G4091" s="401"/>
    </row>
    <row r="4092" spans="7:7" hidden="1" x14ac:dyDescent="0.2">
      <c r="G4092" s="401"/>
    </row>
    <row r="4093" spans="7:7" hidden="1" x14ac:dyDescent="0.2">
      <c r="G4093" s="401"/>
    </row>
    <row r="4094" spans="7:7" hidden="1" x14ac:dyDescent="0.2">
      <c r="G4094" s="401"/>
    </row>
    <row r="4095" spans="7:7" hidden="1" x14ac:dyDescent="0.2">
      <c r="G4095" s="401"/>
    </row>
    <row r="4096" spans="7:7" hidden="1" x14ac:dyDescent="0.2">
      <c r="G4096" s="401"/>
    </row>
    <row r="4097" spans="7:7" hidden="1" x14ac:dyDescent="0.2">
      <c r="G4097" s="401"/>
    </row>
    <row r="4098" spans="7:7" hidden="1" x14ac:dyDescent="0.2">
      <c r="G4098" s="401"/>
    </row>
    <row r="4099" spans="7:7" hidden="1" x14ac:dyDescent="0.2">
      <c r="G4099" s="401"/>
    </row>
    <row r="4100" spans="7:7" hidden="1" x14ac:dyDescent="0.2">
      <c r="G4100" s="401"/>
    </row>
    <row r="4101" spans="7:7" hidden="1" x14ac:dyDescent="0.2">
      <c r="G4101" s="401"/>
    </row>
    <row r="4102" spans="7:7" hidden="1" x14ac:dyDescent="0.2">
      <c r="G4102" s="401"/>
    </row>
    <row r="4103" spans="7:7" hidden="1" x14ac:dyDescent="0.2">
      <c r="G4103" s="401"/>
    </row>
    <row r="4104" spans="7:7" hidden="1" x14ac:dyDescent="0.2">
      <c r="G4104" s="401"/>
    </row>
    <row r="4105" spans="7:7" hidden="1" x14ac:dyDescent="0.2">
      <c r="G4105" s="401"/>
    </row>
    <row r="4106" spans="7:7" hidden="1" x14ac:dyDescent="0.2">
      <c r="G4106" s="401"/>
    </row>
    <row r="4107" spans="7:7" hidden="1" x14ac:dyDescent="0.2">
      <c r="G4107" s="401"/>
    </row>
    <row r="4108" spans="7:7" hidden="1" x14ac:dyDescent="0.2">
      <c r="G4108" s="401"/>
    </row>
    <row r="4109" spans="7:7" hidden="1" x14ac:dyDescent="0.2">
      <c r="G4109" s="401"/>
    </row>
    <row r="4110" spans="7:7" hidden="1" x14ac:dyDescent="0.2">
      <c r="G4110" s="401"/>
    </row>
    <row r="4111" spans="7:7" hidden="1" x14ac:dyDescent="0.2">
      <c r="G4111" s="401"/>
    </row>
    <row r="4112" spans="7:7" hidden="1" x14ac:dyDescent="0.2">
      <c r="G4112" s="401"/>
    </row>
    <row r="4113" spans="7:7" hidden="1" x14ac:dyDescent="0.2">
      <c r="G4113" s="401"/>
    </row>
    <row r="4114" spans="7:7" hidden="1" x14ac:dyDescent="0.2">
      <c r="G4114" s="401"/>
    </row>
    <row r="4115" spans="7:7" hidden="1" x14ac:dyDescent="0.2">
      <c r="G4115" s="401"/>
    </row>
    <row r="4116" spans="7:7" hidden="1" x14ac:dyDescent="0.2">
      <c r="G4116" s="401"/>
    </row>
    <row r="4117" spans="7:7" hidden="1" x14ac:dyDescent="0.2">
      <c r="G4117" s="401"/>
    </row>
    <row r="4118" spans="7:7" hidden="1" x14ac:dyDescent="0.2">
      <c r="G4118" s="401"/>
    </row>
    <row r="4119" spans="7:7" hidden="1" x14ac:dyDescent="0.2">
      <c r="G4119" s="401"/>
    </row>
    <row r="4120" spans="7:7" hidden="1" x14ac:dyDescent="0.2">
      <c r="G4120" s="401"/>
    </row>
    <row r="4121" spans="7:7" hidden="1" x14ac:dyDescent="0.2">
      <c r="G4121" s="401"/>
    </row>
    <row r="4122" spans="7:7" hidden="1" x14ac:dyDescent="0.2">
      <c r="G4122" s="401"/>
    </row>
    <row r="4123" spans="7:7" hidden="1" x14ac:dyDescent="0.2">
      <c r="G4123" s="401"/>
    </row>
    <row r="4124" spans="7:7" hidden="1" x14ac:dyDescent="0.2">
      <c r="G4124" s="401"/>
    </row>
    <row r="4125" spans="7:7" hidden="1" x14ac:dyDescent="0.2">
      <c r="G4125" s="401"/>
    </row>
    <row r="4126" spans="7:7" hidden="1" x14ac:dyDescent="0.2">
      <c r="G4126" s="401"/>
    </row>
    <row r="4127" spans="7:7" hidden="1" x14ac:dyDescent="0.2">
      <c r="G4127" s="401"/>
    </row>
    <row r="4128" spans="7:7" hidden="1" x14ac:dyDescent="0.2">
      <c r="G4128" s="401"/>
    </row>
    <row r="4129" spans="7:7" hidden="1" x14ac:dyDescent="0.2">
      <c r="G4129" s="401"/>
    </row>
    <row r="4130" spans="7:7" hidden="1" x14ac:dyDescent="0.2">
      <c r="G4130" s="401"/>
    </row>
    <row r="4131" spans="7:7" hidden="1" x14ac:dyDescent="0.2">
      <c r="G4131" s="401"/>
    </row>
    <row r="4132" spans="7:7" hidden="1" x14ac:dyDescent="0.2">
      <c r="G4132" s="401"/>
    </row>
    <row r="4133" spans="7:7" hidden="1" x14ac:dyDescent="0.2">
      <c r="G4133" s="401"/>
    </row>
    <row r="4134" spans="7:7" hidden="1" x14ac:dyDescent="0.2">
      <c r="G4134" s="401"/>
    </row>
    <row r="4135" spans="7:7" hidden="1" x14ac:dyDescent="0.2">
      <c r="G4135" s="401"/>
    </row>
    <row r="4136" spans="7:7" hidden="1" x14ac:dyDescent="0.2">
      <c r="G4136" s="401"/>
    </row>
    <row r="4137" spans="7:7" hidden="1" x14ac:dyDescent="0.2">
      <c r="G4137" s="401"/>
    </row>
    <row r="4138" spans="7:7" hidden="1" x14ac:dyDescent="0.2">
      <c r="G4138" s="401"/>
    </row>
    <row r="4139" spans="7:7" hidden="1" x14ac:dyDescent="0.2">
      <c r="G4139" s="401"/>
    </row>
    <row r="4140" spans="7:7" hidden="1" x14ac:dyDescent="0.2">
      <c r="G4140" s="401"/>
    </row>
    <row r="4141" spans="7:7" hidden="1" x14ac:dyDescent="0.2">
      <c r="G4141" s="401"/>
    </row>
    <row r="4142" spans="7:7" hidden="1" x14ac:dyDescent="0.2">
      <c r="G4142" s="401"/>
    </row>
    <row r="4143" spans="7:7" hidden="1" x14ac:dyDescent="0.2">
      <c r="G4143" s="401"/>
    </row>
    <row r="4144" spans="7:7" hidden="1" x14ac:dyDescent="0.2">
      <c r="G4144" s="401"/>
    </row>
    <row r="4145" spans="7:7" hidden="1" x14ac:dyDescent="0.2">
      <c r="G4145" s="401"/>
    </row>
    <row r="4146" spans="7:7" hidden="1" x14ac:dyDescent="0.2">
      <c r="G4146" s="401"/>
    </row>
    <row r="4147" spans="7:7" hidden="1" x14ac:dyDescent="0.2">
      <c r="G4147" s="401"/>
    </row>
    <row r="4148" spans="7:7" hidden="1" x14ac:dyDescent="0.2">
      <c r="G4148" s="401"/>
    </row>
    <row r="4149" spans="7:7" hidden="1" x14ac:dyDescent="0.2">
      <c r="G4149" s="401"/>
    </row>
    <row r="4150" spans="7:7" hidden="1" x14ac:dyDescent="0.2">
      <c r="G4150" s="401"/>
    </row>
    <row r="4151" spans="7:7" hidden="1" x14ac:dyDescent="0.2">
      <c r="G4151" s="401"/>
    </row>
    <row r="4152" spans="7:7" hidden="1" x14ac:dyDescent="0.2">
      <c r="G4152" s="401"/>
    </row>
    <row r="4153" spans="7:7" hidden="1" x14ac:dyDescent="0.2">
      <c r="G4153" s="401"/>
    </row>
    <row r="4154" spans="7:7" hidden="1" x14ac:dyDescent="0.2">
      <c r="G4154" s="401"/>
    </row>
    <row r="4155" spans="7:7" hidden="1" x14ac:dyDescent="0.2">
      <c r="G4155" s="401"/>
    </row>
    <row r="4156" spans="7:7" hidden="1" x14ac:dyDescent="0.2">
      <c r="G4156" s="401"/>
    </row>
    <row r="4157" spans="7:7" hidden="1" x14ac:dyDescent="0.2">
      <c r="G4157" s="401"/>
    </row>
    <row r="4158" spans="7:7" hidden="1" x14ac:dyDescent="0.2">
      <c r="G4158" s="401"/>
    </row>
    <row r="4159" spans="7:7" hidden="1" x14ac:dyDescent="0.2">
      <c r="G4159" s="401"/>
    </row>
    <row r="4160" spans="7:7" hidden="1" x14ac:dyDescent="0.2">
      <c r="G4160" s="401"/>
    </row>
    <row r="4161" spans="7:7" hidden="1" x14ac:dyDescent="0.2">
      <c r="G4161" s="401"/>
    </row>
    <row r="4162" spans="7:7" hidden="1" x14ac:dyDescent="0.2">
      <c r="G4162" s="401"/>
    </row>
    <row r="4163" spans="7:7" hidden="1" x14ac:dyDescent="0.2">
      <c r="G4163" s="401"/>
    </row>
    <row r="4164" spans="7:7" hidden="1" x14ac:dyDescent="0.2">
      <c r="G4164" s="401"/>
    </row>
    <row r="4165" spans="7:7" hidden="1" x14ac:dyDescent="0.2">
      <c r="G4165" s="401"/>
    </row>
    <row r="4166" spans="7:7" hidden="1" x14ac:dyDescent="0.2">
      <c r="G4166" s="401"/>
    </row>
    <row r="4167" spans="7:7" hidden="1" x14ac:dyDescent="0.2">
      <c r="G4167" s="401"/>
    </row>
    <row r="4168" spans="7:7" hidden="1" x14ac:dyDescent="0.2">
      <c r="G4168" s="401"/>
    </row>
    <row r="4169" spans="7:7" hidden="1" x14ac:dyDescent="0.2">
      <c r="G4169" s="401"/>
    </row>
    <row r="4170" spans="7:7" hidden="1" x14ac:dyDescent="0.2">
      <c r="G4170" s="401"/>
    </row>
    <row r="4171" spans="7:7" hidden="1" x14ac:dyDescent="0.2">
      <c r="G4171" s="401"/>
    </row>
    <row r="4172" spans="7:7" hidden="1" x14ac:dyDescent="0.2">
      <c r="G4172" s="401"/>
    </row>
    <row r="4173" spans="7:7" hidden="1" x14ac:dyDescent="0.2">
      <c r="G4173" s="401"/>
    </row>
    <row r="4174" spans="7:7" hidden="1" x14ac:dyDescent="0.2">
      <c r="G4174" s="401"/>
    </row>
    <row r="4175" spans="7:7" hidden="1" x14ac:dyDescent="0.2">
      <c r="G4175" s="401"/>
    </row>
    <row r="4176" spans="7:7" hidden="1" x14ac:dyDescent="0.2">
      <c r="G4176" s="401"/>
    </row>
    <row r="4177" spans="7:7" hidden="1" x14ac:dyDescent="0.2">
      <c r="G4177" s="401"/>
    </row>
    <row r="4178" spans="7:7" hidden="1" x14ac:dyDescent="0.2">
      <c r="G4178" s="401"/>
    </row>
    <row r="4179" spans="7:7" hidden="1" x14ac:dyDescent="0.2">
      <c r="G4179" s="401"/>
    </row>
    <row r="4180" spans="7:7" hidden="1" x14ac:dyDescent="0.2">
      <c r="G4180" s="401"/>
    </row>
    <row r="4181" spans="7:7" hidden="1" x14ac:dyDescent="0.2">
      <c r="G4181" s="401"/>
    </row>
    <row r="4182" spans="7:7" hidden="1" x14ac:dyDescent="0.2">
      <c r="G4182" s="401"/>
    </row>
    <row r="4183" spans="7:7" hidden="1" x14ac:dyDescent="0.2">
      <c r="G4183" s="401"/>
    </row>
    <row r="4184" spans="7:7" hidden="1" x14ac:dyDescent="0.2">
      <c r="G4184" s="401"/>
    </row>
    <row r="4185" spans="7:7" hidden="1" x14ac:dyDescent="0.2">
      <c r="G4185" s="401"/>
    </row>
    <row r="4186" spans="7:7" hidden="1" x14ac:dyDescent="0.2">
      <c r="G4186" s="401"/>
    </row>
    <row r="4187" spans="7:7" hidden="1" x14ac:dyDescent="0.2">
      <c r="G4187" s="401"/>
    </row>
    <row r="4188" spans="7:7" hidden="1" x14ac:dyDescent="0.2">
      <c r="G4188" s="401"/>
    </row>
    <row r="4189" spans="7:7" hidden="1" x14ac:dyDescent="0.2">
      <c r="G4189" s="401"/>
    </row>
    <row r="4190" spans="7:7" hidden="1" x14ac:dyDescent="0.2">
      <c r="G4190" s="401"/>
    </row>
    <row r="4191" spans="7:7" hidden="1" x14ac:dyDescent="0.2">
      <c r="G4191" s="401"/>
    </row>
    <row r="4192" spans="7:7" hidden="1" x14ac:dyDescent="0.2">
      <c r="G4192" s="401"/>
    </row>
    <row r="4193" spans="7:7" hidden="1" x14ac:dyDescent="0.2">
      <c r="G4193" s="401"/>
    </row>
    <row r="4194" spans="7:7" hidden="1" x14ac:dyDescent="0.2">
      <c r="G4194" s="401"/>
    </row>
    <row r="4195" spans="7:7" hidden="1" x14ac:dyDescent="0.2">
      <c r="G4195" s="401"/>
    </row>
    <row r="4196" spans="7:7" hidden="1" x14ac:dyDescent="0.2">
      <c r="G4196" s="401"/>
    </row>
    <row r="4197" spans="7:7" hidden="1" x14ac:dyDescent="0.2">
      <c r="G4197" s="401"/>
    </row>
    <row r="4198" spans="7:7" hidden="1" x14ac:dyDescent="0.2">
      <c r="G4198" s="401"/>
    </row>
    <row r="4199" spans="7:7" hidden="1" x14ac:dyDescent="0.2">
      <c r="G4199" s="401"/>
    </row>
    <row r="4200" spans="7:7" hidden="1" x14ac:dyDescent="0.2">
      <c r="G4200" s="401"/>
    </row>
    <row r="4201" spans="7:7" hidden="1" x14ac:dyDescent="0.2">
      <c r="G4201" s="401"/>
    </row>
    <row r="4202" spans="7:7" hidden="1" x14ac:dyDescent="0.2">
      <c r="G4202" s="401"/>
    </row>
    <row r="4203" spans="7:7" hidden="1" x14ac:dyDescent="0.2">
      <c r="G4203" s="401"/>
    </row>
    <row r="4204" spans="7:7" hidden="1" x14ac:dyDescent="0.2">
      <c r="G4204" s="401"/>
    </row>
    <row r="4205" spans="7:7" hidden="1" x14ac:dyDescent="0.2">
      <c r="G4205" s="401"/>
    </row>
    <row r="4206" spans="7:7" hidden="1" x14ac:dyDescent="0.2">
      <c r="G4206" s="401"/>
    </row>
    <row r="4207" spans="7:7" hidden="1" x14ac:dyDescent="0.2">
      <c r="G4207" s="401"/>
    </row>
    <row r="4208" spans="7:7" hidden="1" x14ac:dyDescent="0.2">
      <c r="G4208" s="401"/>
    </row>
    <row r="4209" spans="7:7" hidden="1" x14ac:dyDescent="0.2">
      <c r="G4209" s="401"/>
    </row>
    <row r="4210" spans="7:7" hidden="1" x14ac:dyDescent="0.2">
      <c r="G4210" s="401"/>
    </row>
    <row r="4211" spans="7:7" hidden="1" x14ac:dyDescent="0.2">
      <c r="G4211" s="401"/>
    </row>
    <row r="4212" spans="7:7" hidden="1" x14ac:dyDescent="0.2">
      <c r="G4212" s="401"/>
    </row>
    <row r="4213" spans="7:7" hidden="1" x14ac:dyDescent="0.2">
      <c r="G4213" s="401"/>
    </row>
    <row r="4214" spans="7:7" hidden="1" x14ac:dyDescent="0.2">
      <c r="G4214" s="401"/>
    </row>
    <row r="4215" spans="7:7" hidden="1" x14ac:dyDescent="0.2">
      <c r="G4215" s="401"/>
    </row>
    <row r="4216" spans="7:7" hidden="1" x14ac:dyDescent="0.2">
      <c r="G4216" s="401"/>
    </row>
    <row r="4217" spans="7:7" hidden="1" x14ac:dyDescent="0.2">
      <c r="G4217" s="401"/>
    </row>
    <row r="4218" spans="7:7" hidden="1" x14ac:dyDescent="0.2">
      <c r="G4218" s="401"/>
    </row>
    <row r="4219" spans="7:7" hidden="1" x14ac:dyDescent="0.2">
      <c r="G4219" s="401"/>
    </row>
    <row r="4220" spans="7:7" hidden="1" x14ac:dyDescent="0.2">
      <c r="G4220" s="401"/>
    </row>
    <row r="4221" spans="7:7" hidden="1" x14ac:dyDescent="0.2">
      <c r="G4221" s="401"/>
    </row>
    <row r="4222" spans="7:7" hidden="1" x14ac:dyDescent="0.2">
      <c r="G4222" s="401"/>
    </row>
    <row r="4223" spans="7:7" hidden="1" x14ac:dyDescent="0.2">
      <c r="G4223" s="401"/>
    </row>
    <row r="4224" spans="7:7" hidden="1" x14ac:dyDescent="0.2">
      <c r="G4224" s="401"/>
    </row>
    <row r="4225" spans="7:7" hidden="1" x14ac:dyDescent="0.2">
      <c r="G4225" s="401"/>
    </row>
    <row r="4226" spans="7:7" hidden="1" x14ac:dyDescent="0.2">
      <c r="G4226" s="401"/>
    </row>
    <row r="4227" spans="7:7" hidden="1" x14ac:dyDescent="0.2">
      <c r="G4227" s="401"/>
    </row>
    <row r="4228" spans="7:7" hidden="1" x14ac:dyDescent="0.2">
      <c r="G4228" s="401"/>
    </row>
    <row r="4229" spans="7:7" hidden="1" x14ac:dyDescent="0.2">
      <c r="G4229" s="401"/>
    </row>
    <row r="4230" spans="7:7" hidden="1" x14ac:dyDescent="0.2">
      <c r="G4230" s="401"/>
    </row>
    <row r="4231" spans="7:7" hidden="1" x14ac:dyDescent="0.2">
      <c r="G4231" s="401"/>
    </row>
    <row r="4232" spans="7:7" hidden="1" x14ac:dyDescent="0.2">
      <c r="G4232" s="401"/>
    </row>
    <row r="4233" spans="7:7" hidden="1" x14ac:dyDescent="0.2">
      <c r="G4233" s="401"/>
    </row>
    <row r="4234" spans="7:7" hidden="1" x14ac:dyDescent="0.2">
      <c r="G4234" s="401"/>
    </row>
    <row r="4235" spans="7:7" hidden="1" x14ac:dyDescent="0.2">
      <c r="G4235" s="401"/>
    </row>
    <row r="4236" spans="7:7" hidden="1" x14ac:dyDescent="0.2">
      <c r="G4236" s="401"/>
    </row>
    <row r="4237" spans="7:7" hidden="1" x14ac:dyDescent="0.2">
      <c r="G4237" s="401"/>
    </row>
    <row r="4238" spans="7:7" hidden="1" x14ac:dyDescent="0.2">
      <c r="G4238" s="401"/>
    </row>
    <row r="4239" spans="7:7" hidden="1" x14ac:dyDescent="0.2">
      <c r="G4239" s="401"/>
    </row>
    <row r="4240" spans="7:7" hidden="1" x14ac:dyDescent="0.2">
      <c r="G4240" s="401"/>
    </row>
    <row r="4241" spans="7:7" hidden="1" x14ac:dyDescent="0.2">
      <c r="G4241" s="401"/>
    </row>
    <row r="4242" spans="7:7" hidden="1" x14ac:dyDescent="0.2">
      <c r="G4242" s="401"/>
    </row>
    <row r="4243" spans="7:7" hidden="1" x14ac:dyDescent="0.2">
      <c r="G4243" s="401"/>
    </row>
    <row r="4244" spans="7:7" hidden="1" x14ac:dyDescent="0.2">
      <c r="G4244" s="401"/>
    </row>
    <row r="4245" spans="7:7" hidden="1" x14ac:dyDescent="0.2">
      <c r="G4245" s="401"/>
    </row>
    <row r="4246" spans="7:7" hidden="1" x14ac:dyDescent="0.2">
      <c r="G4246" s="401"/>
    </row>
    <row r="4247" spans="7:7" hidden="1" x14ac:dyDescent="0.2">
      <c r="G4247" s="401"/>
    </row>
    <row r="4248" spans="7:7" hidden="1" x14ac:dyDescent="0.2">
      <c r="G4248" s="401"/>
    </row>
    <row r="4249" spans="7:7" hidden="1" x14ac:dyDescent="0.2">
      <c r="G4249" s="401"/>
    </row>
    <row r="4250" spans="7:7" hidden="1" x14ac:dyDescent="0.2">
      <c r="G4250" s="401"/>
    </row>
    <row r="4251" spans="7:7" hidden="1" x14ac:dyDescent="0.2">
      <c r="G4251" s="401"/>
    </row>
    <row r="4252" spans="7:7" hidden="1" x14ac:dyDescent="0.2">
      <c r="G4252" s="401"/>
    </row>
    <row r="4253" spans="7:7" hidden="1" x14ac:dyDescent="0.2">
      <c r="G4253" s="401"/>
    </row>
    <row r="4254" spans="7:7" hidden="1" x14ac:dyDescent="0.2">
      <c r="G4254" s="401"/>
    </row>
    <row r="4255" spans="7:7" hidden="1" x14ac:dyDescent="0.2">
      <c r="G4255" s="401"/>
    </row>
    <row r="4256" spans="7:7" hidden="1" x14ac:dyDescent="0.2">
      <c r="G4256" s="401"/>
    </row>
    <row r="4257" spans="7:7" hidden="1" x14ac:dyDescent="0.2">
      <c r="G4257" s="401"/>
    </row>
    <row r="4258" spans="7:7" hidden="1" x14ac:dyDescent="0.2">
      <c r="G4258" s="401"/>
    </row>
    <row r="4259" spans="7:7" hidden="1" x14ac:dyDescent="0.2">
      <c r="G4259" s="401"/>
    </row>
    <row r="4260" spans="7:7" hidden="1" x14ac:dyDescent="0.2">
      <c r="G4260" s="401"/>
    </row>
    <row r="4261" spans="7:7" hidden="1" x14ac:dyDescent="0.2">
      <c r="G4261" s="401"/>
    </row>
    <row r="4262" spans="7:7" hidden="1" x14ac:dyDescent="0.2">
      <c r="G4262" s="401"/>
    </row>
    <row r="4263" spans="7:7" hidden="1" x14ac:dyDescent="0.2">
      <c r="G4263" s="401"/>
    </row>
    <row r="4264" spans="7:7" hidden="1" x14ac:dyDescent="0.2">
      <c r="G4264" s="401"/>
    </row>
    <row r="4265" spans="7:7" hidden="1" x14ac:dyDescent="0.2">
      <c r="G4265" s="401"/>
    </row>
    <row r="4266" spans="7:7" hidden="1" x14ac:dyDescent="0.2">
      <c r="G4266" s="401"/>
    </row>
    <row r="4267" spans="7:7" hidden="1" x14ac:dyDescent="0.2">
      <c r="G4267" s="401"/>
    </row>
    <row r="4268" spans="7:7" hidden="1" x14ac:dyDescent="0.2">
      <c r="G4268" s="401"/>
    </row>
    <row r="4269" spans="7:7" hidden="1" x14ac:dyDescent="0.2">
      <c r="G4269" s="401"/>
    </row>
    <row r="4270" spans="7:7" hidden="1" x14ac:dyDescent="0.2">
      <c r="G4270" s="401"/>
    </row>
    <row r="4271" spans="7:7" hidden="1" x14ac:dyDescent="0.2">
      <c r="G4271" s="401"/>
    </row>
    <row r="4272" spans="7:7" hidden="1" x14ac:dyDescent="0.2">
      <c r="G4272" s="401"/>
    </row>
    <row r="4273" spans="7:7" hidden="1" x14ac:dyDescent="0.2">
      <c r="G4273" s="401"/>
    </row>
    <row r="4274" spans="7:7" hidden="1" x14ac:dyDescent="0.2">
      <c r="G4274" s="401"/>
    </row>
    <row r="4275" spans="7:7" hidden="1" x14ac:dyDescent="0.2">
      <c r="G4275" s="401"/>
    </row>
    <row r="4276" spans="7:7" hidden="1" x14ac:dyDescent="0.2">
      <c r="G4276" s="401"/>
    </row>
    <row r="4277" spans="7:7" hidden="1" x14ac:dyDescent="0.2">
      <c r="G4277" s="401"/>
    </row>
    <row r="4278" spans="7:7" hidden="1" x14ac:dyDescent="0.2">
      <c r="G4278" s="401"/>
    </row>
    <row r="4279" spans="7:7" hidden="1" x14ac:dyDescent="0.2">
      <c r="G4279" s="401"/>
    </row>
    <row r="4280" spans="7:7" hidden="1" x14ac:dyDescent="0.2">
      <c r="G4280" s="401"/>
    </row>
    <row r="4281" spans="7:7" hidden="1" x14ac:dyDescent="0.2">
      <c r="G4281" s="401"/>
    </row>
    <row r="4282" spans="7:7" hidden="1" x14ac:dyDescent="0.2">
      <c r="G4282" s="401"/>
    </row>
    <row r="4283" spans="7:7" hidden="1" x14ac:dyDescent="0.2">
      <c r="G4283" s="401"/>
    </row>
    <row r="4284" spans="7:7" hidden="1" x14ac:dyDescent="0.2">
      <c r="G4284" s="401"/>
    </row>
    <row r="4285" spans="7:7" hidden="1" x14ac:dyDescent="0.2">
      <c r="G4285" s="401"/>
    </row>
    <row r="4286" spans="7:7" hidden="1" x14ac:dyDescent="0.2">
      <c r="G4286" s="401"/>
    </row>
    <row r="4287" spans="7:7" hidden="1" x14ac:dyDescent="0.2">
      <c r="G4287" s="401"/>
    </row>
    <row r="4288" spans="7:7" hidden="1" x14ac:dyDescent="0.2">
      <c r="G4288" s="401"/>
    </row>
    <row r="4289" spans="7:7" hidden="1" x14ac:dyDescent="0.2">
      <c r="G4289" s="401"/>
    </row>
    <row r="4290" spans="7:7" hidden="1" x14ac:dyDescent="0.2">
      <c r="G4290" s="401"/>
    </row>
    <row r="4291" spans="7:7" hidden="1" x14ac:dyDescent="0.2">
      <c r="G4291" s="401"/>
    </row>
    <row r="4292" spans="7:7" hidden="1" x14ac:dyDescent="0.2">
      <c r="G4292" s="401"/>
    </row>
    <row r="4293" spans="7:7" hidden="1" x14ac:dyDescent="0.2">
      <c r="G4293" s="401"/>
    </row>
    <row r="4294" spans="7:7" hidden="1" x14ac:dyDescent="0.2">
      <c r="G4294" s="401"/>
    </row>
    <row r="4295" spans="7:7" hidden="1" x14ac:dyDescent="0.2">
      <c r="G4295" s="401"/>
    </row>
    <row r="4296" spans="7:7" hidden="1" x14ac:dyDescent="0.2">
      <c r="G4296" s="401"/>
    </row>
    <row r="4297" spans="7:7" hidden="1" x14ac:dyDescent="0.2">
      <c r="G4297" s="401"/>
    </row>
    <row r="4298" spans="7:7" hidden="1" x14ac:dyDescent="0.2">
      <c r="G4298" s="401"/>
    </row>
    <row r="4299" spans="7:7" hidden="1" x14ac:dyDescent="0.2">
      <c r="G4299" s="401"/>
    </row>
    <row r="4300" spans="7:7" hidden="1" x14ac:dyDescent="0.2">
      <c r="G4300" s="401"/>
    </row>
    <row r="4301" spans="7:7" hidden="1" x14ac:dyDescent="0.2">
      <c r="G4301" s="401"/>
    </row>
    <row r="4302" spans="7:7" hidden="1" x14ac:dyDescent="0.2">
      <c r="G4302" s="401"/>
    </row>
    <row r="4303" spans="7:7" hidden="1" x14ac:dyDescent="0.2">
      <c r="G4303" s="401"/>
    </row>
    <row r="4304" spans="7:7" hidden="1" x14ac:dyDescent="0.2">
      <c r="G4304" s="401"/>
    </row>
    <row r="4305" spans="7:7" hidden="1" x14ac:dyDescent="0.2">
      <c r="G4305" s="401"/>
    </row>
    <row r="4306" spans="7:7" hidden="1" x14ac:dyDescent="0.2">
      <c r="G4306" s="401"/>
    </row>
    <row r="4307" spans="7:7" hidden="1" x14ac:dyDescent="0.2">
      <c r="G4307" s="401"/>
    </row>
    <row r="4308" spans="7:7" hidden="1" x14ac:dyDescent="0.2">
      <c r="G4308" s="401"/>
    </row>
    <row r="4309" spans="7:7" hidden="1" x14ac:dyDescent="0.2">
      <c r="G4309" s="401"/>
    </row>
    <row r="4310" spans="7:7" hidden="1" x14ac:dyDescent="0.2">
      <c r="G4310" s="401"/>
    </row>
    <row r="4311" spans="7:7" hidden="1" x14ac:dyDescent="0.2">
      <c r="G4311" s="401"/>
    </row>
    <row r="4312" spans="7:7" hidden="1" x14ac:dyDescent="0.2">
      <c r="G4312" s="401"/>
    </row>
    <row r="4313" spans="7:7" hidden="1" x14ac:dyDescent="0.2">
      <c r="G4313" s="401"/>
    </row>
    <row r="4314" spans="7:7" hidden="1" x14ac:dyDescent="0.2">
      <c r="G4314" s="401"/>
    </row>
    <row r="4315" spans="7:7" hidden="1" x14ac:dyDescent="0.2">
      <c r="G4315" s="401"/>
    </row>
    <row r="4316" spans="7:7" hidden="1" x14ac:dyDescent="0.2">
      <c r="G4316" s="401"/>
    </row>
    <row r="4317" spans="7:7" hidden="1" x14ac:dyDescent="0.2">
      <c r="G4317" s="401"/>
    </row>
    <row r="4318" spans="7:7" hidden="1" x14ac:dyDescent="0.2">
      <c r="G4318" s="401"/>
    </row>
    <row r="4319" spans="7:7" hidden="1" x14ac:dyDescent="0.2">
      <c r="G4319" s="401"/>
    </row>
    <row r="4320" spans="7:7" hidden="1" x14ac:dyDescent="0.2">
      <c r="G4320" s="401"/>
    </row>
    <row r="4321" spans="7:7" hidden="1" x14ac:dyDescent="0.2">
      <c r="G4321" s="401"/>
    </row>
    <row r="4322" spans="7:7" hidden="1" x14ac:dyDescent="0.2">
      <c r="G4322" s="401"/>
    </row>
    <row r="4323" spans="7:7" hidden="1" x14ac:dyDescent="0.2">
      <c r="G4323" s="401"/>
    </row>
    <row r="4324" spans="7:7" hidden="1" x14ac:dyDescent="0.2">
      <c r="G4324" s="401"/>
    </row>
    <row r="4325" spans="7:7" hidden="1" x14ac:dyDescent="0.2">
      <c r="G4325" s="401"/>
    </row>
    <row r="4326" spans="7:7" hidden="1" x14ac:dyDescent="0.2">
      <c r="G4326" s="401"/>
    </row>
    <row r="4327" spans="7:7" hidden="1" x14ac:dyDescent="0.2">
      <c r="G4327" s="401"/>
    </row>
    <row r="4328" spans="7:7" hidden="1" x14ac:dyDescent="0.2">
      <c r="G4328" s="401"/>
    </row>
    <row r="4329" spans="7:7" hidden="1" x14ac:dyDescent="0.2">
      <c r="G4329" s="401"/>
    </row>
    <row r="4330" spans="7:7" hidden="1" x14ac:dyDescent="0.2">
      <c r="G4330" s="401"/>
    </row>
    <row r="4331" spans="7:7" hidden="1" x14ac:dyDescent="0.2">
      <c r="G4331" s="401"/>
    </row>
    <row r="4332" spans="7:7" hidden="1" x14ac:dyDescent="0.2">
      <c r="G4332" s="401"/>
    </row>
    <row r="4333" spans="7:7" hidden="1" x14ac:dyDescent="0.2">
      <c r="G4333" s="401"/>
    </row>
    <row r="4334" spans="7:7" hidden="1" x14ac:dyDescent="0.2">
      <c r="G4334" s="401"/>
    </row>
    <row r="4335" spans="7:7" hidden="1" x14ac:dyDescent="0.2">
      <c r="G4335" s="401"/>
    </row>
    <row r="4336" spans="7:7" hidden="1" x14ac:dyDescent="0.2">
      <c r="G4336" s="401"/>
    </row>
    <row r="4337" spans="7:7" hidden="1" x14ac:dyDescent="0.2">
      <c r="G4337" s="401"/>
    </row>
    <row r="4338" spans="7:7" hidden="1" x14ac:dyDescent="0.2">
      <c r="G4338" s="401"/>
    </row>
    <row r="4339" spans="7:7" hidden="1" x14ac:dyDescent="0.2">
      <c r="G4339" s="401"/>
    </row>
    <row r="4340" spans="7:7" hidden="1" x14ac:dyDescent="0.2">
      <c r="G4340" s="401"/>
    </row>
    <row r="4341" spans="7:7" hidden="1" x14ac:dyDescent="0.2">
      <c r="G4341" s="401"/>
    </row>
    <row r="4342" spans="7:7" hidden="1" x14ac:dyDescent="0.2">
      <c r="G4342" s="401"/>
    </row>
    <row r="4343" spans="7:7" hidden="1" x14ac:dyDescent="0.2">
      <c r="G4343" s="401"/>
    </row>
    <row r="4344" spans="7:7" hidden="1" x14ac:dyDescent="0.2">
      <c r="G4344" s="401"/>
    </row>
    <row r="4345" spans="7:7" hidden="1" x14ac:dyDescent="0.2">
      <c r="G4345" s="401"/>
    </row>
    <row r="4346" spans="7:7" hidden="1" x14ac:dyDescent="0.2">
      <c r="G4346" s="401"/>
    </row>
    <row r="4347" spans="7:7" hidden="1" x14ac:dyDescent="0.2">
      <c r="G4347" s="401"/>
    </row>
    <row r="4348" spans="7:7" hidden="1" x14ac:dyDescent="0.2">
      <c r="G4348" s="401"/>
    </row>
    <row r="4349" spans="7:7" hidden="1" x14ac:dyDescent="0.2">
      <c r="G4349" s="401"/>
    </row>
    <row r="4350" spans="7:7" hidden="1" x14ac:dyDescent="0.2">
      <c r="G4350" s="401"/>
    </row>
    <row r="4351" spans="7:7" hidden="1" x14ac:dyDescent="0.2">
      <c r="G4351" s="401"/>
    </row>
    <row r="4352" spans="7:7" hidden="1" x14ac:dyDescent="0.2">
      <c r="G4352" s="401"/>
    </row>
    <row r="4353" spans="7:7" hidden="1" x14ac:dyDescent="0.2">
      <c r="G4353" s="401"/>
    </row>
    <row r="4354" spans="7:7" hidden="1" x14ac:dyDescent="0.2">
      <c r="G4354" s="401"/>
    </row>
    <row r="4355" spans="7:7" hidden="1" x14ac:dyDescent="0.2">
      <c r="G4355" s="401"/>
    </row>
    <row r="4356" spans="7:7" hidden="1" x14ac:dyDescent="0.2">
      <c r="G4356" s="401"/>
    </row>
    <row r="4357" spans="7:7" hidden="1" x14ac:dyDescent="0.2">
      <c r="G4357" s="401"/>
    </row>
    <row r="4358" spans="7:7" hidden="1" x14ac:dyDescent="0.2">
      <c r="G4358" s="401"/>
    </row>
    <row r="4359" spans="7:7" hidden="1" x14ac:dyDescent="0.2">
      <c r="G4359" s="401"/>
    </row>
    <row r="4360" spans="7:7" hidden="1" x14ac:dyDescent="0.2">
      <c r="G4360" s="401"/>
    </row>
    <row r="4361" spans="7:7" hidden="1" x14ac:dyDescent="0.2">
      <c r="G4361" s="401"/>
    </row>
    <row r="4362" spans="7:7" hidden="1" x14ac:dyDescent="0.2">
      <c r="G4362" s="401"/>
    </row>
    <row r="4363" spans="7:7" hidden="1" x14ac:dyDescent="0.2">
      <c r="G4363" s="401"/>
    </row>
    <row r="4364" spans="7:7" hidden="1" x14ac:dyDescent="0.2">
      <c r="G4364" s="401"/>
    </row>
    <row r="4365" spans="7:7" hidden="1" x14ac:dyDescent="0.2">
      <c r="G4365" s="401"/>
    </row>
    <row r="4366" spans="7:7" hidden="1" x14ac:dyDescent="0.2">
      <c r="G4366" s="401"/>
    </row>
    <row r="4367" spans="7:7" hidden="1" x14ac:dyDescent="0.2">
      <c r="G4367" s="401"/>
    </row>
    <row r="4368" spans="7:7" hidden="1" x14ac:dyDescent="0.2">
      <c r="G4368" s="401"/>
    </row>
    <row r="4369" spans="7:7" hidden="1" x14ac:dyDescent="0.2">
      <c r="G4369" s="401"/>
    </row>
    <row r="4370" spans="7:7" hidden="1" x14ac:dyDescent="0.2">
      <c r="G4370" s="401"/>
    </row>
    <row r="4371" spans="7:7" hidden="1" x14ac:dyDescent="0.2">
      <c r="G4371" s="401"/>
    </row>
    <row r="4372" spans="7:7" hidden="1" x14ac:dyDescent="0.2">
      <c r="G4372" s="401"/>
    </row>
    <row r="4373" spans="7:7" hidden="1" x14ac:dyDescent="0.2">
      <c r="G4373" s="401"/>
    </row>
    <row r="4374" spans="7:7" hidden="1" x14ac:dyDescent="0.2">
      <c r="G4374" s="401"/>
    </row>
    <row r="4375" spans="7:7" hidden="1" x14ac:dyDescent="0.2">
      <c r="G4375" s="401"/>
    </row>
    <row r="4376" spans="7:7" hidden="1" x14ac:dyDescent="0.2">
      <c r="G4376" s="401"/>
    </row>
    <row r="4377" spans="7:7" hidden="1" x14ac:dyDescent="0.2">
      <c r="G4377" s="401"/>
    </row>
    <row r="4378" spans="7:7" hidden="1" x14ac:dyDescent="0.2">
      <c r="G4378" s="401"/>
    </row>
    <row r="4379" spans="7:7" hidden="1" x14ac:dyDescent="0.2">
      <c r="G4379" s="401"/>
    </row>
    <row r="4380" spans="7:7" hidden="1" x14ac:dyDescent="0.2">
      <c r="G4380" s="401"/>
    </row>
    <row r="4381" spans="7:7" hidden="1" x14ac:dyDescent="0.2">
      <c r="G4381" s="401"/>
    </row>
    <row r="4382" spans="7:7" hidden="1" x14ac:dyDescent="0.2">
      <c r="G4382" s="401"/>
    </row>
    <row r="4383" spans="7:7" hidden="1" x14ac:dyDescent="0.2">
      <c r="G4383" s="401"/>
    </row>
    <row r="4384" spans="7:7" hidden="1" x14ac:dyDescent="0.2">
      <c r="G4384" s="401"/>
    </row>
    <row r="4385" spans="7:7" hidden="1" x14ac:dyDescent="0.2">
      <c r="G4385" s="401"/>
    </row>
    <row r="4386" spans="7:7" hidden="1" x14ac:dyDescent="0.2">
      <c r="G4386" s="401"/>
    </row>
    <row r="4387" spans="7:7" hidden="1" x14ac:dyDescent="0.2">
      <c r="G4387" s="401"/>
    </row>
    <row r="4388" spans="7:7" hidden="1" x14ac:dyDescent="0.2">
      <c r="G4388" s="401"/>
    </row>
    <row r="4389" spans="7:7" hidden="1" x14ac:dyDescent="0.2">
      <c r="G4389" s="401"/>
    </row>
    <row r="4390" spans="7:7" hidden="1" x14ac:dyDescent="0.2">
      <c r="G4390" s="401"/>
    </row>
    <row r="4391" spans="7:7" hidden="1" x14ac:dyDescent="0.2">
      <c r="G4391" s="401"/>
    </row>
    <row r="4392" spans="7:7" hidden="1" x14ac:dyDescent="0.2">
      <c r="G4392" s="401"/>
    </row>
    <row r="4393" spans="7:7" hidden="1" x14ac:dyDescent="0.2">
      <c r="G4393" s="401"/>
    </row>
    <row r="4394" spans="7:7" hidden="1" x14ac:dyDescent="0.2">
      <c r="G4394" s="401"/>
    </row>
    <row r="4395" spans="7:7" hidden="1" x14ac:dyDescent="0.2">
      <c r="G4395" s="401"/>
    </row>
    <row r="4396" spans="7:7" hidden="1" x14ac:dyDescent="0.2">
      <c r="G4396" s="401"/>
    </row>
    <row r="4397" spans="7:7" hidden="1" x14ac:dyDescent="0.2">
      <c r="G4397" s="401"/>
    </row>
    <row r="4398" spans="7:7" hidden="1" x14ac:dyDescent="0.2">
      <c r="G4398" s="401"/>
    </row>
    <row r="4399" spans="7:7" hidden="1" x14ac:dyDescent="0.2">
      <c r="G4399" s="401"/>
    </row>
    <row r="4400" spans="7:7" hidden="1" x14ac:dyDescent="0.2">
      <c r="G4400" s="401"/>
    </row>
    <row r="4401" spans="7:7" hidden="1" x14ac:dyDescent="0.2">
      <c r="G4401" s="401"/>
    </row>
    <row r="4402" spans="7:7" hidden="1" x14ac:dyDescent="0.2">
      <c r="G4402" s="401"/>
    </row>
    <row r="4403" spans="7:7" hidden="1" x14ac:dyDescent="0.2">
      <c r="G4403" s="401"/>
    </row>
    <row r="4404" spans="7:7" hidden="1" x14ac:dyDescent="0.2">
      <c r="G4404" s="401"/>
    </row>
    <row r="4405" spans="7:7" hidden="1" x14ac:dyDescent="0.2">
      <c r="G4405" s="401"/>
    </row>
    <row r="4406" spans="7:7" hidden="1" x14ac:dyDescent="0.2">
      <c r="G4406" s="401"/>
    </row>
    <row r="4407" spans="7:7" hidden="1" x14ac:dyDescent="0.2">
      <c r="G4407" s="401"/>
    </row>
    <row r="4408" spans="7:7" hidden="1" x14ac:dyDescent="0.2">
      <c r="G4408" s="401"/>
    </row>
    <row r="4409" spans="7:7" hidden="1" x14ac:dyDescent="0.2">
      <c r="G4409" s="401"/>
    </row>
    <row r="4410" spans="7:7" hidden="1" x14ac:dyDescent="0.2">
      <c r="G4410" s="401"/>
    </row>
    <row r="4411" spans="7:7" hidden="1" x14ac:dyDescent="0.2">
      <c r="G4411" s="401"/>
    </row>
    <row r="4412" spans="7:7" hidden="1" x14ac:dyDescent="0.2">
      <c r="G4412" s="401"/>
    </row>
    <row r="4413" spans="7:7" hidden="1" x14ac:dyDescent="0.2">
      <c r="G4413" s="401"/>
    </row>
    <row r="4414" spans="7:7" hidden="1" x14ac:dyDescent="0.2">
      <c r="G4414" s="401"/>
    </row>
    <row r="4415" spans="7:7" hidden="1" x14ac:dyDescent="0.2">
      <c r="G4415" s="401"/>
    </row>
    <row r="4416" spans="7:7" hidden="1" x14ac:dyDescent="0.2">
      <c r="G4416" s="401"/>
    </row>
    <row r="4417" spans="7:7" hidden="1" x14ac:dyDescent="0.2">
      <c r="G4417" s="401"/>
    </row>
    <row r="4418" spans="7:7" hidden="1" x14ac:dyDescent="0.2">
      <c r="G4418" s="401"/>
    </row>
    <row r="4419" spans="7:7" hidden="1" x14ac:dyDescent="0.2">
      <c r="G4419" s="401"/>
    </row>
    <row r="4420" spans="7:7" hidden="1" x14ac:dyDescent="0.2">
      <c r="G4420" s="401"/>
    </row>
    <row r="4421" spans="7:7" hidden="1" x14ac:dyDescent="0.2">
      <c r="G4421" s="401"/>
    </row>
    <row r="4422" spans="7:7" hidden="1" x14ac:dyDescent="0.2">
      <c r="G4422" s="401"/>
    </row>
    <row r="4423" spans="7:7" hidden="1" x14ac:dyDescent="0.2">
      <c r="G4423" s="401"/>
    </row>
    <row r="4424" spans="7:7" hidden="1" x14ac:dyDescent="0.2">
      <c r="G4424" s="401"/>
    </row>
    <row r="4425" spans="7:7" hidden="1" x14ac:dyDescent="0.2">
      <c r="G4425" s="401"/>
    </row>
    <row r="4426" spans="7:7" hidden="1" x14ac:dyDescent="0.2">
      <c r="G4426" s="401"/>
    </row>
    <row r="4427" spans="7:7" hidden="1" x14ac:dyDescent="0.2">
      <c r="G4427" s="401"/>
    </row>
    <row r="4428" spans="7:7" hidden="1" x14ac:dyDescent="0.2">
      <c r="G4428" s="401"/>
    </row>
    <row r="4429" spans="7:7" hidden="1" x14ac:dyDescent="0.2">
      <c r="G4429" s="401"/>
    </row>
    <row r="4430" spans="7:7" hidden="1" x14ac:dyDescent="0.2">
      <c r="G4430" s="401"/>
    </row>
    <row r="4431" spans="7:7" hidden="1" x14ac:dyDescent="0.2">
      <c r="G4431" s="401"/>
    </row>
    <row r="4432" spans="7:7" hidden="1" x14ac:dyDescent="0.2">
      <c r="G4432" s="401"/>
    </row>
    <row r="4433" spans="7:7" hidden="1" x14ac:dyDescent="0.2">
      <c r="G4433" s="401"/>
    </row>
    <row r="4434" spans="7:7" hidden="1" x14ac:dyDescent="0.2">
      <c r="G4434" s="401"/>
    </row>
    <row r="4435" spans="7:7" hidden="1" x14ac:dyDescent="0.2">
      <c r="G4435" s="401"/>
    </row>
    <row r="4436" spans="7:7" hidden="1" x14ac:dyDescent="0.2">
      <c r="G4436" s="401"/>
    </row>
    <row r="4437" spans="7:7" hidden="1" x14ac:dyDescent="0.2">
      <c r="G4437" s="401"/>
    </row>
    <row r="4438" spans="7:7" hidden="1" x14ac:dyDescent="0.2">
      <c r="G4438" s="401"/>
    </row>
    <row r="4439" spans="7:7" hidden="1" x14ac:dyDescent="0.2">
      <c r="G4439" s="401"/>
    </row>
    <row r="4440" spans="7:7" hidden="1" x14ac:dyDescent="0.2">
      <c r="G4440" s="401"/>
    </row>
    <row r="4441" spans="7:7" hidden="1" x14ac:dyDescent="0.2">
      <c r="G4441" s="401"/>
    </row>
    <row r="4442" spans="7:7" hidden="1" x14ac:dyDescent="0.2">
      <c r="G4442" s="401"/>
    </row>
    <row r="4443" spans="7:7" hidden="1" x14ac:dyDescent="0.2">
      <c r="G4443" s="401"/>
    </row>
    <row r="4444" spans="7:7" hidden="1" x14ac:dyDescent="0.2">
      <c r="G4444" s="401"/>
    </row>
    <row r="4445" spans="7:7" hidden="1" x14ac:dyDescent="0.2">
      <c r="G4445" s="401"/>
    </row>
    <row r="4446" spans="7:7" hidden="1" x14ac:dyDescent="0.2">
      <c r="G4446" s="401"/>
    </row>
    <row r="4447" spans="7:7" hidden="1" x14ac:dyDescent="0.2">
      <c r="G4447" s="401"/>
    </row>
    <row r="4448" spans="7:7" hidden="1" x14ac:dyDescent="0.2">
      <c r="G4448" s="401"/>
    </row>
    <row r="4449" spans="7:7" hidden="1" x14ac:dyDescent="0.2">
      <c r="G4449" s="401"/>
    </row>
    <row r="4450" spans="7:7" hidden="1" x14ac:dyDescent="0.2">
      <c r="G4450" s="401"/>
    </row>
    <row r="4451" spans="7:7" hidden="1" x14ac:dyDescent="0.2">
      <c r="G4451" s="401"/>
    </row>
    <row r="4452" spans="7:7" hidden="1" x14ac:dyDescent="0.2">
      <c r="G4452" s="401"/>
    </row>
    <row r="4453" spans="7:7" hidden="1" x14ac:dyDescent="0.2">
      <c r="G4453" s="401"/>
    </row>
    <row r="4454" spans="7:7" hidden="1" x14ac:dyDescent="0.2">
      <c r="G4454" s="401"/>
    </row>
    <row r="4455" spans="7:7" hidden="1" x14ac:dyDescent="0.2">
      <c r="G4455" s="401"/>
    </row>
    <row r="4456" spans="7:7" hidden="1" x14ac:dyDescent="0.2">
      <c r="G4456" s="401"/>
    </row>
    <row r="4457" spans="7:7" hidden="1" x14ac:dyDescent="0.2">
      <c r="G4457" s="401"/>
    </row>
    <row r="4458" spans="7:7" hidden="1" x14ac:dyDescent="0.2">
      <c r="G4458" s="401"/>
    </row>
    <row r="4459" spans="7:7" hidden="1" x14ac:dyDescent="0.2">
      <c r="G4459" s="401"/>
    </row>
    <row r="4460" spans="7:7" hidden="1" x14ac:dyDescent="0.2">
      <c r="G4460" s="401"/>
    </row>
    <row r="4461" spans="7:7" hidden="1" x14ac:dyDescent="0.2">
      <c r="G4461" s="401"/>
    </row>
    <row r="4462" spans="7:7" hidden="1" x14ac:dyDescent="0.2">
      <c r="G4462" s="401"/>
    </row>
    <row r="4463" spans="7:7" hidden="1" x14ac:dyDescent="0.2">
      <c r="G4463" s="401"/>
    </row>
    <row r="4464" spans="7:7" hidden="1" x14ac:dyDescent="0.2">
      <c r="G4464" s="401"/>
    </row>
    <row r="4465" spans="7:7" hidden="1" x14ac:dyDescent="0.2">
      <c r="G4465" s="401"/>
    </row>
    <row r="4466" spans="7:7" hidden="1" x14ac:dyDescent="0.2">
      <c r="G4466" s="401"/>
    </row>
    <row r="4467" spans="7:7" hidden="1" x14ac:dyDescent="0.2">
      <c r="G4467" s="401"/>
    </row>
    <row r="4468" spans="7:7" hidden="1" x14ac:dyDescent="0.2">
      <c r="G4468" s="401"/>
    </row>
    <row r="4469" spans="7:7" hidden="1" x14ac:dyDescent="0.2">
      <c r="G4469" s="401"/>
    </row>
    <row r="4470" spans="7:7" hidden="1" x14ac:dyDescent="0.2">
      <c r="G4470" s="401"/>
    </row>
    <row r="4471" spans="7:7" hidden="1" x14ac:dyDescent="0.2">
      <c r="G4471" s="401"/>
    </row>
    <row r="4472" spans="7:7" hidden="1" x14ac:dyDescent="0.2">
      <c r="G4472" s="401"/>
    </row>
    <row r="4473" spans="7:7" hidden="1" x14ac:dyDescent="0.2">
      <c r="G4473" s="401"/>
    </row>
    <row r="4474" spans="7:7" hidden="1" x14ac:dyDescent="0.2">
      <c r="G4474" s="401"/>
    </row>
    <row r="4475" spans="7:7" hidden="1" x14ac:dyDescent="0.2">
      <c r="G4475" s="401"/>
    </row>
    <row r="4476" spans="7:7" hidden="1" x14ac:dyDescent="0.2">
      <c r="G4476" s="401"/>
    </row>
    <row r="4477" spans="7:7" hidden="1" x14ac:dyDescent="0.2">
      <c r="G4477" s="401"/>
    </row>
    <row r="4478" spans="7:7" hidden="1" x14ac:dyDescent="0.2">
      <c r="G4478" s="401"/>
    </row>
    <row r="4479" spans="7:7" hidden="1" x14ac:dyDescent="0.2">
      <c r="G4479" s="401"/>
    </row>
    <row r="4480" spans="7:7" hidden="1" x14ac:dyDescent="0.2">
      <c r="G4480" s="401"/>
    </row>
    <row r="4481" spans="7:7" hidden="1" x14ac:dyDescent="0.2">
      <c r="G4481" s="401"/>
    </row>
    <row r="4482" spans="7:7" hidden="1" x14ac:dyDescent="0.2">
      <c r="G4482" s="401"/>
    </row>
    <row r="4483" spans="7:7" hidden="1" x14ac:dyDescent="0.2">
      <c r="G4483" s="401"/>
    </row>
    <row r="4484" spans="7:7" hidden="1" x14ac:dyDescent="0.2">
      <c r="G4484" s="401"/>
    </row>
    <row r="4485" spans="7:7" hidden="1" x14ac:dyDescent="0.2">
      <c r="G4485" s="401"/>
    </row>
    <row r="4486" spans="7:7" hidden="1" x14ac:dyDescent="0.2">
      <c r="G4486" s="401"/>
    </row>
    <row r="4487" spans="7:7" hidden="1" x14ac:dyDescent="0.2">
      <c r="G4487" s="401"/>
    </row>
    <row r="4488" spans="7:7" hidden="1" x14ac:dyDescent="0.2">
      <c r="G4488" s="401"/>
    </row>
    <row r="4489" spans="7:7" hidden="1" x14ac:dyDescent="0.2">
      <c r="G4489" s="401"/>
    </row>
    <row r="4490" spans="7:7" hidden="1" x14ac:dyDescent="0.2">
      <c r="G4490" s="401"/>
    </row>
    <row r="4491" spans="7:7" hidden="1" x14ac:dyDescent="0.2">
      <c r="G4491" s="401"/>
    </row>
    <row r="4492" spans="7:7" hidden="1" x14ac:dyDescent="0.2">
      <c r="G4492" s="401"/>
    </row>
    <row r="4493" spans="7:7" hidden="1" x14ac:dyDescent="0.2">
      <c r="G4493" s="401"/>
    </row>
    <row r="4494" spans="7:7" hidden="1" x14ac:dyDescent="0.2">
      <c r="G4494" s="401"/>
    </row>
    <row r="4495" spans="7:7" hidden="1" x14ac:dyDescent="0.2">
      <c r="G4495" s="401"/>
    </row>
    <row r="4496" spans="7:7" hidden="1" x14ac:dyDescent="0.2">
      <c r="G4496" s="401"/>
    </row>
    <row r="4497" spans="7:7" hidden="1" x14ac:dyDescent="0.2">
      <c r="G4497" s="401"/>
    </row>
    <row r="4498" spans="7:7" hidden="1" x14ac:dyDescent="0.2">
      <c r="G4498" s="401"/>
    </row>
    <row r="4499" spans="7:7" hidden="1" x14ac:dyDescent="0.2">
      <c r="G4499" s="401"/>
    </row>
    <row r="4500" spans="7:7" hidden="1" x14ac:dyDescent="0.2">
      <c r="G4500" s="401"/>
    </row>
    <row r="4501" spans="7:7" hidden="1" x14ac:dyDescent="0.2">
      <c r="G4501" s="401"/>
    </row>
    <row r="4502" spans="7:7" hidden="1" x14ac:dyDescent="0.2">
      <c r="G4502" s="401"/>
    </row>
    <row r="4503" spans="7:7" hidden="1" x14ac:dyDescent="0.2">
      <c r="G4503" s="401"/>
    </row>
    <row r="4504" spans="7:7" hidden="1" x14ac:dyDescent="0.2">
      <c r="G4504" s="401"/>
    </row>
    <row r="4505" spans="7:7" hidden="1" x14ac:dyDescent="0.2">
      <c r="G4505" s="401"/>
    </row>
    <row r="4506" spans="7:7" hidden="1" x14ac:dyDescent="0.2">
      <c r="G4506" s="401"/>
    </row>
    <row r="4507" spans="7:7" hidden="1" x14ac:dyDescent="0.2">
      <c r="G4507" s="401"/>
    </row>
    <row r="4508" spans="7:7" hidden="1" x14ac:dyDescent="0.2">
      <c r="G4508" s="401"/>
    </row>
    <row r="4509" spans="7:7" hidden="1" x14ac:dyDescent="0.2">
      <c r="G4509" s="401"/>
    </row>
    <row r="4510" spans="7:7" hidden="1" x14ac:dyDescent="0.2">
      <c r="G4510" s="401"/>
    </row>
    <row r="4511" spans="7:7" hidden="1" x14ac:dyDescent="0.2">
      <c r="G4511" s="401"/>
    </row>
    <row r="4512" spans="7:7" hidden="1" x14ac:dyDescent="0.2">
      <c r="G4512" s="401"/>
    </row>
    <row r="4513" spans="7:7" hidden="1" x14ac:dyDescent="0.2">
      <c r="G4513" s="401"/>
    </row>
    <row r="4514" spans="7:7" hidden="1" x14ac:dyDescent="0.2">
      <c r="G4514" s="401"/>
    </row>
    <row r="4515" spans="7:7" hidden="1" x14ac:dyDescent="0.2">
      <c r="G4515" s="401"/>
    </row>
    <row r="4516" spans="7:7" hidden="1" x14ac:dyDescent="0.2">
      <c r="G4516" s="401"/>
    </row>
    <row r="4517" spans="7:7" hidden="1" x14ac:dyDescent="0.2">
      <c r="G4517" s="401"/>
    </row>
    <row r="4518" spans="7:7" hidden="1" x14ac:dyDescent="0.2">
      <c r="G4518" s="401"/>
    </row>
    <row r="4519" spans="7:7" hidden="1" x14ac:dyDescent="0.2">
      <c r="G4519" s="401"/>
    </row>
    <row r="4520" spans="7:7" hidden="1" x14ac:dyDescent="0.2">
      <c r="G4520" s="401"/>
    </row>
    <row r="4521" spans="7:7" hidden="1" x14ac:dyDescent="0.2">
      <c r="G4521" s="401"/>
    </row>
    <row r="4522" spans="7:7" hidden="1" x14ac:dyDescent="0.2">
      <c r="G4522" s="401"/>
    </row>
    <row r="4523" spans="7:7" hidden="1" x14ac:dyDescent="0.2">
      <c r="G4523" s="401"/>
    </row>
    <row r="4524" spans="7:7" hidden="1" x14ac:dyDescent="0.2">
      <c r="G4524" s="401"/>
    </row>
    <row r="4525" spans="7:7" hidden="1" x14ac:dyDescent="0.2">
      <c r="G4525" s="401"/>
    </row>
    <row r="4526" spans="7:7" hidden="1" x14ac:dyDescent="0.2">
      <c r="G4526" s="401"/>
    </row>
    <row r="4527" spans="7:7" hidden="1" x14ac:dyDescent="0.2">
      <c r="G4527" s="401"/>
    </row>
    <row r="4528" spans="7:7" hidden="1" x14ac:dyDescent="0.2">
      <c r="G4528" s="401"/>
    </row>
    <row r="4529" spans="7:7" hidden="1" x14ac:dyDescent="0.2">
      <c r="G4529" s="401"/>
    </row>
    <row r="4530" spans="7:7" hidden="1" x14ac:dyDescent="0.2">
      <c r="G4530" s="401"/>
    </row>
    <row r="4531" spans="7:7" hidden="1" x14ac:dyDescent="0.2">
      <c r="G4531" s="401"/>
    </row>
    <row r="4532" spans="7:7" hidden="1" x14ac:dyDescent="0.2">
      <c r="G4532" s="401"/>
    </row>
    <row r="4533" spans="7:7" hidden="1" x14ac:dyDescent="0.2">
      <c r="G4533" s="401"/>
    </row>
    <row r="4534" spans="7:7" hidden="1" x14ac:dyDescent="0.2">
      <c r="G4534" s="401"/>
    </row>
    <row r="4535" spans="7:7" hidden="1" x14ac:dyDescent="0.2">
      <c r="G4535" s="401"/>
    </row>
    <row r="4536" spans="7:7" hidden="1" x14ac:dyDescent="0.2">
      <c r="G4536" s="401"/>
    </row>
    <row r="4537" spans="7:7" hidden="1" x14ac:dyDescent="0.2">
      <c r="G4537" s="401"/>
    </row>
    <row r="4538" spans="7:7" hidden="1" x14ac:dyDescent="0.2">
      <c r="G4538" s="401"/>
    </row>
    <row r="4539" spans="7:7" hidden="1" x14ac:dyDescent="0.2">
      <c r="G4539" s="401"/>
    </row>
    <row r="4540" spans="7:7" hidden="1" x14ac:dyDescent="0.2">
      <c r="G4540" s="401"/>
    </row>
    <row r="4541" spans="7:7" hidden="1" x14ac:dyDescent="0.2">
      <c r="G4541" s="401"/>
    </row>
    <row r="4542" spans="7:7" hidden="1" x14ac:dyDescent="0.2">
      <c r="G4542" s="401"/>
    </row>
    <row r="4543" spans="7:7" hidden="1" x14ac:dyDescent="0.2">
      <c r="G4543" s="401"/>
    </row>
    <row r="4544" spans="7:7" hidden="1" x14ac:dyDescent="0.2">
      <c r="G4544" s="401"/>
    </row>
    <row r="4545" spans="7:7" hidden="1" x14ac:dyDescent="0.2">
      <c r="G4545" s="401"/>
    </row>
    <row r="4546" spans="7:7" hidden="1" x14ac:dyDescent="0.2">
      <c r="G4546" s="401"/>
    </row>
    <row r="4547" spans="7:7" hidden="1" x14ac:dyDescent="0.2">
      <c r="G4547" s="401"/>
    </row>
    <row r="4548" spans="7:7" hidden="1" x14ac:dyDescent="0.2">
      <c r="G4548" s="401"/>
    </row>
    <row r="4549" spans="7:7" hidden="1" x14ac:dyDescent="0.2">
      <c r="G4549" s="401"/>
    </row>
    <row r="4550" spans="7:7" hidden="1" x14ac:dyDescent="0.2">
      <c r="G4550" s="401"/>
    </row>
    <row r="4551" spans="7:7" hidden="1" x14ac:dyDescent="0.2">
      <c r="G4551" s="401"/>
    </row>
    <row r="4552" spans="7:7" hidden="1" x14ac:dyDescent="0.2">
      <c r="G4552" s="401"/>
    </row>
    <row r="4553" spans="7:7" hidden="1" x14ac:dyDescent="0.2">
      <c r="G4553" s="401"/>
    </row>
    <row r="4554" spans="7:7" hidden="1" x14ac:dyDescent="0.2">
      <c r="G4554" s="401"/>
    </row>
    <row r="4555" spans="7:7" hidden="1" x14ac:dyDescent="0.2">
      <c r="G4555" s="401"/>
    </row>
    <row r="4556" spans="7:7" hidden="1" x14ac:dyDescent="0.2">
      <c r="G4556" s="401"/>
    </row>
    <row r="4557" spans="7:7" hidden="1" x14ac:dyDescent="0.2">
      <c r="G4557" s="401"/>
    </row>
    <row r="4558" spans="7:7" hidden="1" x14ac:dyDescent="0.2">
      <c r="G4558" s="401"/>
    </row>
    <row r="4559" spans="7:7" hidden="1" x14ac:dyDescent="0.2">
      <c r="G4559" s="401"/>
    </row>
    <row r="4560" spans="7:7" hidden="1" x14ac:dyDescent="0.2">
      <c r="G4560" s="401"/>
    </row>
    <row r="4561" spans="7:7" hidden="1" x14ac:dyDescent="0.2">
      <c r="G4561" s="401"/>
    </row>
    <row r="4562" spans="7:7" hidden="1" x14ac:dyDescent="0.2">
      <c r="G4562" s="401"/>
    </row>
    <row r="4563" spans="7:7" hidden="1" x14ac:dyDescent="0.2">
      <c r="G4563" s="401"/>
    </row>
    <row r="4564" spans="7:7" hidden="1" x14ac:dyDescent="0.2">
      <c r="G4564" s="401"/>
    </row>
    <row r="4565" spans="7:7" hidden="1" x14ac:dyDescent="0.2">
      <c r="G4565" s="401"/>
    </row>
    <row r="4566" spans="7:7" hidden="1" x14ac:dyDescent="0.2">
      <c r="G4566" s="401"/>
    </row>
    <row r="4567" spans="7:7" hidden="1" x14ac:dyDescent="0.2">
      <c r="G4567" s="401"/>
    </row>
    <row r="4568" spans="7:7" hidden="1" x14ac:dyDescent="0.2">
      <c r="G4568" s="401"/>
    </row>
    <row r="4569" spans="7:7" hidden="1" x14ac:dyDescent="0.2">
      <c r="G4569" s="401"/>
    </row>
    <row r="4570" spans="7:7" hidden="1" x14ac:dyDescent="0.2">
      <c r="G4570" s="401"/>
    </row>
    <row r="4571" spans="7:7" hidden="1" x14ac:dyDescent="0.2">
      <c r="G4571" s="401"/>
    </row>
    <row r="4572" spans="7:7" hidden="1" x14ac:dyDescent="0.2">
      <c r="G4572" s="401"/>
    </row>
    <row r="4573" spans="7:7" hidden="1" x14ac:dyDescent="0.2">
      <c r="G4573" s="401"/>
    </row>
    <row r="4574" spans="7:7" hidden="1" x14ac:dyDescent="0.2">
      <c r="G4574" s="401"/>
    </row>
    <row r="4575" spans="7:7" hidden="1" x14ac:dyDescent="0.2">
      <c r="G4575" s="401"/>
    </row>
    <row r="4576" spans="7:7" hidden="1" x14ac:dyDescent="0.2">
      <c r="G4576" s="401"/>
    </row>
    <row r="4577" spans="7:7" hidden="1" x14ac:dyDescent="0.2">
      <c r="G4577" s="401"/>
    </row>
    <row r="4578" spans="7:7" hidden="1" x14ac:dyDescent="0.2">
      <c r="G4578" s="401"/>
    </row>
    <row r="4579" spans="7:7" hidden="1" x14ac:dyDescent="0.2">
      <c r="G4579" s="401"/>
    </row>
    <row r="4580" spans="7:7" hidden="1" x14ac:dyDescent="0.2">
      <c r="G4580" s="401"/>
    </row>
    <row r="4581" spans="7:7" hidden="1" x14ac:dyDescent="0.2">
      <c r="G4581" s="401"/>
    </row>
    <row r="4582" spans="7:7" hidden="1" x14ac:dyDescent="0.2">
      <c r="G4582" s="401"/>
    </row>
    <row r="4583" spans="7:7" hidden="1" x14ac:dyDescent="0.2">
      <c r="G4583" s="401"/>
    </row>
    <row r="4584" spans="7:7" hidden="1" x14ac:dyDescent="0.2">
      <c r="G4584" s="401"/>
    </row>
    <row r="4585" spans="7:7" hidden="1" x14ac:dyDescent="0.2">
      <c r="G4585" s="401"/>
    </row>
    <row r="4586" spans="7:7" hidden="1" x14ac:dyDescent="0.2">
      <c r="G4586" s="401"/>
    </row>
    <row r="4587" spans="7:7" hidden="1" x14ac:dyDescent="0.2">
      <c r="G4587" s="401"/>
    </row>
    <row r="4588" spans="7:7" hidden="1" x14ac:dyDescent="0.2">
      <c r="G4588" s="401"/>
    </row>
    <row r="4589" spans="7:7" hidden="1" x14ac:dyDescent="0.2">
      <c r="G4589" s="401"/>
    </row>
    <row r="4590" spans="7:7" hidden="1" x14ac:dyDescent="0.2">
      <c r="G4590" s="401"/>
    </row>
    <row r="4591" spans="7:7" hidden="1" x14ac:dyDescent="0.2">
      <c r="G4591" s="401"/>
    </row>
    <row r="4592" spans="7:7" hidden="1" x14ac:dyDescent="0.2">
      <c r="G4592" s="401"/>
    </row>
    <row r="4593" spans="7:7" hidden="1" x14ac:dyDescent="0.2">
      <c r="G4593" s="401"/>
    </row>
    <row r="4594" spans="7:7" hidden="1" x14ac:dyDescent="0.2">
      <c r="G4594" s="401"/>
    </row>
    <row r="4595" spans="7:7" hidden="1" x14ac:dyDescent="0.2">
      <c r="G4595" s="401"/>
    </row>
    <row r="4596" spans="7:7" hidden="1" x14ac:dyDescent="0.2">
      <c r="G4596" s="401"/>
    </row>
    <row r="4597" spans="7:7" hidden="1" x14ac:dyDescent="0.2">
      <c r="G4597" s="401"/>
    </row>
    <row r="4598" spans="7:7" hidden="1" x14ac:dyDescent="0.2">
      <c r="G4598" s="401"/>
    </row>
    <row r="4599" spans="7:7" hidden="1" x14ac:dyDescent="0.2">
      <c r="G4599" s="401"/>
    </row>
    <row r="4600" spans="7:7" hidden="1" x14ac:dyDescent="0.2">
      <c r="G4600" s="401"/>
    </row>
    <row r="4601" spans="7:7" hidden="1" x14ac:dyDescent="0.2">
      <c r="G4601" s="401"/>
    </row>
    <row r="4602" spans="7:7" hidden="1" x14ac:dyDescent="0.2">
      <c r="G4602" s="401"/>
    </row>
    <row r="4603" spans="7:7" hidden="1" x14ac:dyDescent="0.2">
      <c r="G4603" s="401"/>
    </row>
    <row r="4604" spans="7:7" hidden="1" x14ac:dyDescent="0.2">
      <c r="G4604" s="401"/>
    </row>
    <row r="4605" spans="7:7" hidden="1" x14ac:dyDescent="0.2">
      <c r="G4605" s="401"/>
    </row>
    <row r="4606" spans="7:7" hidden="1" x14ac:dyDescent="0.2">
      <c r="G4606" s="401"/>
    </row>
    <row r="4607" spans="7:7" hidden="1" x14ac:dyDescent="0.2">
      <c r="G4607" s="401"/>
    </row>
    <row r="4608" spans="7:7" hidden="1" x14ac:dyDescent="0.2">
      <c r="G4608" s="401"/>
    </row>
    <row r="4609" spans="7:7" hidden="1" x14ac:dyDescent="0.2">
      <c r="G4609" s="401"/>
    </row>
    <row r="4610" spans="7:7" hidden="1" x14ac:dyDescent="0.2">
      <c r="G4610" s="401"/>
    </row>
    <row r="4611" spans="7:7" hidden="1" x14ac:dyDescent="0.2">
      <c r="G4611" s="401"/>
    </row>
    <row r="4612" spans="7:7" hidden="1" x14ac:dyDescent="0.2">
      <c r="G4612" s="401"/>
    </row>
    <row r="4613" spans="7:7" hidden="1" x14ac:dyDescent="0.2">
      <c r="G4613" s="401"/>
    </row>
    <row r="4614" spans="7:7" hidden="1" x14ac:dyDescent="0.2">
      <c r="G4614" s="401"/>
    </row>
    <row r="4615" spans="7:7" hidden="1" x14ac:dyDescent="0.2">
      <c r="G4615" s="401"/>
    </row>
    <row r="4616" spans="7:7" hidden="1" x14ac:dyDescent="0.2">
      <c r="G4616" s="401"/>
    </row>
    <row r="4617" spans="7:7" hidden="1" x14ac:dyDescent="0.2">
      <c r="G4617" s="401"/>
    </row>
    <row r="4618" spans="7:7" hidden="1" x14ac:dyDescent="0.2">
      <c r="G4618" s="401"/>
    </row>
    <row r="4619" spans="7:7" hidden="1" x14ac:dyDescent="0.2">
      <c r="G4619" s="401"/>
    </row>
    <row r="4620" spans="7:7" hidden="1" x14ac:dyDescent="0.2">
      <c r="G4620" s="401"/>
    </row>
    <row r="4621" spans="7:7" hidden="1" x14ac:dyDescent="0.2">
      <c r="G4621" s="401"/>
    </row>
    <row r="4622" spans="7:7" hidden="1" x14ac:dyDescent="0.2">
      <c r="G4622" s="401"/>
    </row>
    <row r="4623" spans="7:7" hidden="1" x14ac:dyDescent="0.2">
      <c r="G4623" s="401"/>
    </row>
    <row r="4624" spans="7:7" hidden="1" x14ac:dyDescent="0.2">
      <c r="G4624" s="401"/>
    </row>
    <row r="4625" spans="7:7" hidden="1" x14ac:dyDescent="0.2">
      <c r="G4625" s="401"/>
    </row>
    <row r="4626" spans="7:7" hidden="1" x14ac:dyDescent="0.2">
      <c r="G4626" s="401"/>
    </row>
    <row r="4627" spans="7:7" hidden="1" x14ac:dyDescent="0.2">
      <c r="G4627" s="401"/>
    </row>
    <row r="4628" spans="7:7" hidden="1" x14ac:dyDescent="0.2">
      <c r="G4628" s="401"/>
    </row>
    <row r="4629" spans="7:7" hidden="1" x14ac:dyDescent="0.2">
      <c r="G4629" s="401"/>
    </row>
    <row r="4630" spans="7:7" hidden="1" x14ac:dyDescent="0.2">
      <c r="G4630" s="401"/>
    </row>
    <row r="4631" spans="7:7" hidden="1" x14ac:dyDescent="0.2">
      <c r="G4631" s="401"/>
    </row>
    <row r="4632" spans="7:7" hidden="1" x14ac:dyDescent="0.2">
      <c r="G4632" s="401"/>
    </row>
    <row r="4633" spans="7:7" hidden="1" x14ac:dyDescent="0.2">
      <c r="G4633" s="401"/>
    </row>
    <row r="4634" spans="7:7" hidden="1" x14ac:dyDescent="0.2">
      <c r="G4634" s="401"/>
    </row>
    <row r="4635" spans="7:7" hidden="1" x14ac:dyDescent="0.2">
      <c r="G4635" s="401"/>
    </row>
    <row r="4636" spans="7:7" hidden="1" x14ac:dyDescent="0.2">
      <c r="G4636" s="401"/>
    </row>
    <row r="4637" spans="7:7" hidden="1" x14ac:dyDescent="0.2">
      <c r="G4637" s="401"/>
    </row>
    <row r="4638" spans="7:7" hidden="1" x14ac:dyDescent="0.2">
      <c r="G4638" s="401"/>
    </row>
    <row r="4639" spans="7:7" hidden="1" x14ac:dyDescent="0.2">
      <c r="G4639" s="401"/>
    </row>
    <row r="4640" spans="7:7" hidden="1" x14ac:dyDescent="0.2">
      <c r="G4640" s="401"/>
    </row>
    <row r="4641" spans="7:7" hidden="1" x14ac:dyDescent="0.2">
      <c r="G4641" s="401"/>
    </row>
    <row r="4642" spans="7:7" hidden="1" x14ac:dyDescent="0.2">
      <c r="G4642" s="401"/>
    </row>
    <row r="4643" spans="7:7" hidden="1" x14ac:dyDescent="0.2">
      <c r="G4643" s="401"/>
    </row>
    <row r="4644" spans="7:7" hidden="1" x14ac:dyDescent="0.2">
      <c r="G4644" s="401"/>
    </row>
    <row r="4645" spans="7:7" hidden="1" x14ac:dyDescent="0.2">
      <c r="G4645" s="401"/>
    </row>
    <row r="4646" spans="7:7" hidden="1" x14ac:dyDescent="0.2">
      <c r="G4646" s="401"/>
    </row>
    <row r="4647" spans="7:7" hidden="1" x14ac:dyDescent="0.2">
      <c r="G4647" s="401"/>
    </row>
    <row r="4648" spans="7:7" hidden="1" x14ac:dyDescent="0.2">
      <c r="G4648" s="401"/>
    </row>
    <row r="4649" spans="7:7" hidden="1" x14ac:dyDescent="0.2">
      <c r="G4649" s="401"/>
    </row>
    <row r="4650" spans="7:7" hidden="1" x14ac:dyDescent="0.2">
      <c r="G4650" s="401"/>
    </row>
    <row r="4651" spans="7:7" hidden="1" x14ac:dyDescent="0.2">
      <c r="G4651" s="401"/>
    </row>
    <row r="4652" spans="7:7" hidden="1" x14ac:dyDescent="0.2">
      <c r="G4652" s="401"/>
    </row>
    <row r="4653" spans="7:7" hidden="1" x14ac:dyDescent="0.2">
      <c r="G4653" s="401"/>
    </row>
    <row r="4654" spans="7:7" hidden="1" x14ac:dyDescent="0.2">
      <c r="G4654" s="401"/>
    </row>
    <row r="4655" spans="7:7" hidden="1" x14ac:dyDescent="0.2">
      <c r="G4655" s="401"/>
    </row>
    <row r="4656" spans="7:7" hidden="1" x14ac:dyDescent="0.2">
      <c r="G4656" s="401"/>
    </row>
    <row r="4657" spans="7:7" hidden="1" x14ac:dyDescent="0.2">
      <c r="G4657" s="401"/>
    </row>
    <row r="4658" spans="7:7" hidden="1" x14ac:dyDescent="0.2">
      <c r="G4658" s="401"/>
    </row>
    <row r="4659" spans="7:7" hidden="1" x14ac:dyDescent="0.2">
      <c r="G4659" s="401"/>
    </row>
    <row r="4660" spans="7:7" hidden="1" x14ac:dyDescent="0.2">
      <c r="G4660" s="401"/>
    </row>
    <row r="4661" spans="7:7" hidden="1" x14ac:dyDescent="0.2">
      <c r="G4661" s="401"/>
    </row>
    <row r="4662" spans="7:7" hidden="1" x14ac:dyDescent="0.2">
      <c r="G4662" s="401"/>
    </row>
    <row r="4663" spans="7:7" hidden="1" x14ac:dyDescent="0.2">
      <c r="G4663" s="401"/>
    </row>
    <row r="4664" spans="7:7" hidden="1" x14ac:dyDescent="0.2">
      <c r="G4664" s="401"/>
    </row>
    <row r="4665" spans="7:7" hidden="1" x14ac:dyDescent="0.2">
      <c r="G4665" s="401"/>
    </row>
    <row r="4666" spans="7:7" hidden="1" x14ac:dyDescent="0.2">
      <c r="G4666" s="401"/>
    </row>
    <row r="4667" spans="7:7" hidden="1" x14ac:dyDescent="0.2">
      <c r="G4667" s="401"/>
    </row>
    <row r="4668" spans="7:7" hidden="1" x14ac:dyDescent="0.2">
      <c r="G4668" s="401"/>
    </row>
    <row r="4669" spans="7:7" hidden="1" x14ac:dyDescent="0.2">
      <c r="G4669" s="401"/>
    </row>
    <row r="4670" spans="7:7" hidden="1" x14ac:dyDescent="0.2">
      <c r="G4670" s="401"/>
    </row>
    <row r="4671" spans="7:7" hidden="1" x14ac:dyDescent="0.2">
      <c r="G4671" s="401"/>
    </row>
    <row r="4672" spans="7:7" hidden="1" x14ac:dyDescent="0.2">
      <c r="G4672" s="401"/>
    </row>
    <row r="4673" spans="7:7" hidden="1" x14ac:dyDescent="0.2">
      <c r="G4673" s="401"/>
    </row>
    <row r="4674" spans="7:7" hidden="1" x14ac:dyDescent="0.2">
      <c r="G4674" s="401"/>
    </row>
    <row r="4675" spans="7:7" hidden="1" x14ac:dyDescent="0.2">
      <c r="G4675" s="401"/>
    </row>
    <row r="4676" spans="7:7" hidden="1" x14ac:dyDescent="0.2">
      <c r="G4676" s="401"/>
    </row>
    <row r="4677" spans="7:7" hidden="1" x14ac:dyDescent="0.2">
      <c r="G4677" s="401"/>
    </row>
    <row r="4678" spans="7:7" hidden="1" x14ac:dyDescent="0.2">
      <c r="G4678" s="401"/>
    </row>
    <row r="4679" spans="7:7" hidden="1" x14ac:dyDescent="0.2">
      <c r="G4679" s="401"/>
    </row>
    <row r="4680" spans="7:7" hidden="1" x14ac:dyDescent="0.2">
      <c r="G4680" s="401"/>
    </row>
    <row r="4681" spans="7:7" hidden="1" x14ac:dyDescent="0.2">
      <c r="G4681" s="401"/>
    </row>
    <row r="4682" spans="7:7" hidden="1" x14ac:dyDescent="0.2">
      <c r="G4682" s="401"/>
    </row>
    <row r="4683" spans="7:7" hidden="1" x14ac:dyDescent="0.2">
      <c r="G4683" s="401"/>
    </row>
    <row r="4684" spans="7:7" hidden="1" x14ac:dyDescent="0.2">
      <c r="G4684" s="401"/>
    </row>
    <row r="4685" spans="7:7" hidden="1" x14ac:dyDescent="0.2">
      <c r="G4685" s="401"/>
    </row>
    <row r="4686" spans="7:7" hidden="1" x14ac:dyDescent="0.2">
      <c r="G4686" s="401"/>
    </row>
    <row r="4687" spans="7:7" hidden="1" x14ac:dyDescent="0.2">
      <c r="G4687" s="401"/>
    </row>
    <row r="4688" spans="7:7" hidden="1" x14ac:dyDescent="0.2">
      <c r="G4688" s="401"/>
    </row>
    <row r="4689" spans="7:7" hidden="1" x14ac:dyDescent="0.2">
      <c r="G4689" s="401"/>
    </row>
    <row r="4690" spans="7:7" hidden="1" x14ac:dyDescent="0.2">
      <c r="G4690" s="401"/>
    </row>
    <row r="4691" spans="7:7" hidden="1" x14ac:dyDescent="0.2">
      <c r="G4691" s="401"/>
    </row>
    <row r="4692" spans="7:7" hidden="1" x14ac:dyDescent="0.2">
      <c r="G4692" s="401"/>
    </row>
    <row r="4693" spans="7:7" hidden="1" x14ac:dyDescent="0.2">
      <c r="G4693" s="401"/>
    </row>
    <row r="4694" spans="7:7" hidden="1" x14ac:dyDescent="0.2">
      <c r="G4694" s="401"/>
    </row>
    <row r="4695" spans="7:7" hidden="1" x14ac:dyDescent="0.2">
      <c r="G4695" s="401"/>
    </row>
    <row r="4696" spans="7:7" hidden="1" x14ac:dyDescent="0.2">
      <c r="G4696" s="401"/>
    </row>
    <row r="4697" spans="7:7" hidden="1" x14ac:dyDescent="0.2">
      <c r="G4697" s="401"/>
    </row>
    <row r="4698" spans="7:7" hidden="1" x14ac:dyDescent="0.2">
      <c r="G4698" s="401"/>
    </row>
    <row r="4699" spans="7:7" hidden="1" x14ac:dyDescent="0.2">
      <c r="G4699" s="401"/>
    </row>
    <row r="4700" spans="7:7" hidden="1" x14ac:dyDescent="0.2">
      <c r="G4700" s="401"/>
    </row>
    <row r="4701" spans="7:7" hidden="1" x14ac:dyDescent="0.2">
      <c r="G4701" s="401"/>
    </row>
    <row r="4702" spans="7:7" hidden="1" x14ac:dyDescent="0.2">
      <c r="G4702" s="401"/>
    </row>
    <row r="4703" spans="7:7" hidden="1" x14ac:dyDescent="0.2">
      <c r="G4703" s="401"/>
    </row>
    <row r="4704" spans="7:7" hidden="1" x14ac:dyDescent="0.2">
      <c r="G4704" s="401"/>
    </row>
    <row r="4705" spans="7:7" hidden="1" x14ac:dyDescent="0.2">
      <c r="G4705" s="401"/>
    </row>
    <row r="4706" spans="7:7" hidden="1" x14ac:dyDescent="0.2">
      <c r="G4706" s="401"/>
    </row>
    <row r="4707" spans="7:7" hidden="1" x14ac:dyDescent="0.2">
      <c r="G4707" s="401"/>
    </row>
    <row r="4708" spans="7:7" hidden="1" x14ac:dyDescent="0.2">
      <c r="G4708" s="401"/>
    </row>
    <row r="4709" spans="7:7" hidden="1" x14ac:dyDescent="0.2">
      <c r="G4709" s="401"/>
    </row>
    <row r="4710" spans="7:7" hidden="1" x14ac:dyDescent="0.2">
      <c r="G4710" s="401"/>
    </row>
    <row r="4711" spans="7:7" hidden="1" x14ac:dyDescent="0.2">
      <c r="G4711" s="401"/>
    </row>
    <row r="4712" spans="7:7" hidden="1" x14ac:dyDescent="0.2">
      <c r="G4712" s="401"/>
    </row>
    <row r="4713" spans="7:7" hidden="1" x14ac:dyDescent="0.2">
      <c r="G4713" s="401"/>
    </row>
    <row r="4714" spans="7:7" hidden="1" x14ac:dyDescent="0.2">
      <c r="G4714" s="401"/>
    </row>
    <row r="4715" spans="7:7" hidden="1" x14ac:dyDescent="0.2">
      <c r="G4715" s="401"/>
    </row>
    <row r="4716" spans="7:7" hidden="1" x14ac:dyDescent="0.2">
      <c r="G4716" s="401"/>
    </row>
    <row r="4717" spans="7:7" hidden="1" x14ac:dyDescent="0.2">
      <c r="G4717" s="401"/>
    </row>
    <row r="4718" spans="7:7" hidden="1" x14ac:dyDescent="0.2">
      <c r="G4718" s="401"/>
    </row>
    <row r="4719" spans="7:7" hidden="1" x14ac:dyDescent="0.2">
      <c r="G4719" s="401"/>
    </row>
    <row r="4720" spans="7:7" hidden="1" x14ac:dyDescent="0.2">
      <c r="G4720" s="401"/>
    </row>
    <row r="4721" spans="7:7" hidden="1" x14ac:dyDescent="0.2">
      <c r="G4721" s="401"/>
    </row>
    <row r="4722" spans="7:7" hidden="1" x14ac:dyDescent="0.2">
      <c r="G4722" s="401"/>
    </row>
    <row r="4723" spans="7:7" hidden="1" x14ac:dyDescent="0.2">
      <c r="G4723" s="401"/>
    </row>
    <row r="4724" spans="7:7" hidden="1" x14ac:dyDescent="0.2">
      <c r="G4724" s="401"/>
    </row>
    <row r="4725" spans="7:7" hidden="1" x14ac:dyDescent="0.2">
      <c r="G4725" s="401"/>
    </row>
    <row r="4726" spans="7:7" hidden="1" x14ac:dyDescent="0.2">
      <c r="G4726" s="401"/>
    </row>
    <row r="4727" spans="7:7" hidden="1" x14ac:dyDescent="0.2">
      <c r="G4727" s="401"/>
    </row>
    <row r="4728" spans="7:7" hidden="1" x14ac:dyDescent="0.2">
      <c r="G4728" s="401"/>
    </row>
    <row r="4729" spans="7:7" hidden="1" x14ac:dyDescent="0.2">
      <c r="G4729" s="401"/>
    </row>
    <row r="4730" spans="7:7" hidden="1" x14ac:dyDescent="0.2">
      <c r="G4730" s="401"/>
    </row>
    <row r="4731" spans="7:7" hidden="1" x14ac:dyDescent="0.2">
      <c r="G4731" s="401"/>
    </row>
    <row r="4732" spans="7:7" hidden="1" x14ac:dyDescent="0.2">
      <c r="G4732" s="401"/>
    </row>
    <row r="4733" spans="7:7" hidden="1" x14ac:dyDescent="0.2">
      <c r="G4733" s="401"/>
    </row>
    <row r="4734" spans="7:7" hidden="1" x14ac:dyDescent="0.2">
      <c r="G4734" s="401"/>
    </row>
    <row r="4735" spans="7:7" hidden="1" x14ac:dyDescent="0.2">
      <c r="G4735" s="401"/>
    </row>
    <row r="4736" spans="7:7" hidden="1" x14ac:dyDescent="0.2">
      <c r="G4736" s="401"/>
    </row>
    <row r="4737" spans="7:7" hidden="1" x14ac:dyDescent="0.2">
      <c r="G4737" s="401"/>
    </row>
    <row r="4738" spans="7:7" hidden="1" x14ac:dyDescent="0.2">
      <c r="G4738" s="401"/>
    </row>
    <row r="4739" spans="7:7" hidden="1" x14ac:dyDescent="0.2">
      <c r="G4739" s="401"/>
    </row>
    <row r="4740" spans="7:7" hidden="1" x14ac:dyDescent="0.2">
      <c r="G4740" s="401"/>
    </row>
    <row r="4741" spans="7:7" hidden="1" x14ac:dyDescent="0.2">
      <c r="G4741" s="401"/>
    </row>
    <row r="4742" spans="7:7" hidden="1" x14ac:dyDescent="0.2">
      <c r="G4742" s="401"/>
    </row>
    <row r="4743" spans="7:7" hidden="1" x14ac:dyDescent="0.2">
      <c r="G4743" s="401"/>
    </row>
    <row r="4744" spans="7:7" hidden="1" x14ac:dyDescent="0.2">
      <c r="G4744" s="401"/>
    </row>
    <row r="4745" spans="7:7" hidden="1" x14ac:dyDescent="0.2">
      <c r="G4745" s="401"/>
    </row>
    <row r="4746" spans="7:7" hidden="1" x14ac:dyDescent="0.2">
      <c r="G4746" s="401"/>
    </row>
    <row r="4747" spans="7:7" hidden="1" x14ac:dyDescent="0.2">
      <c r="G4747" s="401"/>
    </row>
    <row r="4748" spans="7:7" hidden="1" x14ac:dyDescent="0.2">
      <c r="G4748" s="401"/>
    </row>
    <row r="4749" spans="7:7" hidden="1" x14ac:dyDescent="0.2">
      <c r="G4749" s="401"/>
    </row>
    <row r="4750" spans="7:7" hidden="1" x14ac:dyDescent="0.2">
      <c r="G4750" s="401"/>
    </row>
    <row r="4751" spans="7:7" hidden="1" x14ac:dyDescent="0.2">
      <c r="G4751" s="401"/>
    </row>
    <row r="4752" spans="7:7" hidden="1" x14ac:dyDescent="0.2">
      <c r="G4752" s="401"/>
    </row>
    <row r="4753" spans="7:7" hidden="1" x14ac:dyDescent="0.2">
      <c r="G4753" s="401"/>
    </row>
    <row r="4754" spans="7:7" hidden="1" x14ac:dyDescent="0.2">
      <c r="G4754" s="401"/>
    </row>
    <row r="4755" spans="7:7" hidden="1" x14ac:dyDescent="0.2">
      <c r="G4755" s="401"/>
    </row>
    <row r="4756" spans="7:7" hidden="1" x14ac:dyDescent="0.2">
      <c r="G4756" s="401"/>
    </row>
    <row r="4757" spans="7:7" hidden="1" x14ac:dyDescent="0.2">
      <c r="G4757" s="401"/>
    </row>
    <row r="4758" spans="7:7" hidden="1" x14ac:dyDescent="0.2">
      <c r="G4758" s="401"/>
    </row>
    <row r="4759" spans="7:7" hidden="1" x14ac:dyDescent="0.2">
      <c r="G4759" s="401"/>
    </row>
    <row r="4760" spans="7:7" hidden="1" x14ac:dyDescent="0.2">
      <c r="G4760" s="401"/>
    </row>
    <row r="4761" spans="7:7" hidden="1" x14ac:dyDescent="0.2">
      <c r="G4761" s="401"/>
    </row>
    <row r="4762" spans="7:7" hidden="1" x14ac:dyDescent="0.2">
      <c r="G4762" s="401"/>
    </row>
    <row r="4763" spans="7:7" hidden="1" x14ac:dyDescent="0.2">
      <c r="G4763" s="401"/>
    </row>
    <row r="4764" spans="7:7" hidden="1" x14ac:dyDescent="0.2">
      <c r="G4764" s="401"/>
    </row>
    <row r="4765" spans="7:7" hidden="1" x14ac:dyDescent="0.2">
      <c r="G4765" s="401"/>
    </row>
    <row r="4766" spans="7:7" hidden="1" x14ac:dyDescent="0.2">
      <c r="G4766" s="401"/>
    </row>
    <row r="4767" spans="7:7" hidden="1" x14ac:dyDescent="0.2">
      <c r="G4767" s="401"/>
    </row>
    <row r="4768" spans="7:7" hidden="1" x14ac:dyDescent="0.2">
      <c r="G4768" s="401"/>
    </row>
    <row r="4769" spans="7:7" hidden="1" x14ac:dyDescent="0.2">
      <c r="G4769" s="401"/>
    </row>
    <row r="4770" spans="7:7" hidden="1" x14ac:dyDescent="0.2">
      <c r="G4770" s="401"/>
    </row>
    <row r="4771" spans="7:7" hidden="1" x14ac:dyDescent="0.2">
      <c r="G4771" s="401"/>
    </row>
    <row r="4772" spans="7:7" hidden="1" x14ac:dyDescent="0.2">
      <c r="G4772" s="401"/>
    </row>
    <row r="4773" spans="7:7" hidden="1" x14ac:dyDescent="0.2">
      <c r="G4773" s="401"/>
    </row>
    <row r="4774" spans="7:7" hidden="1" x14ac:dyDescent="0.2">
      <c r="G4774" s="401"/>
    </row>
    <row r="4775" spans="7:7" hidden="1" x14ac:dyDescent="0.2">
      <c r="G4775" s="401"/>
    </row>
    <row r="4776" spans="7:7" hidden="1" x14ac:dyDescent="0.2">
      <c r="G4776" s="401"/>
    </row>
    <row r="4777" spans="7:7" hidden="1" x14ac:dyDescent="0.2">
      <c r="G4777" s="401"/>
    </row>
    <row r="4778" spans="7:7" hidden="1" x14ac:dyDescent="0.2">
      <c r="G4778" s="401"/>
    </row>
    <row r="4779" spans="7:7" hidden="1" x14ac:dyDescent="0.2">
      <c r="G4779" s="401"/>
    </row>
    <row r="4780" spans="7:7" hidden="1" x14ac:dyDescent="0.2">
      <c r="G4780" s="401"/>
    </row>
    <row r="4781" spans="7:7" hidden="1" x14ac:dyDescent="0.2">
      <c r="G4781" s="401"/>
    </row>
    <row r="4782" spans="7:7" hidden="1" x14ac:dyDescent="0.2">
      <c r="G4782" s="401"/>
    </row>
    <row r="4783" spans="7:7" hidden="1" x14ac:dyDescent="0.2">
      <c r="G4783" s="401"/>
    </row>
    <row r="4784" spans="7:7" hidden="1" x14ac:dyDescent="0.2">
      <c r="G4784" s="401"/>
    </row>
    <row r="4785" spans="7:7" hidden="1" x14ac:dyDescent="0.2">
      <c r="G4785" s="401"/>
    </row>
    <row r="4786" spans="7:7" hidden="1" x14ac:dyDescent="0.2">
      <c r="G4786" s="401"/>
    </row>
    <row r="4787" spans="7:7" hidden="1" x14ac:dyDescent="0.2">
      <c r="G4787" s="401"/>
    </row>
    <row r="4788" spans="7:7" hidden="1" x14ac:dyDescent="0.2">
      <c r="G4788" s="401"/>
    </row>
    <row r="4789" spans="7:7" hidden="1" x14ac:dyDescent="0.2">
      <c r="G4789" s="401"/>
    </row>
    <row r="4790" spans="7:7" hidden="1" x14ac:dyDescent="0.2">
      <c r="G4790" s="401"/>
    </row>
    <row r="4791" spans="7:7" hidden="1" x14ac:dyDescent="0.2">
      <c r="G4791" s="401"/>
    </row>
    <row r="4792" spans="7:7" hidden="1" x14ac:dyDescent="0.2">
      <c r="G4792" s="401"/>
    </row>
    <row r="4793" spans="7:7" hidden="1" x14ac:dyDescent="0.2">
      <c r="G4793" s="401"/>
    </row>
    <row r="4794" spans="7:7" hidden="1" x14ac:dyDescent="0.2">
      <c r="G4794" s="401"/>
    </row>
    <row r="4795" spans="7:7" hidden="1" x14ac:dyDescent="0.2">
      <c r="G4795" s="401"/>
    </row>
    <row r="4796" spans="7:7" hidden="1" x14ac:dyDescent="0.2">
      <c r="G4796" s="401"/>
    </row>
    <row r="4797" spans="7:7" hidden="1" x14ac:dyDescent="0.2">
      <c r="G4797" s="401"/>
    </row>
    <row r="4798" spans="7:7" hidden="1" x14ac:dyDescent="0.2">
      <c r="G4798" s="401"/>
    </row>
    <row r="4799" spans="7:7" hidden="1" x14ac:dyDescent="0.2">
      <c r="G4799" s="401"/>
    </row>
    <row r="4800" spans="7:7" hidden="1" x14ac:dyDescent="0.2">
      <c r="G4800" s="401"/>
    </row>
    <row r="4801" spans="7:7" hidden="1" x14ac:dyDescent="0.2">
      <c r="G4801" s="401"/>
    </row>
    <row r="4802" spans="7:7" hidden="1" x14ac:dyDescent="0.2">
      <c r="G4802" s="401"/>
    </row>
    <row r="4803" spans="7:7" hidden="1" x14ac:dyDescent="0.2">
      <c r="G4803" s="401"/>
    </row>
    <row r="4804" spans="7:7" hidden="1" x14ac:dyDescent="0.2">
      <c r="G4804" s="401"/>
    </row>
    <row r="4805" spans="7:7" hidden="1" x14ac:dyDescent="0.2">
      <c r="G4805" s="401"/>
    </row>
    <row r="4806" spans="7:7" hidden="1" x14ac:dyDescent="0.2">
      <c r="G4806" s="401"/>
    </row>
    <row r="4807" spans="7:7" hidden="1" x14ac:dyDescent="0.2">
      <c r="G4807" s="401"/>
    </row>
    <row r="4808" spans="7:7" hidden="1" x14ac:dyDescent="0.2">
      <c r="G4808" s="401"/>
    </row>
    <row r="4809" spans="7:7" hidden="1" x14ac:dyDescent="0.2">
      <c r="G4809" s="401"/>
    </row>
    <row r="4810" spans="7:7" hidden="1" x14ac:dyDescent="0.2">
      <c r="G4810" s="401"/>
    </row>
    <row r="4811" spans="7:7" hidden="1" x14ac:dyDescent="0.2">
      <c r="G4811" s="401"/>
    </row>
    <row r="4812" spans="7:7" hidden="1" x14ac:dyDescent="0.2">
      <c r="G4812" s="401"/>
    </row>
    <row r="4813" spans="7:7" hidden="1" x14ac:dyDescent="0.2">
      <c r="G4813" s="401"/>
    </row>
    <row r="4814" spans="7:7" hidden="1" x14ac:dyDescent="0.2">
      <c r="G4814" s="401"/>
    </row>
    <row r="4815" spans="7:7" hidden="1" x14ac:dyDescent="0.2">
      <c r="G4815" s="401"/>
    </row>
    <row r="4816" spans="7:7" hidden="1" x14ac:dyDescent="0.2">
      <c r="G4816" s="401"/>
    </row>
    <row r="4817" spans="7:7" hidden="1" x14ac:dyDescent="0.2">
      <c r="G4817" s="401"/>
    </row>
    <row r="4818" spans="7:7" hidden="1" x14ac:dyDescent="0.2">
      <c r="G4818" s="401"/>
    </row>
    <row r="4819" spans="7:7" hidden="1" x14ac:dyDescent="0.2">
      <c r="G4819" s="401"/>
    </row>
    <row r="4820" spans="7:7" hidden="1" x14ac:dyDescent="0.2">
      <c r="G4820" s="401"/>
    </row>
    <row r="4821" spans="7:7" hidden="1" x14ac:dyDescent="0.2">
      <c r="G4821" s="401"/>
    </row>
    <row r="4822" spans="7:7" hidden="1" x14ac:dyDescent="0.2">
      <c r="G4822" s="401"/>
    </row>
    <row r="4823" spans="7:7" hidden="1" x14ac:dyDescent="0.2">
      <c r="G4823" s="401"/>
    </row>
    <row r="4824" spans="7:7" hidden="1" x14ac:dyDescent="0.2">
      <c r="G4824" s="401"/>
    </row>
    <row r="4825" spans="7:7" hidden="1" x14ac:dyDescent="0.2">
      <c r="G4825" s="401"/>
    </row>
    <row r="4826" spans="7:7" hidden="1" x14ac:dyDescent="0.2">
      <c r="G4826" s="401"/>
    </row>
    <row r="4827" spans="7:7" hidden="1" x14ac:dyDescent="0.2">
      <c r="G4827" s="401"/>
    </row>
    <row r="4828" spans="7:7" hidden="1" x14ac:dyDescent="0.2">
      <c r="G4828" s="401"/>
    </row>
    <row r="4829" spans="7:7" hidden="1" x14ac:dyDescent="0.2">
      <c r="G4829" s="401"/>
    </row>
    <row r="4830" spans="7:7" hidden="1" x14ac:dyDescent="0.2">
      <c r="G4830" s="401"/>
    </row>
    <row r="4831" spans="7:7" hidden="1" x14ac:dyDescent="0.2">
      <c r="G4831" s="401"/>
    </row>
    <row r="4832" spans="7:7" hidden="1" x14ac:dyDescent="0.2">
      <c r="G4832" s="401"/>
    </row>
    <row r="4833" spans="7:7" hidden="1" x14ac:dyDescent="0.2">
      <c r="G4833" s="401"/>
    </row>
    <row r="4834" spans="7:7" hidden="1" x14ac:dyDescent="0.2">
      <c r="G4834" s="401"/>
    </row>
    <row r="4835" spans="7:7" hidden="1" x14ac:dyDescent="0.2">
      <c r="G4835" s="401"/>
    </row>
    <row r="4836" spans="7:7" hidden="1" x14ac:dyDescent="0.2">
      <c r="G4836" s="401"/>
    </row>
    <row r="4837" spans="7:7" hidden="1" x14ac:dyDescent="0.2">
      <c r="G4837" s="401"/>
    </row>
    <row r="4838" spans="7:7" hidden="1" x14ac:dyDescent="0.2">
      <c r="G4838" s="401"/>
    </row>
    <row r="4839" spans="7:7" hidden="1" x14ac:dyDescent="0.2">
      <c r="G4839" s="401"/>
    </row>
    <row r="4840" spans="7:7" hidden="1" x14ac:dyDescent="0.2">
      <c r="G4840" s="401"/>
    </row>
    <row r="4841" spans="7:7" hidden="1" x14ac:dyDescent="0.2">
      <c r="G4841" s="401"/>
    </row>
    <row r="4842" spans="7:7" hidden="1" x14ac:dyDescent="0.2">
      <c r="G4842" s="401"/>
    </row>
    <row r="4843" spans="7:7" hidden="1" x14ac:dyDescent="0.2">
      <c r="G4843" s="401"/>
    </row>
    <row r="4844" spans="7:7" hidden="1" x14ac:dyDescent="0.2">
      <c r="G4844" s="401"/>
    </row>
    <row r="4845" spans="7:7" hidden="1" x14ac:dyDescent="0.2">
      <c r="G4845" s="401"/>
    </row>
    <row r="4846" spans="7:7" hidden="1" x14ac:dyDescent="0.2">
      <c r="G4846" s="401"/>
    </row>
    <row r="4847" spans="7:7" hidden="1" x14ac:dyDescent="0.2">
      <c r="G4847" s="401"/>
    </row>
    <row r="4848" spans="7:7" hidden="1" x14ac:dyDescent="0.2">
      <c r="G4848" s="401"/>
    </row>
    <row r="4849" spans="7:7" hidden="1" x14ac:dyDescent="0.2">
      <c r="G4849" s="401"/>
    </row>
    <row r="4850" spans="7:7" hidden="1" x14ac:dyDescent="0.2">
      <c r="G4850" s="401"/>
    </row>
    <row r="4851" spans="7:7" hidden="1" x14ac:dyDescent="0.2">
      <c r="G4851" s="401"/>
    </row>
    <row r="4852" spans="7:7" hidden="1" x14ac:dyDescent="0.2">
      <c r="G4852" s="401"/>
    </row>
    <row r="4853" spans="7:7" hidden="1" x14ac:dyDescent="0.2">
      <c r="G4853" s="401"/>
    </row>
    <row r="4854" spans="7:7" hidden="1" x14ac:dyDescent="0.2">
      <c r="G4854" s="401"/>
    </row>
    <row r="4855" spans="7:7" hidden="1" x14ac:dyDescent="0.2">
      <c r="G4855" s="401"/>
    </row>
    <row r="4856" spans="7:7" hidden="1" x14ac:dyDescent="0.2">
      <c r="G4856" s="401"/>
    </row>
    <row r="4857" spans="7:7" hidden="1" x14ac:dyDescent="0.2">
      <c r="G4857" s="401"/>
    </row>
    <row r="4858" spans="7:7" hidden="1" x14ac:dyDescent="0.2">
      <c r="G4858" s="401"/>
    </row>
    <row r="4859" spans="7:7" hidden="1" x14ac:dyDescent="0.2">
      <c r="G4859" s="401"/>
    </row>
    <row r="4860" spans="7:7" hidden="1" x14ac:dyDescent="0.2">
      <c r="G4860" s="401"/>
    </row>
    <row r="4861" spans="7:7" hidden="1" x14ac:dyDescent="0.2">
      <c r="G4861" s="401"/>
    </row>
    <row r="4862" spans="7:7" hidden="1" x14ac:dyDescent="0.2">
      <c r="G4862" s="401"/>
    </row>
    <row r="4863" spans="7:7" hidden="1" x14ac:dyDescent="0.2">
      <c r="G4863" s="401"/>
    </row>
    <row r="4864" spans="7:7" hidden="1" x14ac:dyDescent="0.2">
      <c r="G4864" s="401"/>
    </row>
    <row r="4865" spans="7:7" hidden="1" x14ac:dyDescent="0.2">
      <c r="G4865" s="401"/>
    </row>
    <row r="4866" spans="7:7" hidden="1" x14ac:dyDescent="0.2">
      <c r="G4866" s="401"/>
    </row>
    <row r="4867" spans="7:7" hidden="1" x14ac:dyDescent="0.2">
      <c r="G4867" s="401"/>
    </row>
    <row r="4868" spans="7:7" hidden="1" x14ac:dyDescent="0.2">
      <c r="G4868" s="401"/>
    </row>
    <row r="4869" spans="7:7" hidden="1" x14ac:dyDescent="0.2">
      <c r="G4869" s="401"/>
    </row>
    <row r="4870" spans="7:7" hidden="1" x14ac:dyDescent="0.2">
      <c r="G4870" s="401"/>
    </row>
    <row r="4871" spans="7:7" hidden="1" x14ac:dyDescent="0.2">
      <c r="G4871" s="401"/>
    </row>
    <row r="4872" spans="7:7" hidden="1" x14ac:dyDescent="0.2">
      <c r="G4872" s="401"/>
    </row>
    <row r="4873" spans="7:7" hidden="1" x14ac:dyDescent="0.2">
      <c r="G4873" s="401"/>
    </row>
    <row r="4874" spans="7:7" hidden="1" x14ac:dyDescent="0.2">
      <c r="G4874" s="401"/>
    </row>
    <row r="4875" spans="7:7" hidden="1" x14ac:dyDescent="0.2">
      <c r="G4875" s="401"/>
    </row>
    <row r="4876" spans="7:7" hidden="1" x14ac:dyDescent="0.2">
      <c r="G4876" s="401"/>
    </row>
    <row r="4877" spans="7:7" hidden="1" x14ac:dyDescent="0.2">
      <c r="G4877" s="401"/>
    </row>
    <row r="4878" spans="7:7" hidden="1" x14ac:dyDescent="0.2">
      <c r="G4878" s="401"/>
    </row>
    <row r="4879" spans="7:7" hidden="1" x14ac:dyDescent="0.2">
      <c r="G4879" s="401"/>
    </row>
    <row r="4880" spans="7:7" hidden="1" x14ac:dyDescent="0.2">
      <c r="G4880" s="401"/>
    </row>
    <row r="4881" spans="7:7" hidden="1" x14ac:dyDescent="0.2">
      <c r="G4881" s="401"/>
    </row>
    <row r="4882" spans="7:7" hidden="1" x14ac:dyDescent="0.2">
      <c r="G4882" s="401"/>
    </row>
    <row r="4883" spans="7:7" hidden="1" x14ac:dyDescent="0.2">
      <c r="G4883" s="401"/>
    </row>
    <row r="4884" spans="7:7" hidden="1" x14ac:dyDescent="0.2">
      <c r="G4884" s="401"/>
    </row>
    <row r="4885" spans="7:7" hidden="1" x14ac:dyDescent="0.2">
      <c r="G4885" s="401"/>
    </row>
    <row r="4886" spans="7:7" hidden="1" x14ac:dyDescent="0.2">
      <c r="G4886" s="401"/>
    </row>
    <row r="4887" spans="7:7" hidden="1" x14ac:dyDescent="0.2">
      <c r="G4887" s="401"/>
    </row>
    <row r="4888" spans="7:7" hidden="1" x14ac:dyDescent="0.2">
      <c r="G4888" s="401"/>
    </row>
    <row r="4889" spans="7:7" hidden="1" x14ac:dyDescent="0.2">
      <c r="G4889" s="401"/>
    </row>
    <row r="4890" spans="7:7" hidden="1" x14ac:dyDescent="0.2">
      <c r="G4890" s="401"/>
    </row>
    <row r="4891" spans="7:7" hidden="1" x14ac:dyDescent="0.2">
      <c r="G4891" s="401"/>
    </row>
    <row r="4892" spans="7:7" hidden="1" x14ac:dyDescent="0.2">
      <c r="G4892" s="401"/>
    </row>
    <row r="4893" spans="7:7" hidden="1" x14ac:dyDescent="0.2">
      <c r="G4893" s="401"/>
    </row>
    <row r="4894" spans="7:7" hidden="1" x14ac:dyDescent="0.2">
      <c r="G4894" s="401"/>
    </row>
    <row r="4895" spans="7:7" hidden="1" x14ac:dyDescent="0.2">
      <c r="G4895" s="401"/>
    </row>
    <row r="4896" spans="7:7" hidden="1" x14ac:dyDescent="0.2">
      <c r="G4896" s="401"/>
    </row>
    <row r="4897" spans="7:7" hidden="1" x14ac:dyDescent="0.2">
      <c r="G4897" s="401"/>
    </row>
    <row r="4898" spans="7:7" hidden="1" x14ac:dyDescent="0.2">
      <c r="G4898" s="401"/>
    </row>
    <row r="4899" spans="7:7" hidden="1" x14ac:dyDescent="0.2">
      <c r="G4899" s="401"/>
    </row>
    <row r="4900" spans="7:7" hidden="1" x14ac:dyDescent="0.2">
      <c r="G4900" s="401"/>
    </row>
    <row r="4901" spans="7:7" hidden="1" x14ac:dyDescent="0.2">
      <c r="G4901" s="401"/>
    </row>
    <row r="4902" spans="7:7" hidden="1" x14ac:dyDescent="0.2">
      <c r="G4902" s="401"/>
    </row>
    <row r="4903" spans="7:7" hidden="1" x14ac:dyDescent="0.2">
      <c r="G4903" s="401"/>
    </row>
    <row r="4904" spans="7:7" hidden="1" x14ac:dyDescent="0.2">
      <c r="G4904" s="401"/>
    </row>
    <row r="4905" spans="7:7" hidden="1" x14ac:dyDescent="0.2">
      <c r="G4905" s="401"/>
    </row>
    <row r="4906" spans="7:7" hidden="1" x14ac:dyDescent="0.2">
      <c r="G4906" s="401"/>
    </row>
    <row r="4907" spans="7:7" hidden="1" x14ac:dyDescent="0.2">
      <c r="G4907" s="401"/>
    </row>
    <row r="4908" spans="7:7" hidden="1" x14ac:dyDescent="0.2">
      <c r="G4908" s="401"/>
    </row>
    <row r="4909" spans="7:7" hidden="1" x14ac:dyDescent="0.2">
      <c r="G4909" s="401"/>
    </row>
    <row r="4910" spans="7:7" hidden="1" x14ac:dyDescent="0.2">
      <c r="G4910" s="401"/>
    </row>
    <row r="4911" spans="7:7" hidden="1" x14ac:dyDescent="0.2">
      <c r="G4911" s="401"/>
    </row>
    <row r="4912" spans="7:7" hidden="1" x14ac:dyDescent="0.2">
      <c r="G4912" s="401"/>
    </row>
    <row r="4913" spans="7:7" hidden="1" x14ac:dyDescent="0.2">
      <c r="G4913" s="401"/>
    </row>
    <row r="4914" spans="7:7" hidden="1" x14ac:dyDescent="0.2">
      <c r="G4914" s="401"/>
    </row>
    <row r="4915" spans="7:7" hidden="1" x14ac:dyDescent="0.2">
      <c r="G4915" s="401"/>
    </row>
    <row r="4916" spans="7:7" hidden="1" x14ac:dyDescent="0.2">
      <c r="G4916" s="401"/>
    </row>
    <row r="4917" spans="7:7" hidden="1" x14ac:dyDescent="0.2">
      <c r="G4917" s="401"/>
    </row>
    <row r="4918" spans="7:7" hidden="1" x14ac:dyDescent="0.2">
      <c r="G4918" s="401"/>
    </row>
    <row r="4919" spans="7:7" hidden="1" x14ac:dyDescent="0.2">
      <c r="G4919" s="401"/>
    </row>
    <row r="4920" spans="7:7" hidden="1" x14ac:dyDescent="0.2">
      <c r="G4920" s="401"/>
    </row>
    <row r="4921" spans="7:7" hidden="1" x14ac:dyDescent="0.2">
      <c r="G4921" s="401"/>
    </row>
    <row r="4922" spans="7:7" hidden="1" x14ac:dyDescent="0.2">
      <c r="G4922" s="401"/>
    </row>
    <row r="4923" spans="7:7" hidden="1" x14ac:dyDescent="0.2">
      <c r="G4923" s="401"/>
    </row>
    <row r="4924" spans="7:7" hidden="1" x14ac:dyDescent="0.2">
      <c r="G4924" s="401"/>
    </row>
    <row r="4925" spans="7:7" hidden="1" x14ac:dyDescent="0.2">
      <c r="G4925" s="401"/>
    </row>
    <row r="4926" spans="7:7" hidden="1" x14ac:dyDescent="0.2">
      <c r="G4926" s="401"/>
    </row>
    <row r="4927" spans="7:7" hidden="1" x14ac:dyDescent="0.2">
      <c r="G4927" s="401"/>
    </row>
    <row r="4928" spans="7:7" hidden="1" x14ac:dyDescent="0.2">
      <c r="G4928" s="401"/>
    </row>
    <row r="4929" spans="7:7" hidden="1" x14ac:dyDescent="0.2">
      <c r="G4929" s="401"/>
    </row>
    <row r="4930" spans="7:7" hidden="1" x14ac:dyDescent="0.2">
      <c r="G4930" s="401"/>
    </row>
    <row r="4931" spans="7:7" hidden="1" x14ac:dyDescent="0.2">
      <c r="G4931" s="401"/>
    </row>
    <row r="4932" spans="7:7" hidden="1" x14ac:dyDescent="0.2">
      <c r="G4932" s="401"/>
    </row>
    <row r="4933" spans="7:7" hidden="1" x14ac:dyDescent="0.2">
      <c r="G4933" s="401"/>
    </row>
    <row r="4934" spans="7:7" hidden="1" x14ac:dyDescent="0.2">
      <c r="G4934" s="401"/>
    </row>
    <row r="4935" spans="7:7" hidden="1" x14ac:dyDescent="0.2">
      <c r="G4935" s="401"/>
    </row>
    <row r="4936" spans="7:7" hidden="1" x14ac:dyDescent="0.2">
      <c r="G4936" s="401"/>
    </row>
    <row r="4937" spans="7:7" hidden="1" x14ac:dyDescent="0.2">
      <c r="G4937" s="401"/>
    </row>
    <row r="4938" spans="7:7" hidden="1" x14ac:dyDescent="0.2">
      <c r="G4938" s="401"/>
    </row>
    <row r="4939" spans="7:7" hidden="1" x14ac:dyDescent="0.2">
      <c r="G4939" s="401"/>
    </row>
    <row r="4940" spans="7:7" hidden="1" x14ac:dyDescent="0.2">
      <c r="G4940" s="401"/>
    </row>
    <row r="4941" spans="7:7" hidden="1" x14ac:dyDescent="0.2">
      <c r="G4941" s="401"/>
    </row>
    <row r="4942" spans="7:7" hidden="1" x14ac:dyDescent="0.2">
      <c r="G4942" s="401"/>
    </row>
    <row r="4943" spans="7:7" hidden="1" x14ac:dyDescent="0.2">
      <c r="G4943" s="401"/>
    </row>
    <row r="4944" spans="7:7" hidden="1" x14ac:dyDescent="0.2">
      <c r="G4944" s="401"/>
    </row>
    <row r="4945" spans="7:7" hidden="1" x14ac:dyDescent="0.2">
      <c r="G4945" s="401"/>
    </row>
    <row r="4946" spans="7:7" hidden="1" x14ac:dyDescent="0.2">
      <c r="G4946" s="401"/>
    </row>
    <row r="4947" spans="7:7" hidden="1" x14ac:dyDescent="0.2">
      <c r="G4947" s="401"/>
    </row>
    <row r="4948" spans="7:7" hidden="1" x14ac:dyDescent="0.2">
      <c r="G4948" s="401"/>
    </row>
    <row r="4949" spans="7:7" hidden="1" x14ac:dyDescent="0.2">
      <c r="G4949" s="401"/>
    </row>
    <row r="4950" spans="7:7" hidden="1" x14ac:dyDescent="0.2">
      <c r="G4950" s="401"/>
    </row>
    <row r="4951" spans="7:7" hidden="1" x14ac:dyDescent="0.2">
      <c r="G4951" s="401"/>
    </row>
    <row r="4952" spans="7:7" hidden="1" x14ac:dyDescent="0.2">
      <c r="G4952" s="401"/>
    </row>
    <row r="4953" spans="7:7" hidden="1" x14ac:dyDescent="0.2">
      <c r="G4953" s="401"/>
    </row>
    <row r="4954" spans="7:7" hidden="1" x14ac:dyDescent="0.2">
      <c r="G4954" s="401"/>
    </row>
    <row r="4955" spans="7:7" hidden="1" x14ac:dyDescent="0.2">
      <c r="G4955" s="401"/>
    </row>
    <row r="4956" spans="7:7" hidden="1" x14ac:dyDescent="0.2">
      <c r="G4956" s="401"/>
    </row>
    <row r="4957" spans="7:7" hidden="1" x14ac:dyDescent="0.2">
      <c r="G4957" s="401"/>
    </row>
    <row r="4958" spans="7:7" hidden="1" x14ac:dyDescent="0.2">
      <c r="G4958" s="401"/>
    </row>
    <row r="4959" spans="7:7" hidden="1" x14ac:dyDescent="0.2">
      <c r="G4959" s="401"/>
    </row>
    <row r="4960" spans="7:7" hidden="1" x14ac:dyDescent="0.2">
      <c r="G4960" s="401"/>
    </row>
    <row r="4961" spans="7:7" hidden="1" x14ac:dyDescent="0.2">
      <c r="G4961" s="401"/>
    </row>
    <row r="4962" spans="7:7" hidden="1" x14ac:dyDescent="0.2">
      <c r="G4962" s="401"/>
    </row>
    <row r="4963" spans="7:7" hidden="1" x14ac:dyDescent="0.2">
      <c r="G4963" s="401"/>
    </row>
    <row r="4964" spans="7:7" hidden="1" x14ac:dyDescent="0.2">
      <c r="G4964" s="401"/>
    </row>
    <row r="4965" spans="7:7" hidden="1" x14ac:dyDescent="0.2">
      <c r="G4965" s="401"/>
    </row>
    <row r="4966" spans="7:7" hidden="1" x14ac:dyDescent="0.2">
      <c r="G4966" s="401"/>
    </row>
    <row r="4967" spans="7:7" hidden="1" x14ac:dyDescent="0.2">
      <c r="G4967" s="401"/>
    </row>
    <row r="4968" spans="7:7" hidden="1" x14ac:dyDescent="0.2">
      <c r="G4968" s="401"/>
    </row>
    <row r="4969" spans="7:7" hidden="1" x14ac:dyDescent="0.2">
      <c r="G4969" s="401"/>
    </row>
    <row r="4970" spans="7:7" hidden="1" x14ac:dyDescent="0.2">
      <c r="G4970" s="401"/>
    </row>
    <row r="4971" spans="7:7" hidden="1" x14ac:dyDescent="0.2">
      <c r="G4971" s="401"/>
    </row>
    <row r="4972" spans="7:7" hidden="1" x14ac:dyDescent="0.2">
      <c r="G4972" s="401"/>
    </row>
    <row r="4973" spans="7:7" hidden="1" x14ac:dyDescent="0.2">
      <c r="G4973" s="401"/>
    </row>
    <row r="4974" spans="7:7" hidden="1" x14ac:dyDescent="0.2">
      <c r="G4974" s="401"/>
    </row>
    <row r="4975" spans="7:7" hidden="1" x14ac:dyDescent="0.2">
      <c r="G4975" s="401"/>
    </row>
    <row r="4976" spans="7:7" hidden="1" x14ac:dyDescent="0.2">
      <c r="G4976" s="401"/>
    </row>
    <row r="4977" spans="7:7" hidden="1" x14ac:dyDescent="0.2">
      <c r="G4977" s="401"/>
    </row>
    <row r="4978" spans="7:7" hidden="1" x14ac:dyDescent="0.2">
      <c r="G4978" s="401"/>
    </row>
    <row r="4979" spans="7:7" hidden="1" x14ac:dyDescent="0.2">
      <c r="G4979" s="401"/>
    </row>
    <row r="4980" spans="7:7" hidden="1" x14ac:dyDescent="0.2">
      <c r="G4980" s="401"/>
    </row>
    <row r="4981" spans="7:7" hidden="1" x14ac:dyDescent="0.2">
      <c r="G4981" s="401"/>
    </row>
    <row r="4982" spans="7:7" hidden="1" x14ac:dyDescent="0.2">
      <c r="G4982" s="401"/>
    </row>
    <row r="4983" spans="7:7" hidden="1" x14ac:dyDescent="0.2">
      <c r="G4983" s="401"/>
    </row>
    <row r="4984" spans="7:7" hidden="1" x14ac:dyDescent="0.2">
      <c r="G4984" s="401"/>
    </row>
    <row r="4985" spans="7:7" hidden="1" x14ac:dyDescent="0.2">
      <c r="G4985" s="401"/>
    </row>
    <row r="4986" spans="7:7" hidden="1" x14ac:dyDescent="0.2">
      <c r="G4986" s="401"/>
    </row>
    <row r="4987" spans="7:7" hidden="1" x14ac:dyDescent="0.2">
      <c r="G4987" s="401"/>
    </row>
    <row r="4988" spans="7:7" hidden="1" x14ac:dyDescent="0.2">
      <c r="G4988" s="401"/>
    </row>
    <row r="4989" spans="7:7" hidden="1" x14ac:dyDescent="0.2">
      <c r="G4989" s="401"/>
    </row>
    <row r="4990" spans="7:7" hidden="1" x14ac:dyDescent="0.2">
      <c r="G4990" s="401"/>
    </row>
    <row r="4991" spans="7:7" hidden="1" x14ac:dyDescent="0.2">
      <c r="G4991" s="401"/>
    </row>
    <row r="4992" spans="7:7" hidden="1" x14ac:dyDescent="0.2">
      <c r="G4992" s="401"/>
    </row>
    <row r="4993" spans="7:7" hidden="1" x14ac:dyDescent="0.2">
      <c r="G4993" s="401"/>
    </row>
    <row r="4994" spans="7:7" hidden="1" x14ac:dyDescent="0.2">
      <c r="G4994" s="401"/>
    </row>
    <row r="4995" spans="7:7" hidden="1" x14ac:dyDescent="0.2">
      <c r="G4995" s="401"/>
    </row>
    <row r="4996" spans="7:7" hidden="1" x14ac:dyDescent="0.2">
      <c r="G4996" s="401"/>
    </row>
    <row r="4997" spans="7:7" hidden="1" x14ac:dyDescent="0.2">
      <c r="G4997" s="401"/>
    </row>
    <row r="4998" spans="7:7" hidden="1" x14ac:dyDescent="0.2">
      <c r="G4998" s="401"/>
    </row>
    <row r="4999" spans="7:7" hidden="1" x14ac:dyDescent="0.2">
      <c r="G4999" s="401"/>
    </row>
    <row r="5000" spans="7:7" hidden="1" x14ac:dyDescent="0.2">
      <c r="G5000" s="401"/>
    </row>
    <row r="5001" spans="7:7" hidden="1" x14ac:dyDescent="0.2">
      <c r="G5001" s="401"/>
    </row>
    <row r="5002" spans="7:7" hidden="1" x14ac:dyDescent="0.2">
      <c r="G5002" s="401"/>
    </row>
    <row r="5003" spans="7:7" hidden="1" x14ac:dyDescent="0.2">
      <c r="G5003" s="401"/>
    </row>
    <row r="5004" spans="7:7" hidden="1" x14ac:dyDescent="0.2">
      <c r="G5004" s="401"/>
    </row>
    <row r="5005" spans="7:7" hidden="1" x14ac:dyDescent="0.2">
      <c r="G5005" s="401"/>
    </row>
    <row r="5006" spans="7:7" hidden="1" x14ac:dyDescent="0.2">
      <c r="G5006" s="401"/>
    </row>
    <row r="5007" spans="7:7" hidden="1" x14ac:dyDescent="0.2">
      <c r="G5007" s="401"/>
    </row>
    <row r="5008" spans="7:7" hidden="1" x14ac:dyDescent="0.2">
      <c r="G5008" s="401"/>
    </row>
    <row r="5009" spans="7:7" hidden="1" x14ac:dyDescent="0.2">
      <c r="G5009" s="401"/>
    </row>
    <row r="5010" spans="7:7" hidden="1" x14ac:dyDescent="0.2">
      <c r="G5010" s="401"/>
    </row>
    <row r="5011" spans="7:7" hidden="1" x14ac:dyDescent="0.2">
      <c r="G5011" s="401"/>
    </row>
    <row r="5012" spans="7:7" hidden="1" x14ac:dyDescent="0.2">
      <c r="G5012" s="401"/>
    </row>
    <row r="5013" spans="7:7" hidden="1" x14ac:dyDescent="0.2">
      <c r="G5013" s="401"/>
    </row>
    <row r="5014" spans="7:7" hidden="1" x14ac:dyDescent="0.2">
      <c r="G5014" s="401"/>
    </row>
    <row r="5015" spans="7:7" hidden="1" x14ac:dyDescent="0.2">
      <c r="G5015" s="401"/>
    </row>
    <row r="5016" spans="7:7" hidden="1" x14ac:dyDescent="0.2">
      <c r="G5016" s="401"/>
    </row>
    <row r="5017" spans="7:7" hidden="1" x14ac:dyDescent="0.2">
      <c r="G5017" s="401"/>
    </row>
    <row r="5018" spans="7:7" hidden="1" x14ac:dyDescent="0.2">
      <c r="G5018" s="401"/>
    </row>
    <row r="5019" spans="7:7" hidden="1" x14ac:dyDescent="0.2">
      <c r="G5019" s="401"/>
    </row>
    <row r="5020" spans="7:7" hidden="1" x14ac:dyDescent="0.2">
      <c r="G5020" s="401"/>
    </row>
    <row r="5021" spans="7:7" hidden="1" x14ac:dyDescent="0.2">
      <c r="G5021" s="401"/>
    </row>
    <row r="5022" spans="7:7" hidden="1" x14ac:dyDescent="0.2">
      <c r="G5022" s="401"/>
    </row>
    <row r="5023" spans="7:7" hidden="1" x14ac:dyDescent="0.2">
      <c r="G5023" s="401"/>
    </row>
    <row r="5024" spans="7:7" hidden="1" x14ac:dyDescent="0.2">
      <c r="G5024" s="401"/>
    </row>
    <row r="5025" spans="7:7" hidden="1" x14ac:dyDescent="0.2">
      <c r="G5025" s="401"/>
    </row>
    <row r="5026" spans="7:7" hidden="1" x14ac:dyDescent="0.2">
      <c r="G5026" s="401"/>
    </row>
    <row r="5027" spans="7:7" hidden="1" x14ac:dyDescent="0.2">
      <c r="G5027" s="401"/>
    </row>
    <row r="5028" spans="7:7" hidden="1" x14ac:dyDescent="0.2">
      <c r="G5028" s="401"/>
    </row>
    <row r="5029" spans="7:7" hidden="1" x14ac:dyDescent="0.2">
      <c r="G5029" s="401"/>
    </row>
    <row r="5030" spans="7:7" hidden="1" x14ac:dyDescent="0.2">
      <c r="G5030" s="401"/>
    </row>
    <row r="5031" spans="7:7" hidden="1" x14ac:dyDescent="0.2">
      <c r="G5031" s="401"/>
    </row>
    <row r="5032" spans="7:7" hidden="1" x14ac:dyDescent="0.2">
      <c r="G5032" s="401"/>
    </row>
    <row r="5033" spans="7:7" hidden="1" x14ac:dyDescent="0.2">
      <c r="G5033" s="401"/>
    </row>
    <row r="5034" spans="7:7" hidden="1" x14ac:dyDescent="0.2">
      <c r="G5034" s="401"/>
    </row>
    <row r="5035" spans="7:7" hidden="1" x14ac:dyDescent="0.2">
      <c r="G5035" s="401"/>
    </row>
    <row r="5036" spans="7:7" hidden="1" x14ac:dyDescent="0.2">
      <c r="G5036" s="401"/>
    </row>
    <row r="5037" spans="7:7" hidden="1" x14ac:dyDescent="0.2">
      <c r="G5037" s="401"/>
    </row>
    <row r="5038" spans="7:7" hidden="1" x14ac:dyDescent="0.2">
      <c r="G5038" s="401"/>
    </row>
    <row r="5039" spans="7:7" hidden="1" x14ac:dyDescent="0.2">
      <c r="G5039" s="401"/>
    </row>
    <row r="5040" spans="7:7" hidden="1" x14ac:dyDescent="0.2">
      <c r="G5040" s="401"/>
    </row>
    <row r="5041" spans="7:7" hidden="1" x14ac:dyDescent="0.2">
      <c r="G5041" s="401"/>
    </row>
    <row r="5042" spans="7:7" hidden="1" x14ac:dyDescent="0.2">
      <c r="G5042" s="401"/>
    </row>
    <row r="5043" spans="7:7" hidden="1" x14ac:dyDescent="0.2">
      <c r="G5043" s="401"/>
    </row>
    <row r="5044" spans="7:7" hidden="1" x14ac:dyDescent="0.2">
      <c r="G5044" s="401"/>
    </row>
    <row r="5045" spans="7:7" hidden="1" x14ac:dyDescent="0.2">
      <c r="G5045" s="401"/>
    </row>
    <row r="5046" spans="7:7" hidden="1" x14ac:dyDescent="0.2">
      <c r="G5046" s="401"/>
    </row>
    <row r="5047" spans="7:7" hidden="1" x14ac:dyDescent="0.2">
      <c r="G5047" s="401"/>
    </row>
    <row r="5048" spans="7:7" hidden="1" x14ac:dyDescent="0.2">
      <c r="G5048" s="401"/>
    </row>
    <row r="5049" spans="7:7" hidden="1" x14ac:dyDescent="0.2">
      <c r="G5049" s="401"/>
    </row>
    <row r="5050" spans="7:7" hidden="1" x14ac:dyDescent="0.2">
      <c r="G5050" s="401"/>
    </row>
    <row r="5051" spans="7:7" hidden="1" x14ac:dyDescent="0.2">
      <c r="G5051" s="401"/>
    </row>
    <row r="5052" spans="7:7" hidden="1" x14ac:dyDescent="0.2">
      <c r="G5052" s="401"/>
    </row>
    <row r="5053" spans="7:7" hidden="1" x14ac:dyDescent="0.2">
      <c r="G5053" s="401"/>
    </row>
    <row r="5054" spans="7:7" hidden="1" x14ac:dyDescent="0.2">
      <c r="G5054" s="401"/>
    </row>
    <row r="5055" spans="7:7" hidden="1" x14ac:dyDescent="0.2">
      <c r="G5055" s="401"/>
    </row>
    <row r="5056" spans="7:7" hidden="1" x14ac:dyDescent="0.2">
      <c r="G5056" s="401"/>
    </row>
    <row r="5057" spans="7:7" hidden="1" x14ac:dyDescent="0.2">
      <c r="G5057" s="401"/>
    </row>
    <row r="5058" spans="7:7" hidden="1" x14ac:dyDescent="0.2">
      <c r="G5058" s="401"/>
    </row>
    <row r="5059" spans="7:7" hidden="1" x14ac:dyDescent="0.2">
      <c r="G5059" s="401"/>
    </row>
    <row r="5060" spans="7:7" hidden="1" x14ac:dyDescent="0.2">
      <c r="G5060" s="401"/>
    </row>
    <row r="5061" spans="7:7" hidden="1" x14ac:dyDescent="0.2">
      <c r="G5061" s="401"/>
    </row>
    <row r="5062" spans="7:7" hidden="1" x14ac:dyDescent="0.2">
      <c r="G5062" s="401"/>
    </row>
    <row r="5063" spans="7:7" hidden="1" x14ac:dyDescent="0.2">
      <c r="G5063" s="401"/>
    </row>
    <row r="5064" spans="7:7" hidden="1" x14ac:dyDescent="0.2">
      <c r="G5064" s="401"/>
    </row>
    <row r="5065" spans="7:7" hidden="1" x14ac:dyDescent="0.2">
      <c r="G5065" s="401"/>
    </row>
    <row r="5066" spans="7:7" hidden="1" x14ac:dyDescent="0.2">
      <c r="G5066" s="401"/>
    </row>
    <row r="5067" spans="7:7" hidden="1" x14ac:dyDescent="0.2">
      <c r="G5067" s="401"/>
    </row>
    <row r="5068" spans="7:7" hidden="1" x14ac:dyDescent="0.2">
      <c r="G5068" s="401"/>
    </row>
    <row r="5069" spans="7:7" hidden="1" x14ac:dyDescent="0.2">
      <c r="G5069" s="401"/>
    </row>
    <row r="5070" spans="7:7" hidden="1" x14ac:dyDescent="0.2">
      <c r="G5070" s="401"/>
    </row>
    <row r="5071" spans="7:7" hidden="1" x14ac:dyDescent="0.2">
      <c r="G5071" s="401"/>
    </row>
    <row r="5072" spans="7:7" hidden="1" x14ac:dyDescent="0.2">
      <c r="G5072" s="401"/>
    </row>
    <row r="5073" spans="7:7" hidden="1" x14ac:dyDescent="0.2">
      <c r="G5073" s="401"/>
    </row>
    <row r="5074" spans="7:7" hidden="1" x14ac:dyDescent="0.2">
      <c r="G5074" s="401"/>
    </row>
    <row r="5075" spans="7:7" hidden="1" x14ac:dyDescent="0.2">
      <c r="G5075" s="401"/>
    </row>
    <row r="5076" spans="7:7" hidden="1" x14ac:dyDescent="0.2">
      <c r="G5076" s="401"/>
    </row>
    <row r="5077" spans="7:7" hidden="1" x14ac:dyDescent="0.2">
      <c r="G5077" s="401"/>
    </row>
    <row r="5078" spans="7:7" hidden="1" x14ac:dyDescent="0.2">
      <c r="G5078" s="401"/>
    </row>
    <row r="5079" spans="7:7" hidden="1" x14ac:dyDescent="0.2">
      <c r="G5079" s="401"/>
    </row>
    <row r="5080" spans="7:7" hidden="1" x14ac:dyDescent="0.2">
      <c r="G5080" s="401"/>
    </row>
    <row r="5081" spans="7:7" hidden="1" x14ac:dyDescent="0.2">
      <c r="G5081" s="401"/>
    </row>
    <row r="5082" spans="7:7" hidden="1" x14ac:dyDescent="0.2">
      <c r="G5082" s="401"/>
    </row>
    <row r="5083" spans="7:7" hidden="1" x14ac:dyDescent="0.2">
      <c r="G5083" s="401"/>
    </row>
    <row r="5084" spans="7:7" hidden="1" x14ac:dyDescent="0.2">
      <c r="G5084" s="401"/>
    </row>
    <row r="5085" spans="7:7" hidden="1" x14ac:dyDescent="0.2">
      <c r="G5085" s="401"/>
    </row>
    <row r="5086" spans="7:7" hidden="1" x14ac:dyDescent="0.2">
      <c r="G5086" s="401"/>
    </row>
    <row r="5087" spans="7:7" hidden="1" x14ac:dyDescent="0.2">
      <c r="G5087" s="401"/>
    </row>
    <row r="5088" spans="7:7" hidden="1" x14ac:dyDescent="0.2">
      <c r="G5088" s="401"/>
    </row>
    <row r="5089" spans="7:7" hidden="1" x14ac:dyDescent="0.2">
      <c r="G5089" s="401"/>
    </row>
    <row r="5090" spans="7:7" hidden="1" x14ac:dyDescent="0.2">
      <c r="G5090" s="401"/>
    </row>
    <row r="5091" spans="7:7" hidden="1" x14ac:dyDescent="0.2">
      <c r="G5091" s="401"/>
    </row>
    <row r="5092" spans="7:7" hidden="1" x14ac:dyDescent="0.2">
      <c r="G5092" s="401"/>
    </row>
    <row r="5093" spans="7:7" hidden="1" x14ac:dyDescent="0.2">
      <c r="G5093" s="401"/>
    </row>
    <row r="5094" spans="7:7" hidden="1" x14ac:dyDescent="0.2">
      <c r="G5094" s="401"/>
    </row>
    <row r="5095" spans="7:7" hidden="1" x14ac:dyDescent="0.2">
      <c r="G5095" s="401"/>
    </row>
    <row r="5096" spans="7:7" hidden="1" x14ac:dyDescent="0.2">
      <c r="G5096" s="401"/>
    </row>
    <row r="5097" spans="7:7" hidden="1" x14ac:dyDescent="0.2">
      <c r="G5097" s="401"/>
    </row>
    <row r="5098" spans="7:7" hidden="1" x14ac:dyDescent="0.2">
      <c r="G5098" s="401"/>
    </row>
    <row r="5099" spans="7:7" hidden="1" x14ac:dyDescent="0.2">
      <c r="G5099" s="401"/>
    </row>
    <row r="5100" spans="7:7" hidden="1" x14ac:dyDescent="0.2">
      <c r="G5100" s="401"/>
    </row>
    <row r="5101" spans="7:7" hidden="1" x14ac:dyDescent="0.2">
      <c r="G5101" s="401"/>
    </row>
    <row r="5102" spans="7:7" hidden="1" x14ac:dyDescent="0.2">
      <c r="G5102" s="401"/>
    </row>
    <row r="5103" spans="7:7" hidden="1" x14ac:dyDescent="0.2">
      <c r="G5103" s="401"/>
    </row>
    <row r="5104" spans="7:7" hidden="1" x14ac:dyDescent="0.2">
      <c r="G5104" s="401"/>
    </row>
    <row r="5105" spans="7:7" hidden="1" x14ac:dyDescent="0.2">
      <c r="G5105" s="401"/>
    </row>
    <row r="5106" spans="7:7" hidden="1" x14ac:dyDescent="0.2">
      <c r="G5106" s="401"/>
    </row>
    <row r="5107" spans="7:7" hidden="1" x14ac:dyDescent="0.2">
      <c r="G5107" s="401"/>
    </row>
    <row r="5108" spans="7:7" hidden="1" x14ac:dyDescent="0.2">
      <c r="G5108" s="401"/>
    </row>
    <row r="5109" spans="7:7" hidden="1" x14ac:dyDescent="0.2">
      <c r="G5109" s="401"/>
    </row>
    <row r="5110" spans="7:7" hidden="1" x14ac:dyDescent="0.2">
      <c r="G5110" s="401"/>
    </row>
    <row r="5111" spans="7:7" hidden="1" x14ac:dyDescent="0.2">
      <c r="G5111" s="401"/>
    </row>
    <row r="5112" spans="7:7" hidden="1" x14ac:dyDescent="0.2">
      <c r="G5112" s="401"/>
    </row>
    <row r="5113" spans="7:7" hidden="1" x14ac:dyDescent="0.2">
      <c r="G5113" s="401"/>
    </row>
    <row r="5114" spans="7:7" hidden="1" x14ac:dyDescent="0.2">
      <c r="G5114" s="401"/>
    </row>
    <row r="5115" spans="7:7" hidden="1" x14ac:dyDescent="0.2">
      <c r="G5115" s="401"/>
    </row>
    <row r="5116" spans="7:7" hidden="1" x14ac:dyDescent="0.2">
      <c r="G5116" s="401"/>
    </row>
    <row r="5117" spans="7:7" hidden="1" x14ac:dyDescent="0.2">
      <c r="G5117" s="401"/>
    </row>
    <row r="5118" spans="7:7" hidden="1" x14ac:dyDescent="0.2">
      <c r="G5118" s="401"/>
    </row>
    <row r="5119" spans="7:7" hidden="1" x14ac:dyDescent="0.2">
      <c r="G5119" s="401"/>
    </row>
    <row r="5120" spans="7:7" hidden="1" x14ac:dyDescent="0.2">
      <c r="G5120" s="401"/>
    </row>
    <row r="5121" spans="7:7" hidden="1" x14ac:dyDescent="0.2">
      <c r="G5121" s="401"/>
    </row>
    <row r="5122" spans="7:7" hidden="1" x14ac:dyDescent="0.2">
      <c r="G5122" s="401"/>
    </row>
    <row r="5123" spans="7:7" hidden="1" x14ac:dyDescent="0.2">
      <c r="G5123" s="401"/>
    </row>
    <row r="5124" spans="7:7" hidden="1" x14ac:dyDescent="0.2">
      <c r="G5124" s="401"/>
    </row>
    <row r="5125" spans="7:7" hidden="1" x14ac:dyDescent="0.2">
      <c r="G5125" s="401"/>
    </row>
    <row r="5126" spans="7:7" hidden="1" x14ac:dyDescent="0.2">
      <c r="G5126" s="401"/>
    </row>
    <row r="5127" spans="7:7" hidden="1" x14ac:dyDescent="0.2">
      <c r="G5127" s="401"/>
    </row>
    <row r="5128" spans="7:7" hidden="1" x14ac:dyDescent="0.2">
      <c r="G5128" s="401"/>
    </row>
    <row r="5129" spans="7:7" hidden="1" x14ac:dyDescent="0.2">
      <c r="G5129" s="401"/>
    </row>
    <row r="5130" spans="7:7" hidden="1" x14ac:dyDescent="0.2">
      <c r="G5130" s="401"/>
    </row>
    <row r="5131" spans="7:7" hidden="1" x14ac:dyDescent="0.2">
      <c r="G5131" s="401"/>
    </row>
    <row r="5132" spans="7:7" hidden="1" x14ac:dyDescent="0.2">
      <c r="G5132" s="401"/>
    </row>
    <row r="5133" spans="7:7" hidden="1" x14ac:dyDescent="0.2">
      <c r="G5133" s="401"/>
    </row>
    <row r="5134" spans="7:7" hidden="1" x14ac:dyDescent="0.2">
      <c r="G5134" s="401"/>
    </row>
    <row r="5135" spans="7:7" hidden="1" x14ac:dyDescent="0.2">
      <c r="G5135" s="401"/>
    </row>
    <row r="5136" spans="7:7" hidden="1" x14ac:dyDescent="0.2">
      <c r="G5136" s="401"/>
    </row>
    <row r="5137" spans="7:7" hidden="1" x14ac:dyDescent="0.2">
      <c r="G5137" s="401"/>
    </row>
    <row r="5138" spans="7:7" hidden="1" x14ac:dyDescent="0.2">
      <c r="G5138" s="401"/>
    </row>
    <row r="5139" spans="7:7" hidden="1" x14ac:dyDescent="0.2">
      <c r="G5139" s="401"/>
    </row>
    <row r="5140" spans="7:7" hidden="1" x14ac:dyDescent="0.2">
      <c r="G5140" s="401"/>
    </row>
    <row r="5141" spans="7:7" hidden="1" x14ac:dyDescent="0.2">
      <c r="G5141" s="401"/>
    </row>
    <row r="5142" spans="7:7" hidden="1" x14ac:dyDescent="0.2">
      <c r="G5142" s="401"/>
    </row>
    <row r="5143" spans="7:7" hidden="1" x14ac:dyDescent="0.2">
      <c r="G5143" s="401"/>
    </row>
    <row r="5144" spans="7:7" hidden="1" x14ac:dyDescent="0.2">
      <c r="G5144" s="401"/>
    </row>
    <row r="5145" spans="7:7" hidden="1" x14ac:dyDescent="0.2">
      <c r="G5145" s="401"/>
    </row>
    <row r="5146" spans="7:7" hidden="1" x14ac:dyDescent="0.2">
      <c r="G5146" s="401"/>
    </row>
    <row r="5147" spans="7:7" hidden="1" x14ac:dyDescent="0.2">
      <c r="G5147" s="401"/>
    </row>
    <row r="5148" spans="7:7" hidden="1" x14ac:dyDescent="0.2">
      <c r="G5148" s="401"/>
    </row>
    <row r="5149" spans="7:7" hidden="1" x14ac:dyDescent="0.2">
      <c r="G5149" s="401"/>
    </row>
    <row r="5150" spans="7:7" hidden="1" x14ac:dyDescent="0.2">
      <c r="G5150" s="401"/>
    </row>
    <row r="5151" spans="7:7" hidden="1" x14ac:dyDescent="0.2">
      <c r="G5151" s="401"/>
    </row>
    <row r="5152" spans="7:7" hidden="1" x14ac:dyDescent="0.2">
      <c r="G5152" s="401"/>
    </row>
    <row r="5153" spans="7:7" hidden="1" x14ac:dyDescent="0.2">
      <c r="G5153" s="401"/>
    </row>
    <row r="5154" spans="7:7" hidden="1" x14ac:dyDescent="0.2">
      <c r="G5154" s="401"/>
    </row>
    <row r="5155" spans="7:7" hidden="1" x14ac:dyDescent="0.2">
      <c r="G5155" s="401"/>
    </row>
    <row r="5156" spans="7:7" hidden="1" x14ac:dyDescent="0.2">
      <c r="G5156" s="401"/>
    </row>
    <row r="5157" spans="7:7" hidden="1" x14ac:dyDescent="0.2">
      <c r="G5157" s="401"/>
    </row>
    <row r="5158" spans="7:7" hidden="1" x14ac:dyDescent="0.2">
      <c r="G5158" s="401"/>
    </row>
    <row r="5159" spans="7:7" hidden="1" x14ac:dyDescent="0.2">
      <c r="G5159" s="401"/>
    </row>
    <row r="5160" spans="7:7" hidden="1" x14ac:dyDescent="0.2">
      <c r="G5160" s="401"/>
    </row>
    <row r="5161" spans="7:7" hidden="1" x14ac:dyDescent="0.2">
      <c r="G5161" s="401"/>
    </row>
    <row r="5162" spans="7:7" hidden="1" x14ac:dyDescent="0.2">
      <c r="G5162" s="401"/>
    </row>
    <row r="5163" spans="7:7" hidden="1" x14ac:dyDescent="0.2">
      <c r="G5163" s="401"/>
    </row>
    <row r="5164" spans="7:7" hidden="1" x14ac:dyDescent="0.2">
      <c r="G5164" s="401"/>
    </row>
    <row r="5165" spans="7:7" hidden="1" x14ac:dyDescent="0.2">
      <c r="G5165" s="401"/>
    </row>
    <row r="5166" spans="7:7" hidden="1" x14ac:dyDescent="0.2">
      <c r="G5166" s="401"/>
    </row>
    <row r="5167" spans="7:7" hidden="1" x14ac:dyDescent="0.2">
      <c r="G5167" s="401"/>
    </row>
    <row r="5168" spans="7:7" hidden="1" x14ac:dyDescent="0.2">
      <c r="G5168" s="401"/>
    </row>
    <row r="5169" spans="7:7" hidden="1" x14ac:dyDescent="0.2">
      <c r="G5169" s="401"/>
    </row>
    <row r="5170" spans="7:7" hidden="1" x14ac:dyDescent="0.2">
      <c r="G5170" s="401"/>
    </row>
    <row r="5171" spans="7:7" hidden="1" x14ac:dyDescent="0.2">
      <c r="G5171" s="401"/>
    </row>
    <row r="5172" spans="7:7" hidden="1" x14ac:dyDescent="0.2">
      <c r="G5172" s="401"/>
    </row>
    <row r="5173" spans="7:7" hidden="1" x14ac:dyDescent="0.2">
      <c r="G5173" s="401"/>
    </row>
    <row r="5174" spans="7:7" hidden="1" x14ac:dyDescent="0.2">
      <c r="G5174" s="401"/>
    </row>
    <row r="5175" spans="7:7" hidden="1" x14ac:dyDescent="0.2">
      <c r="G5175" s="401"/>
    </row>
    <row r="5176" spans="7:7" hidden="1" x14ac:dyDescent="0.2">
      <c r="G5176" s="401"/>
    </row>
    <row r="5177" spans="7:7" hidden="1" x14ac:dyDescent="0.2">
      <c r="G5177" s="401"/>
    </row>
    <row r="5178" spans="7:7" hidden="1" x14ac:dyDescent="0.2">
      <c r="G5178" s="401"/>
    </row>
    <row r="5179" spans="7:7" hidden="1" x14ac:dyDescent="0.2">
      <c r="G5179" s="401"/>
    </row>
    <row r="5180" spans="7:7" hidden="1" x14ac:dyDescent="0.2">
      <c r="G5180" s="401"/>
    </row>
    <row r="5181" spans="7:7" hidden="1" x14ac:dyDescent="0.2">
      <c r="G5181" s="401"/>
    </row>
    <row r="5182" spans="7:7" hidden="1" x14ac:dyDescent="0.2">
      <c r="G5182" s="401"/>
    </row>
    <row r="5183" spans="7:7" hidden="1" x14ac:dyDescent="0.2">
      <c r="G5183" s="401"/>
    </row>
    <row r="5184" spans="7:7" hidden="1" x14ac:dyDescent="0.2">
      <c r="G5184" s="401"/>
    </row>
    <row r="5185" spans="7:7" hidden="1" x14ac:dyDescent="0.2">
      <c r="G5185" s="401"/>
    </row>
    <row r="5186" spans="7:7" hidden="1" x14ac:dyDescent="0.2">
      <c r="G5186" s="401"/>
    </row>
    <row r="5187" spans="7:7" hidden="1" x14ac:dyDescent="0.2">
      <c r="G5187" s="401"/>
    </row>
    <row r="5188" spans="7:7" hidden="1" x14ac:dyDescent="0.2">
      <c r="G5188" s="401"/>
    </row>
    <row r="5189" spans="7:7" hidden="1" x14ac:dyDescent="0.2">
      <c r="G5189" s="401"/>
    </row>
    <row r="5190" spans="7:7" hidden="1" x14ac:dyDescent="0.2">
      <c r="G5190" s="401"/>
    </row>
    <row r="5191" spans="7:7" hidden="1" x14ac:dyDescent="0.2">
      <c r="G5191" s="401"/>
    </row>
    <row r="5192" spans="7:7" hidden="1" x14ac:dyDescent="0.2">
      <c r="G5192" s="401"/>
    </row>
    <row r="5193" spans="7:7" hidden="1" x14ac:dyDescent="0.2">
      <c r="G5193" s="401"/>
    </row>
    <row r="5194" spans="7:7" hidden="1" x14ac:dyDescent="0.2">
      <c r="G5194" s="401"/>
    </row>
    <row r="5195" spans="7:7" hidden="1" x14ac:dyDescent="0.2">
      <c r="G5195" s="401"/>
    </row>
    <row r="5196" spans="7:7" hidden="1" x14ac:dyDescent="0.2">
      <c r="G5196" s="401"/>
    </row>
    <row r="5197" spans="7:7" hidden="1" x14ac:dyDescent="0.2">
      <c r="G5197" s="401"/>
    </row>
    <row r="5198" spans="7:7" hidden="1" x14ac:dyDescent="0.2">
      <c r="G5198" s="401"/>
    </row>
    <row r="5199" spans="7:7" hidden="1" x14ac:dyDescent="0.2">
      <c r="G5199" s="401"/>
    </row>
    <row r="5200" spans="7:7" hidden="1" x14ac:dyDescent="0.2">
      <c r="G5200" s="401"/>
    </row>
    <row r="5201" spans="7:7" hidden="1" x14ac:dyDescent="0.2">
      <c r="G5201" s="401"/>
    </row>
    <row r="5202" spans="7:7" hidden="1" x14ac:dyDescent="0.2">
      <c r="G5202" s="401"/>
    </row>
    <row r="5203" spans="7:7" hidden="1" x14ac:dyDescent="0.2">
      <c r="G5203" s="401"/>
    </row>
    <row r="5204" spans="7:7" hidden="1" x14ac:dyDescent="0.2">
      <c r="G5204" s="401"/>
    </row>
    <row r="5205" spans="7:7" hidden="1" x14ac:dyDescent="0.2">
      <c r="G5205" s="401"/>
    </row>
    <row r="5206" spans="7:7" hidden="1" x14ac:dyDescent="0.2">
      <c r="G5206" s="401"/>
    </row>
    <row r="5207" spans="7:7" hidden="1" x14ac:dyDescent="0.2">
      <c r="G5207" s="401"/>
    </row>
    <row r="5208" spans="7:7" hidden="1" x14ac:dyDescent="0.2">
      <c r="G5208" s="401"/>
    </row>
    <row r="5209" spans="7:7" hidden="1" x14ac:dyDescent="0.2">
      <c r="G5209" s="401"/>
    </row>
    <row r="5210" spans="7:7" hidden="1" x14ac:dyDescent="0.2">
      <c r="G5210" s="401"/>
    </row>
    <row r="5211" spans="7:7" hidden="1" x14ac:dyDescent="0.2">
      <c r="G5211" s="401"/>
    </row>
    <row r="5212" spans="7:7" hidden="1" x14ac:dyDescent="0.2">
      <c r="G5212" s="401"/>
    </row>
    <row r="5213" spans="7:7" hidden="1" x14ac:dyDescent="0.2">
      <c r="G5213" s="401"/>
    </row>
    <row r="5214" spans="7:7" hidden="1" x14ac:dyDescent="0.2">
      <c r="G5214" s="401"/>
    </row>
    <row r="5215" spans="7:7" hidden="1" x14ac:dyDescent="0.2">
      <c r="G5215" s="401"/>
    </row>
    <row r="5216" spans="7:7" hidden="1" x14ac:dyDescent="0.2">
      <c r="G5216" s="401"/>
    </row>
    <row r="5217" spans="7:7" hidden="1" x14ac:dyDescent="0.2">
      <c r="G5217" s="401"/>
    </row>
    <row r="5218" spans="7:7" hidden="1" x14ac:dyDescent="0.2">
      <c r="G5218" s="401"/>
    </row>
    <row r="5219" spans="7:7" hidden="1" x14ac:dyDescent="0.2">
      <c r="G5219" s="401"/>
    </row>
    <row r="5220" spans="7:7" hidden="1" x14ac:dyDescent="0.2">
      <c r="G5220" s="401"/>
    </row>
    <row r="5221" spans="7:7" hidden="1" x14ac:dyDescent="0.2">
      <c r="G5221" s="401"/>
    </row>
    <row r="5222" spans="7:7" hidden="1" x14ac:dyDescent="0.2">
      <c r="G5222" s="401"/>
    </row>
    <row r="5223" spans="7:7" hidden="1" x14ac:dyDescent="0.2">
      <c r="G5223" s="401"/>
    </row>
    <row r="5224" spans="7:7" hidden="1" x14ac:dyDescent="0.2">
      <c r="G5224" s="401"/>
    </row>
    <row r="5225" spans="7:7" hidden="1" x14ac:dyDescent="0.2">
      <c r="G5225" s="401"/>
    </row>
    <row r="5226" spans="7:7" hidden="1" x14ac:dyDescent="0.2">
      <c r="G5226" s="401"/>
    </row>
    <row r="5227" spans="7:7" hidden="1" x14ac:dyDescent="0.2">
      <c r="G5227" s="401"/>
    </row>
    <row r="5228" spans="7:7" hidden="1" x14ac:dyDescent="0.2">
      <c r="G5228" s="401"/>
    </row>
    <row r="5229" spans="7:7" hidden="1" x14ac:dyDescent="0.2">
      <c r="G5229" s="401"/>
    </row>
    <row r="5230" spans="7:7" hidden="1" x14ac:dyDescent="0.2">
      <c r="G5230" s="401"/>
    </row>
    <row r="5231" spans="7:7" hidden="1" x14ac:dyDescent="0.2">
      <c r="G5231" s="401"/>
    </row>
    <row r="5232" spans="7:7" hidden="1" x14ac:dyDescent="0.2">
      <c r="G5232" s="401"/>
    </row>
    <row r="5233" spans="7:7" hidden="1" x14ac:dyDescent="0.2">
      <c r="G5233" s="401"/>
    </row>
    <row r="5234" spans="7:7" hidden="1" x14ac:dyDescent="0.2">
      <c r="G5234" s="401"/>
    </row>
    <row r="5235" spans="7:7" hidden="1" x14ac:dyDescent="0.2">
      <c r="G5235" s="401"/>
    </row>
    <row r="5236" spans="7:7" hidden="1" x14ac:dyDescent="0.2">
      <c r="G5236" s="401"/>
    </row>
    <row r="5237" spans="7:7" hidden="1" x14ac:dyDescent="0.2">
      <c r="G5237" s="401"/>
    </row>
    <row r="5238" spans="7:7" hidden="1" x14ac:dyDescent="0.2">
      <c r="G5238" s="401"/>
    </row>
    <row r="5239" spans="7:7" hidden="1" x14ac:dyDescent="0.2">
      <c r="G5239" s="401"/>
    </row>
    <row r="5240" spans="7:7" hidden="1" x14ac:dyDescent="0.2">
      <c r="G5240" s="401"/>
    </row>
    <row r="5241" spans="7:7" hidden="1" x14ac:dyDescent="0.2">
      <c r="G5241" s="401"/>
    </row>
    <row r="5242" spans="7:7" hidden="1" x14ac:dyDescent="0.2">
      <c r="G5242" s="401"/>
    </row>
    <row r="5243" spans="7:7" hidden="1" x14ac:dyDescent="0.2">
      <c r="G5243" s="401"/>
    </row>
    <row r="5244" spans="7:7" hidden="1" x14ac:dyDescent="0.2">
      <c r="G5244" s="401"/>
    </row>
    <row r="5245" spans="7:7" hidden="1" x14ac:dyDescent="0.2">
      <c r="G5245" s="401"/>
    </row>
    <row r="5246" spans="7:7" hidden="1" x14ac:dyDescent="0.2">
      <c r="G5246" s="401"/>
    </row>
    <row r="5247" spans="7:7" hidden="1" x14ac:dyDescent="0.2">
      <c r="G5247" s="401"/>
    </row>
    <row r="5248" spans="7:7" hidden="1" x14ac:dyDescent="0.2">
      <c r="G5248" s="401"/>
    </row>
    <row r="5249" spans="7:7" hidden="1" x14ac:dyDescent="0.2">
      <c r="G5249" s="401"/>
    </row>
    <row r="5250" spans="7:7" hidden="1" x14ac:dyDescent="0.2">
      <c r="G5250" s="401"/>
    </row>
    <row r="5251" spans="7:7" hidden="1" x14ac:dyDescent="0.2">
      <c r="G5251" s="401"/>
    </row>
    <row r="5252" spans="7:7" hidden="1" x14ac:dyDescent="0.2">
      <c r="G5252" s="401"/>
    </row>
    <row r="5253" spans="7:7" hidden="1" x14ac:dyDescent="0.2">
      <c r="G5253" s="401"/>
    </row>
    <row r="5254" spans="7:7" hidden="1" x14ac:dyDescent="0.2">
      <c r="G5254" s="401"/>
    </row>
    <row r="5255" spans="7:7" hidden="1" x14ac:dyDescent="0.2">
      <c r="G5255" s="401"/>
    </row>
    <row r="5256" spans="7:7" hidden="1" x14ac:dyDescent="0.2">
      <c r="G5256" s="401"/>
    </row>
    <row r="5257" spans="7:7" hidden="1" x14ac:dyDescent="0.2">
      <c r="G5257" s="401"/>
    </row>
    <row r="5258" spans="7:7" hidden="1" x14ac:dyDescent="0.2">
      <c r="G5258" s="401"/>
    </row>
    <row r="5259" spans="7:7" hidden="1" x14ac:dyDescent="0.2">
      <c r="G5259" s="401"/>
    </row>
    <row r="5260" spans="7:7" hidden="1" x14ac:dyDescent="0.2">
      <c r="G5260" s="401"/>
    </row>
    <row r="5261" spans="7:7" hidden="1" x14ac:dyDescent="0.2">
      <c r="G5261" s="401"/>
    </row>
    <row r="5262" spans="7:7" hidden="1" x14ac:dyDescent="0.2">
      <c r="G5262" s="401"/>
    </row>
    <row r="5263" spans="7:7" hidden="1" x14ac:dyDescent="0.2">
      <c r="G5263" s="401"/>
    </row>
    <row r="5264" spans="7:7" hidden="1" x14ac:dyDescent="0.2">
      <c r="G5264" s="401"/>
    </row>
    <row r="5265" spans="7:7" hidden="1" x14ac:dyDescent="0.2">
      <c r="G5265" s="401"/>
    </row>
    <row r="5266" spans="7:7" hidden="1" x14ac:dyDescent="0.2">
      <c r="G5266" s="401"/>
    </row>
    <row r="5267" spans="7:7" hidden="1" x14ac:dyDescent="0.2">
      <c r="G5267" s="401"/>
    </row>
    <row r="5268" spans="7:7" hidden="1" x14ac:dyDescent="0.2">
      <c r="G5268" s="401"/>
    </row>
    <row r="5269" spans="7:7" hidden="1" x14ac:dyDescent="0.2">
      <c r="G5269" s="401"/>
    </row>
    <row r="5270" spans="7:7" hidden="1" x14ac:dyDescent="0.2">
      <c r="G5270" s="401"/>
    </row>
    <row r="5271" spans="7:7" hidden="1" x14ac:dyDescent="0.2">
      <c r="G5271" s="401"/>
    </row>
    <row r="5272" spans="7:7" hidden="1" x14ac:dyDescent="0.2">
      <c r="G5272" s="401"/>
    </row>
    <row r="5273" spans="7:7" hidden="1" x14ac:dyDescent="0.2">
      <c r="G5273" s="401"/>
    </row>
    <row r="5274" spans="7:7" hidden="1" x14ac:dyDescent="0.2">
      <c r="G5274" s="401"/>
    </row>
    <row r="5275" spans="7:7" hidden="1" x14ac:dyDescent="0.2">
      <c r="G5275" s="401"/>
    </row>
    <row r="5276" spans="7:7" hidden="1" x14ac:dyDescent="0.2">
      <c r="G5276" s="401"/>
    </row>
    <row r="5277" spans="7:7" hidden="1" x14ac:dyDescent="0.2">
      <c r="G5277" s="401"/>
    </row>
    <row r="5278" spans="7:7" hidden="1" x14ac:dyDescent="0.2">
      <c r="G5278" s="401"/>
    </row>
    <row r="5279" spans="7:7" hidden="1" x14ac:dyDescent="0.2">
      <c r="G5279" s="401"/>
    </row>
    <row r="5280" spans="7:7" hidden="1" x14ac:dyDescent="0.2">
      <c r="G5280" s="401"/>
    </row>
    <row r="5281" spans="7:7" hidden="1" x14ac:dyDescent="0.2">
      <c r="G5281" s="401"/>
    </row>
    <row r="5282" spans="7:7" hidden="1" x14ac:dyDescent="0.2">
      <c r="G5282" s="401"/>
    </row>
    <row r="5283" spans="7:7" hidden="1" x14ac:dyDescent="0.2">
      <c r="G5283" s="401"/>
    </row>
    <row r="5284" spans="7:7" hidden="1" x14ac:dyDescent="0.2">
      <c r="G5284" s="401"/>
    </row>
    <row r="5285" spans="7:7" hidden="1" x14ac:dyDescent="0.2">
      <c r="G5285" s="401"/>
    </row>
    <row r="5286" spans="7:7" hidden="1" x14ac:dyDescent="0.2">
      <c r="G5286" s="401"/>
    </row>
    <row r="5287" spans="7:7" hidden="1" x14ac:dyDescent="0.2">
      <c r="G5287" s="401"/>
    </row>
    <row r="5288" spans="7:7" hidden="1" x14ac:dyDescent="0.2">
      <c r="G5288" s="401"/>
    </row>
    <row r="5289" spans="7:7" hidden="1" x14ac:dyDescent="0.2">
      <c r="G5289" s="401"/>
    </row>
    <row r="5290" spans="7:7" hidden="1" x14ac:dyDescent="0.2">
      <c r="G5290" s="401"/>
    </row>
    <row r="5291" spans="7:7" hidden="1" x14ac:dyDescent="0.2">
      <c r="G5291" s="401"/>
    </row>
    <row r="5292" spans="7:7" hidden="1" x14ac:dyDescent="0.2">
      <c r="G5292" s="401"/>
    </row>
    <row r="5293" spans="7:7" hidden="1" x14ac:dyDescent="0.2">
      <c r="G5293" s="401"/>
    </row>
    <row r="5294" spans="7:7" hidden="1" x14ac:dyDescent="0.2">
      <c r="G5294" s="401"/>
    </row>
    <row r="5295" spans="7:7" hidden="1" x14ac:dyDescent="0.2">
      <c r="G5295" s="401"/>
    </row>
    <row r="5296" spans="7:7" hidden="1" x14ac:dyDescent="0.2">
      <c r="G5296" s="401"/>
    </row>
    <row r="5297" spans="7:7" hidden="1" x14ac:dyDescent="0.2">
      <c r="G5297" s="401"/>
    </row>
    <row r="5298" spans="7:7" hidden="1" x14ac:dyDescent="0.2">
      <c r="G5298" s="401"/>
    </row>
    <row r="5299" spans="7:7" hidden="1" x14ac:dyDescent="0.2">
      <c r="G5299" s="401"/>
    </row>
    <row r="5300" spans="7:7" hidden="1" x14ac:dyDescent="0.2">
      <c r="G5300" s="401"/>
    </row>
    <row r="5301" spans="7:7" hidden="1" x14ac:dyDescent="0.2">
      <c r="G5301" s="401"/>
    </row>
    <row r="5302" spans="7:7" hidden="1" x14ac:dyDescent="0.2">
      <c r="G5302" s="401"/>
    </row>
    <row r="5303" spans="7:7" hidden="1" x14ac:dyDescent="0.2">
      <c r="G5303" s="401"/>
    </row>
    <row r="5304" spans="7:7" hidden="1" x14ac:dyDescent="0.2">
      <c r="G5304" s="401"/>
    </row>
    <row r="5305" spans="7:7" hidden="1" x14ac:dyDescent="0.2">
      <c r="G5305" s="401"/>
    </row>
    <row r="5306" spans="7:7" hidden="1" x14ac:dyDescent="0.2">
      <c r="G5306" s="401"/>
    </row>
    <row r="5307" spans="7:7" hidden="1" x14ac:dyDescent="0.2">
      <c r="G5307" s="401"/>
    </row>
    <row r="5308" spans="7:7" hidden="1" x14ac:dyDescent="0.2">
      <c r="G5308" s="401"/>
    </row>
    <row r="5309" spans="7:7" hidden="1" x14ac:dyDescent="0.2">
      <c r="G5309" s="401"/>
    </row>
    <row r="5310" spans="7:7" hidden="1" x14ac:dyDescent="0.2">
      <c r="G5310" s="401"/>
    </row>
    <row r="5311" spans="7:7" hidden="1" x14ac:dyDescent="0.2">
      <c r="G5311" s="401"/>
    </row>
    <row r="5312" spans="7:7" hidden="1" x14ac:dyDescent="0.2">
      <c r="G5312" s="401"/>
    </row>
    <row r="5313" spans="7:7" hidden="1" x14ac:dyDescent="0.2">
      <c r="G5313" s="401"/>
    </row>
    <row r="5314" spans="7:7" hidden="1" x14ac:dyDescent="0.2">
      <c r="G5314" s="401"/>
    </row>
    <row r="5315" spans="7:7" hidden="1" x14ac:dyDescent="0.2">
      <c r="G5315" s="401"/>
    </row>
    <row r="5316" spans="7:7" hidden="1" x14ac:dyDescent="0.2">
      <c r="G5316" s="401"/>
    </row>
    <row r="5317" spans="7:7" hidden="1" x14ac:dyDescent="0.2">
      <c r="G5317" s="401"/>
    </row>
    <row r="5318" spans="7:7" hidden="1" x14ac:dyDescent="0.2">
      <c r="G5318" s="401"/>
    </row>
    <row r="5319" spans="7:7" hidden="1" x14ac:dyDescent="0.2">
      <c r="G5319" s="401"/>
    </row>
    <row r="5320" spans="7:7" hidden="1" x14ac:dyDescent="0.2">
      <c r="G5320" s="401"/>
    </row>
    <row r="5321" spans="7:7" hidden="1" x14ac:dyDescent="0.2">
      <c r="G5321" s="401"/>
    </row>
    <row r="5322" spans="7:7" hidden="1" x14ac:dyDescent="0.2">
      <c r="G5322" s="401"/>
    </row>
    <row r="5323" spans="7:7" hidden="1" x14ac:dyDescent="0.2">
      <c r="G5323" s="401"/>
    </row>
    <row r="5324" spans="7:7" hidden="1" x14ac:dyDescent="0.2">
      <c r="G5324" s="401"/>
    </row>
    <row r="5325" spans="7:7" hidden="1" x14ac:dyDescent="0.2">
      <c r="G5325" s="401"/>
    </row>
    <row r="5326" spans="7:7" hidden="1" x14ac:dyDescent="0.2">
      <c r="G5326" s="401"/>
    </row>
    <row r="5327" spans="7:7" hidden="1" x14ac:dyDescent="0.2">
      <c r="G5327" s="401"/>
    </row>
    <row r="5328" spans="7:7" hidden="1" x14ac:dyDescent="0.2">
      <c r="G5328" s="401"/>
    </row>
    <row r="5329" spans="7:7" hidden="1" x14ac:dyDescent="0.2">
      <c r="G5329" s="401"/>
    </row>
    <row r="5330" spans="7:7" hidden="1" x14ac:dyDescent="0.2">
      <c r="G5330" s="401"/>
    </row>
    <row r="5331" spans="7:7" hidden="1" x14ac:dyDescent="0.2">
      <c r="G5331" s="401"/>
    </row>
    <row r="5332" spans="7:7" hidden="1" x14ac:dyDescent="0.2">
      <c r="G5332" s="401"/>
    </row>
    <row r="5333" spans="7:7" hidden="1" x14ac:dyDescent="0.2">
      <c r="G5333" s="401"/>
    </row>
    <row r="5334" spans="7:7" hidden="1" x14ac:dyDescent="0.2">
      <c r="G5334" s="401"/>
    </row>
    <row r="5335" spans="7:7" hidden="1" x14ac:dyDescent="0.2">
      <c r="G5335" s="401"/>
    </row>
    <row r="5336" spans="7:7" hidden="1" x14ac:dyDescent="0.2">
      <c r="G5336" s="401"/>
    </row>
    <row r="5337" spans="7:7" hidden="1" x14ac:dyDescent="0.2">
      <c r="G5337" s="401"/>
    </row>
    <row r="5338" spans="7:7" hidden="1" x14ac:dyDescent="0.2">
      <c r="G5338" s="401"/>
    </row>
    <row r="5339" spans="7:7" hidden="1" x14ac:dyDescent="0.2">
      <c r="G5339" s="401"/>
    </row>
    <row r="5340" spans="7:7" hidden="1" x14ac:dyDescent="0.2">
      <c r="G5340" s="401"/>
    </row>
    <row r="5341" spans="7:7" hidden="1" x14ac:dyDescent="0.2">
      <c r="G5341" s="401"/>
    </row>
    <row r="5342" spans="7:7" hidden="1" x14ac:dyDescent="0.2">
      <c r="G5342" s="401"/>
    </row>
    <row r="5343" spans="7:7" hidden="1" x14ac:dyDescent="0.2">
      <c r="G5343" s="401"/>
    </row>
    <row r="5344" spans="7:7" hidden="1" x14ac:dyDescent="0.2">
      <c r="G5344" s="401"/>
    </row>
    <row r="5345" spans="7:7" hidden="1" x14ac:dyDescent="0.2">
      <c r="G5345" s="401"/>
    </row>
    <row r="5346" spans="7:7" hidden="1" x14ac:dyDescent="0.2">
      <c r="G5346" s="401"/>
    </row>
    <row r="5347" spans="7:7" hidden="1" x14ac:dyDescent="0.2">
      <c r="G5347" s="401"/>
    </row>
    <row r="5348" spans="7:7" hidden="1" x14ac:dyDescent="0.2">
      <c r="G5348" s="401"/>
    </row>
    <row r="5349" spans="7:7" hidden="1" x14ac:dyDescent="0.2">
      <c r="G5349" s="401"/>
    </row>
    <row r="5350" spans="7:7" hidden="1" x14ac:dyDescent="0.2">
      <c r="G5350" s="401"/>
    </row>
    <row r="5351" spans="7:7" hidden="1" x14ac:dyDescent="0.2">
      <c r="G5351" s="401"/>
    </row>
    <row r="5352" spans="7:7" hidden="1" x14ac:dyDescent="0.2">
      <c r="G5352" s="401"/>
    </row>
    <row r="5353" spans="7:7" hidden="1" x14ac:dyDescent="0.2">
      <c r="G5353" s="401"/>
    </row>
    <row r="5354" spans="7:7" hidden="1" x14ac:dyDescent="0.2">
      <c r="G5354" s="401"/>
    </row>
    <row r="5355" spans="7:7" hidden="1" x14ac:dyDescent="0.2">
      <c r="G5355" s="401"/>
    </row>
    <row r="5356" spans="7:7" hidden="1" x14ac:dyDescent="0.2">
      <c r="G5356" s="401"/>
    </row>
    <row r="5357" spans="7:7" hidden="1" x14ac:dyDescent="0.2">
      <c r="G5357" s="401"/>
    </row>
    <row r="5358" spans="7:7" hidden="1" x14ac:dyDescent="0.2">
      <c r="G5358" s="401"/>
    </row>
    <row r="5359" spans="7:7" hidden="1" x14ac:dyDescent="0.2">
      <c r="G5359" s="401"/>
    </row>
    <row r="5360" spans="7:7" hidden="1" x14ac:dyDescent="0.2">
      <c r="G5360" s="401"/>
    </row>
    <row r="5361" spans="7:7" hidden="1" x14ac:dyDescent="0.2">
      <c r="G5361" s="401"/>
    </row>
    <row r="5362" spans="7:7" hidden="1" x14ac:dyDescent="0.2">
      <c r="G5362" s="401"/>
    </row>
    <row r="5363" spans="7:7" hidden="1" x14ac:dyDescent="0.2">
      <c r="G5363" s="401"/>
    </row>
    <row r="5364" spans="7:7" hidden="1" x14ac:dyDescent="0.2">
      <c r="G5364" s="401"/>
    </row>
    <row r="5365" spans="7:7" hidden="1" x14ac:dyDescent="0.2">
      <c r="G5365" s="401"/>
    </row>
    <row r="5366" spans="7:7" hidden="1" x14ac:dyDescent="0.2">
      <c r="G5366" s="401"/>
    </row>
    <row r="5367" spans="7:7" hidden="1" x14ac:dyDescent="0.2">
      <c r="G5367" s="401"/>
    </row>
    <row r="5368" spans="7:7" hidden="1" x14ac:dyDescent="0.2">
      <c r="G5368" s="401"/>
    </row>
    <row r="5369" spans="7:7" hidden="1" x14ac:dyDescent="0.2">
      <c r="G5369" s="401"/>
    </row>
    <row r="5370" spans="7:7" hidden="1" x14ac:dyDescent="0.2">
      <c r="G5370" s="401"/>
    </row>
    <row r="5371" spans="7:7" hidden="1" x14ac:dyDescent="0.2">
      <c r="G5371" s="401"/>
    </row>
    <row r="5372" spans="7:7" hidden="1" x14ac:dyDescent="0.2">
      <c r="G5372" s="401"/>
    </row>
    <row r="5373" spans="7:7" hidden="1" x14ac:dyDescent="0.2">
      <c r="G5373" s="401"/>
    </row>
    <row r="5374" spans="7:7" hidden="1" x14ac:dyDescent="0.2">
      <c r="G5374" s="401"/>
    </row>
    <row r="5375" spans="7:7" hidden="1" x14ac:dyDescent="0.2">
      <c r="G5375" s="401"/>
    </row>
    <row r="5376" spans="7:7" hidden="1" x14ac:dyDescent="0.2">
      <c r="G5376" s="401"/>
    </row>
    <row r="5377" spans="7:7" hidden="1" x14ac:dyDescent="0.2">
      <c r="G5377" s="401"/>
    </row>
    <row r="5378" spans="7:7" hidden="1" x14ac:dyDescent="0.2">
      <c r="G5378" s="401"/>
    </row>
    <row r="5379" spans="7:7" hidden="1" x14ac:dyDescent="0.2">
      <c r="G5379" s="401"/>
    </row>
    <row r="5380" spans="7:7" hidden="1" x14ac:dyDescent="0.2">
      <c r="G5380" s="401"/>
    </row>
    <row r="5381" spans="7:7" hidden="1" x14ac:dyDescent="0.2">
      <c r="G5381" s="401"/>
    </row>
    <row r="5382" spans="7:7" hidden="1" x14ac:dyDescent="0.2">
      <c r="G5382" s="401"/>
    </row>
    <row r="5383" spans="7:7" hidden="1" x14ac:dyDescent="0.2">
      <c r="G5383" s="401"/>
    </row>
    <row r="5384" spans="7:7" hidden="1" x14ac:dyDescent="0.2">
      <c r="G5384" s="401"/>
    </row>
    <row r="5385" spans="7:7" hidden="1" x14ac:dyDescent="0.2">
      <c r="G5385" s="401"/>
    </row>
    <row r="5386" spans="7:7" hidden="1" x14ac:dyDescent="0.2">
      <c r="G5386" s="401"/>
    </row>
    <row r="5387" spans="7:7" hidden="1" x14ac:dyDescent="0.2">
      <c r="G5387" s="401"/>
    </row>
    <row r="5388" spans="7:7" hidden="1" x14ac:dyDescent="0.2">
      <c r="G5388" s="401"/>
    </row>
    <row r="5389" spans="7:7" hidden="1" x14ac:dyDescent="0.2">
      <c r="G5389" s="401"/>
    </row>
    <row r="5390" spans="7:7" hidden="1" x14ac:dyDescent="0.2">
      <c r="G5390" s="401"/>
    </row>
    <row r="5391" spans="7:7" hidden="1" x14ac:dyDescent="0.2">
      <c r="G5391" s="401"/>
    </row>
    <row r="5392" spans="7:7" hidden="1" x14ac:dyDescent="0.2">
      <c r="G5392" s="401"/>
    </row>
    <row r="5393" spans="7:7" hidden="1" x14ac:dyDescent="0.2">
      <c r="G5393" s="401"/>
    </row>
    <row r="5394" spans="7:7" hidden="1" x14ac:dyDescent="0.2">
      <c r="G5394" s="401"/>
    </row>
    <row r="5395" spans="7:7" hidden="1" x14ac:dyDescent="0.2">
      <c r="G5395" s="401"/>
    </row>
    <row r="5396" spans="7:7" hidden="1" x14ac:dyDescent="0.2">
      <c r="G5396" s="401"/>
    </row>
    <row r="5397" spans="7:7" hidden="1" x14ac:dyDescent="0.2">
      <c r="G5397" s="401"/>
    </row>
    <row r="5398" spans="7:7" hidden="1" x14ac:dyDescent="0.2">
      <c r="G5398" s="401"/>
    </row>
    <row r="5399" spans="7:7" hidden="1" x14ac:dyDescent="0.2">
      <c r="G5399" s="401"/>
    </row>
    <row r="5400" spans="7:7" hidden="1" x14ac:dyDescent="0.2">
      <c r="G5400" s="401"/>
    </row>
    <row r="5401" spans="7:7" hidden="1" x14ac:dyDescent="0.2">
      <c r="G5401" s="401"/>
    </row>
    <row r="5402" spans="7:7" hidden="1" x14ac:dyDescent="0.2">
      <c r="G5402" s="401"/>
    </row>
    <row r="5403" spans="7:7" hidden="1" x14ac:dyDescent="0.2">
      <c r="G5403" s="401"/>
    </row>
    <row r="5404" spans="7:7" hidden="1" x14ac:dyDescent="0.2">
      <c r="G5404" s="401"/>
    </row>
    <row r="5405" spans="7:7" hidden="1" x14ac:dyDescent="0.2">
      <c r="G5405" s="401"/>
    </row>
    <row r="5406" spans="7:7" hidden="1" x14ac:dyDescent="0.2">
      <c r="G5406" s="401"/>
    </row>
    <row r="5407" spans="7:7" hidden="1" x14ac:dyDescent="0.2">
      <c r="G5407" s="401"/>
    </row>
    <row r="5408" spans="7:7" hidden="1" x14ac:dyDescent="0.2">
      <c r="G5408" s="401"/>
    </row>
    <row r="5409" spans="7:7" hidden="1" x14ac:dyDescent="0.2">
      <c r="G5409" s="401"/>
    </row>
    <row r="5410" spans="7:7" hidden="1" x14ac:dyDescent="0.2">
      <c r="G5410" s="401"/>
    </row>
    <row r="5411" spans="7:7" hidden="1" x14ac:dyDescent="0.2">
      <c r="G5411" s="401"/>
    </row>
    <row r="5412" spans="7:7" hidden="1" x14ac:dyDescent="0.2">
      <c r="G5412" s="401"/>
    </row>
    <row r="5413" spans="7:7" hidden="1" x14ac:dyDescent="0.2">
      <c r="G5413" s="401"/>
    </row>
    <row r="5414" spans="7:7" hidden="1" x14ac:dyDescent="0.2">
      <c r="G5414" s="401"/>
    </row>
    <row r="5415" spans="7:7" hidden="1" x14ac:dyDescent="0.2">
      <c r="G5415" s="401"/>
    </row>
    <row r="5416" spans="7:7" hidden="1" x14ac:dyDescent="0.2">
      <c r="G5416" s="401"/>
    </row>
    <row r="5417" spans="7:7" hidden="1" x14ac:dyDescent="0.2">
      <c r="G5417" s="401"/>
    </row>
    <row r="5418" spans="7:7" hidden="1" x14ac:dyDescent="0.2">
      <c r="G5418" s="401"/>
    </row>
    <row r="5419" spans="7:7" hidden="1" x14ac:dyDescent="0.2">
      <c r="G5419" s="401"/>
    </row>
    <row r="5420" spans="7:7" hidden="1" x14ac:dyDescent="0.2">
      <c r="G5420" s="401"/>
    </row>
    <row r="5421" spans="7:7" hidden="1" x14ac:dyDescent="0.2">
      <c r="G5421" s="401"/>
    </row>
    <row r="5422" spans="7:7" hidden="1" x14ac:dyDescent="0.2">
      <c r="G5422" s="401"/>
    </row>
    <row r="5423" spans="7:7" hidden="1" x14ac:dyDescent="0.2">
      <c r="G5423" s="401"/>
    </row>
    <row r="5424" spans="7:7" hidden="1" x14ac:dyDescent="0.2">
      <c r="G5424" s="401"/>
    </row>
    <row r="5425" spans="7:7" hidden="1" x14ac:dyDescent="0.2">
      <c r="G5425" s="401"/>
    </row>
    <row r="5426" spans="7:7" hidden="1" x14ac:dyDescent="0.2">
      <c r="G5426" s="401"/>
    </row>
    <row r="5427" spans="7:7" hidden="1" x14ac:dyDescent="0.2">
      <c r="G5427" s="401"/>
    </row>
    <row r="5428" spans="7:7" hidden="1" x14ac:dyDescent="0.2">
      <c r="G5428" s="401"/>
    </row>
    <row r="5429" spans="7:7" hidden="1" x14ac:dyDescent="0.2">
      <c r="G5429" s="401"/>
    </row>
    <row r="5430" spans="7:7" hidden="1" x14ac:dyDescent="0.2">
      <c r="G5430" s="401"/>
    </row>
    <row r="5431" spans="7:7" hidden="1" x14ac:dyDescent="0.2">
      <c r="G5431" s="401"/>
    </row>
    <row r="5432" spans="7:7" hidden="1" x14ac:dyDescent="0.2">
      <c r="G5432" s="401"/>
    </row>
    <row r="5433" spans="7:7" hidden="1" x14ac:dyDescent="0.2">
      <c r="G5433" s="401"/>
    </row>
    <row r="5434" spans="7:7" hidden="1" x14ac:dyDescent="0.2">
      <c r="G5434" s="401"/>
    </row>
    <row r="5435" spans="7:7" hidden="1" x14ac:dyDescent="0.2">
      <c r="G5435" s="401"/>
    </row>
    <row r="5436" spans="7:7" hidden="1" x14ac:dyDescent="0.2">
      <c r="G5436" s="401"/>
    </row>
    <row r="5437" spans="7:7" hidden="1" x14ac:dyDescent="0.2">
      <c r="G5437" s="401"/>
    </row>
    <row r="5438" spans="7:7" hidden="1" x14ac:dyDescent="0.2">
      <c r="G5438" s="401"/>
    </row>
    <row r="5439" spans="7:7" hidden="1" x14ac:dyDescent="0.2">
      <c r="G5439" s="401"/>
    </row>
    <row r="5440" spans="7:7" hidden="1" x14ac:dyDescent="0.2">
      <c r="G5440" s="401"/>
    </row>
    <row r="5441" spans="7:7" hidden="1" x14ac:dyDescent="0.2">
      <c r="G5441" s="401"/>
    </row>
    <row r="5442" spans="7:7" hidden="1" x14ac:dyDescent="0.2">
      <c r="G5442" s="401"/>
    </row>
    <row r="5443" spans="7:7" hidden="1" x14ac:dyDescent="0.2">
      <c r="G5443" s="401"/>
    </row>
    <row r="5444" spans="7:7" hidden="1" x14ac:dyDescent="0.2">
      <c r="G5444" s="401"/>
    </row>
    <row r="5445" spans="7:7" hidden="1" x14ac:dyDescent="0.2">
      <c r="G5445" s="401"/>
    </row>
    <row r="5446" spans="7:7" hidden="1" x14ac:dyDescent="0.2">
      <c r="G5446" s="401"/>
    </row>
    <row r="5447" spans="7:7" hidden="1" x14ac:dyDescent="0.2">
      <c r="G5447" s="401"/>
    </row>
    <row r="5448" spans="7:7" hidden="1" x14ac:dyDescent="0.2">
      <c r="G5448" s="401"/>
    </row>
    <row r="5449" spans="7:7" hidden="1" x14ac:dyDescent="0.2">
      <c r="G5449" s="401"/>
    </row>
    <row r="5450" spans="7:7" hidden="1" x14ac:dyDescent="0.2">
      <c r="G5450" s="401"/>
    </row>
    <row r="5451" spans="7:7" hidden="1" x14ac:dyDescent="0.2">
      <c r="G5451" s="401"/>
    </row>
    <row r="5452" spans="7:7" hidden="1" x14ac:dyDescent="0.2">
      <c r="G5452" s="401"/>
    </row>
    <row r="5453" spans="7:7" hidden="1" x14ac:dyDescent="0.2">
      <c r="G5453" s="401"/>
    </row>
    <row r="5454" spans="7:7" hidden="1" x14ac:dyDescent="0.2">
      <c r="G5454" s="401"/>
    </row>
    <row r="5455" spans="7:7" hidden="1" x14ac:dyDescent="0.2">
      <c r="G5455" s="401"/>
    </row>
    <row r="5456" spans="7:7" hidden="1" x14ac:dyDescent="0.2">
      <c r="G5456" s="401"/>
    </row>
    <row r="5457" spans="7:7" hidden="1" x14ac:dyDescent="0.2">
      <c r="G5457" s="401"/>
    </row>
    <row r="5458" spans="7:7" hidden="1" x14ac:dyDescent="0.2">
      <c r="G5458" s="401"/>
    </row>
    <row r="5459" spans="7:7" hidden="1" x14ac:dyDescent="0.2">
      <c r="G5459" s="401"/>
    </row>
    <row r="5460" spans="7:7" hidden="1" x14ac:dyDescent="0.2">
      <c r="G5460" s="401"/>
    </row>
    <row r="5461" spans="7:7" hidden="1" x14ac:dyDescent="0.2">
      <c r="G5461" s="401"/>
    </row>
    <row r="5462" spans="7:7" hidden="1" x14ac:dyDescent="0.2">
      <c r="G5462" s="401"/>
    </row>
    <row r="5463" spans="7:7" hidden="1" x14ac:dyDescent="0.2">
      <c r="G5463" s="401"/>
    </row>
    <row r="5464" spans="7:7" hidden="1" x14ac:dyDescent="0.2">
      <c r="G5464" s="401"/>
    </row>
    <row r="5465" spans="7:7" hidden="1" x14ac:dyDescent="0.2">
      <c r="G5465" s="401"/>
    </row>
    <row r="5466" spans="7:7" hidden="1" x14ac:dyDescent="0.2">
      <c r="G5466" s="401"/>
    </row>
    <row r="5467" spans="7:7" hidden="1" x14ac:dyDescent="0.2">
      <c r="G5467" s="401"/>
    </row>
    <row r="5468" spans="7:7" hidden="1" x14ac:dyDescent="0.2">
      <c r="G5468" s="401"/>
    </row>
    <row r="5469" spans="7:7" hidden="1" x14ac:dyDescent="0.2">
      <c r="G5469" s="401"/>
    </row>
    <row r="5470" spans="7:7" hidden="1" x14ac:dyDescent="0.2">
      <c r="G5470" s="401"/>
    </row>
    <row r="5471" spans="7:7" hidden="1" x14ac:dyDescent="0.2">
      <c r="G5471" s="401"/>
    </row>
    <row r="5472" spans="7:7" hidden="1" x14ac:dyDescent="0.2">
      <c r="G5472" s="401"/>
    </row>
    <row r="5473" spans="7:7" hidden="1" x14ac:dyDescent="0.2">
      <c r="G5473" s="401"/>
    </row>
    <row r="5474" spans="7:7" hidden="1" x14ac:dyDescent="0.2">
      <c r="G5474" s="401"/>
    </row>
    <row r="5475" spans="7:7" hidden="1" x14ac:dyDescent="0.2">
      <c r="G5475" s="401"/>
    </row>
    <row r="5476" spans="7:7" hidden="1" x14ac:dyDescent="0.2">
      <c r="G5476" s="401"/>
    </row>
    <row r="5477" spans="7:7" hidden="1" x14ac:dyDescent="0.2">
      <c r="G5477" s="401"/>
    </row>
    <row r="5478" spans="7:7" hidden="1" x14ac:dyDescent="0.2">
      <c r="G5478" s="401"/>
    </row>
    <row r="5479" spans="7:7" hidden="1" x14ac:dyDescent="0.2">
      <c r="G5479" s="401"/>
    </row>
    <row r="5480" spans="7:7" hidden="1" x14ac:dyDescent="0.2">
      <c r="G5480" s="401"/>
    </row>
    <row r="5481" spans="7:7" hidden="1" x14ac:dyDescent="0.2">
      <c r="G5481" s="401"/>
    </row>
    <row r="5482" spans="7:7" hidden="1" x14ac:dyDescent="0.2">
      <c r="G5482" s="401"/>
    </row>
    <row r="5483" spans="7:7" hidden="1" x14ac:dyDescent="0.2">
      <c r="G5483" s="401"/>
    </row>
    <row r="5484" spans="7:7" hidden="1" x14ac:dyDescent="0.2">
      <c r="G5484" s="401"/>
    </row>
    <row r="5485" spans="7:7" hidden="1" x14ac:dyDescent="0.2">
      <c r="G5485" s="401"/>
    </row>
    <row r="5486" spans="7:7" hidden="1" x14ac:dyDescent="0.2">
      <c r="G5486" s="401"/>
    </row>
    <row r="5487" spans="7:7" hidden="1" x14ac:dyDescent="0.2">
      <c r="G5487" s="401"/>
    </row>
    <row r="5488" spans="7:7" hidden="1" x14ac:dyDescent="0.2">
      <c r="G5488" s="401"/>
    </row>
    <row r="5489" spans="7:7" hidden="1" x14ac:dyDescent="0.2">
      <c r="G5489" s="401"/>
    </row>
    <row r="5490" spans="7:7" hidden="1" x14ac:dyDescent="0.2">
      <c r="G5490" s="401"/>
    </row>
    <row r="5491" spans="7:7" hidden="1" x14ac:dyDescent="0.2">
      <c r="G5491" s="401"/>
    </row>
    <row r="5492" spans="7:7" hidden="1" x14ac:dyDescent="0.2">
      <c r="G5492" s="401"/>
    </row>
    <row r="5493" spans="7:7" hidden="1" x14ac:dyDescent="0.2">
      <c r="G5493" s="401"/>
    </row>
    <row r="5494" spans="7:7" hidden="1" x14ac:dyDescent="0.2">
      <c r="G5494" s="401"/>
    </row>
    <row r="5495" spans="7:7" hidden="1" x14ac:dyDescent="0.2">
      <c r="G5495" s="401"/>
    </row>
    <row r="5496" spans="7:7" hidden="1" x14ac:dyDescent="0.2">
      <c r="G5496" s="401"/>
    </row>
    <row r="5497" spans="7:7" hidden="1" x14ac:dyDescent="0.2">
      <c r="G5497" s="401"/>
    </row>
    <row r="5498" spans="7:7" hidden="1" x14ac:dyDescent="0.2">
      <c r="G5498" s="401"/>
    </row>
    <row r="5499" spans="7:7" hidden="1" x14ac:dyDescent="0.2">
      <c r="G5499" s="401"/>
    </row>
    <row r="5500" spans="7:7" hidden="1" x14ac:dyDescent="0.2">
      <c r="G5500" s="401"/>
    </row>
    <row r="5501" spans="7:7" hidden="1" x14ac:dyDescent="0.2">
      <c r="G5501" s="401"/>
    </row>
    <row r="5502" spans="7:7" hidden="1" x14ac:dyDescent="0.2">
      <c r="G5502" s="401"/>
    </row>
    <row r="5503" spans="7:7" hidden="1" x14ac:dyDescent="0.2">
      <c r="G5503" s="401"/>
    </row>
    <row r="5504" spans="7:7" hidden="1" x14ac:dyDescent="0.2">
      <c r="G5504" s="401"/>
    </row>
    <row r="5505" spans="7:7" hidden="1" x14ac:dyDescent="0.2">
      <c r="G5505" s="401"/>
    </row>
    <row r="5506" spans="7:7" hidden="1" x14ac:dyDescent="0.2">
      <c r="G5506" s="401"/>
    </row>
    <row r="5507" spans="7:7" hidden="1" x14ac:dyDescent="0.2">
      <c r="G5507" s="401"/>
    </row>
    <row r="5508" spans="7:7" hidden="1" x14ac:dyDescent="0.2">
      <c r="G5508" s="401"/>
    </row>
    <row r="5509" spans="7:7" hidden="1" x14ac:dyDescent="0.2">
      <c r="G5509" s="401"/>
    </row>
    <row r="5510" spans="7:7" hidden="1" x14ac:dyDescent="0.2">
      <c r="G5510" s="401"/>
    </row>
    <row r="5511" spans="7:7" hidden="1" x14ac:dyDescent="0.2">
      <c r="G5511" s="401"/>
    </row>
    <row r="5512" spans="7:7" hidden="1" x14ac:dyDescent="0.2">
      <c r="G5512" s="401"/>
    </row>
    <row r="5513" spans="7:7" hidden="1" x14ac:dyDescent="0.2">
      <c r="G5513" s="401"/>
    </row>
    <row r="5514" spans="7:7" hidden="1" x14ac:dyDescent="0.2">
      <c r="G5514" s="401"/>
    </row>
    <row r="5515" spans="7:7" hidden="1" x14ac:dyDescent="0.2">
      <c r="G5515" s="401"/>
    </row>
    <row r="5516" spans="7:7" hidden="1" x14ac:dyDescent="0.2">
      <c r="G5516" s="401"/>
    </row>
    <row r="5517" spans="7:7" hidden="1" x14ac:dyDescent="0.2">
      <c r="G5517" s="401"/>
    </row>
    <row r="5518" spans="7:7" hidden="1" x14ac:dyDescent="0.2">
      <c r="G5518" s="401"/>
    </row>
    <row r="5519" spans="7:7" hidden="1" x14ac:dyDescent="0.2">
      <c r="G5519" s="401"/>
    </row>
    <row r="5520" spans="7:7" hidden="1" x14ac:dyDescent="0.2">
      <c r="G5520" s="401"/>
    </row>
    <row r="5521" spans="7:7" hidden="1" x14ac:dyDescent="0.2">
      <c r="G5521" s="401"/>
    </row>
    <row r="5522" spans="7:7" hidden="1" x14ac:dyDescent="0.2">
      <c r="G5522" s="401"/>
    </row>
    <row r="5523" spans="7:7" hidden="1" x14ac:dyDescent="0.2">
      <c r="G5523" s="401"/>
    </row>
    <row r="5524" spans="7:7" hidden="1" x14ac:dyDescent="0.2">
      <c r="G5524" s="401"/>
    </row>
    <row r="5525" spans="7:7" hidden="1" x14ac:dyDescent="0.2">
      <c r="G5525" s="401"/>
    </row>
    <row r="5526" spans="7:7" hidden="1" x14ac:dyDescent="0.2">
      <c r="G5526" s="401"/>
    </row>
    <row r="5527" spans="7:7" hidden="1" x14ac:dyDescent="0.2">
      <c r="G5527" s="401"/>
    </row>
    <row r="5528" spans="7:7" hidden="1" x14ac:dyDescent="0.2">
      <c r="G5528" s="401"/>
    </row>
    <row r="5529" spans="7:7" hidden="1" x14ac:dyDescent="0.2">
      <c r="G5529" s="401"/>
    </row>
    <row r="5530" spans="7:7" hidden="1" x14ac:dyDescent="0.2">
      <c r="G5530" s="401"/>
    </row>
    <row r="5531" spans="7:7" hidden="1" x14ac:dyDescent="0.2">
      <c r="G5531" s="401"/>
    </row>
    <row r="5532" spans="7:7" hidden="1" x14ac:dyDescent="0.2">
      <c r="G5532" s="401"/>
    </row>
    <row r="5533" spans="7:7" hidden="1" x14ac:dyDescent="0.2">
      <c r="G5533" s="401"/>
    </row>
    <row r="5534" spans="7:7" hidden="1" x14ac:dyDescent="0.2">
      <c r="G5534" s="401"/>
    </row>
    <row r="5535" spans="7:7" hidden="1" x14ac:dyDescent="0.2">
      <c r="G5535" s="401"/>
    </row>
    <row r="5536" spans="7:7" hidden="1" x14ac:dyDescent="0.2">
      <c r="G5536" s="401"/>
    </row>
    <row r="5537" spans="7:7" hidden="1" x14ac:dyDescent="0.2">
      <c r="G5537" s="401"/>
    </row>
    <row r="5538" spans="7:7" hidden="1" x14ac:dyDescent="0.2">
      <c r="G5538" s="401"/>
    </row>
    <row r="5539" spans="7:7" hidden="1" x14ac:dyDescent="0.2">
      <c r="G5539" s="401"/>
    </row>
    <row r="5540" spans="7:7" hidden="1" x14ac:dyDescent="0.2">
      <c r="G5540" s="401"/>
    </row>
    <row r="5541" spans="7:7" hidden="1" x14ac:dyDescent="0.2">
      <c r="G5541" s="401"/>
    </row>
    <row r="5542" spans="7:7" hidden="1" x14ac:dyDescent="0.2">
      <c r="G5542" s="401"/>
    </row>
    <row r="5543" spans="7:7" hidden="1" x14ac:dyDescent="0.2">
      <c r="G5543" s="401"/>
    </row>
    <row r="5544" spans="7:7" hidden="1" x14ac:dyDescent="0.2">
      <c r="G5544" s="401"/>
    </row>
    <row r="5545" spans="7:7" hidden="1" x14ac:dyDescent="0.2">
      <c r="G5545" s="401"/>
    </row>
    <row r="5546" spans="7:7" hidden="1" x14ac:dyDescent="0.2">
      <c r="G5546" s="401"/>
    </row>
    <row r="5547" spans="7:7" hidden="1" x14ac:dyDescent="0.2">
      <c r="G5547" s="401"/>
    </row>
    <row r="5548" spans="7:7" hidden="1" x14ac:dyDescent="0.2">
      <c r="G5548" s="401"/>
    </row>
    <row r="5549" spans="7:7" hidden="1" x14ac:dyDescent="0.2">
      <c r="G5549" s="401"/>
    </row>
    <row r="5550" spans="7:7" hidden="1" x14ac:dyDescent="0.2">
      <c r="G5550" s="401"/>
    </row>
    <row r="5551" spans="7:7" hidden="1" x14ac:dyDescent="0.2">
      <c r="G5551" s="401"/>
    </row>
    <row r="5552" spans="7:7" hidden="1" x14ac:dyDescent="0.2">
      <c r="G5552" s="401"/>
    </row>
    <row r="5553" spans="7:7" hidden="1" x14ac:dyDescent="0.2">
      <c r="G5553" s="401"/>
    </row>
    <row r="5554" spans="7:7" hidden="1" x14ac:dyDescent="0.2">
      <c r="G5554" s="401"/>
    </row>
    <row r="5555" spans="7:7" hidden="1" x14ac:dyDescent="0.2">
      <c r="G5555" s="401"/>
    </row>
    <row r="5556" spans="7:7" hidden="1" x14ac:dyDescent="0.2">
      <c r="G5556" s="401"/>
    </row>
    <row r="5557" spans="7:7" hidden="1" x14ac:dyDescent="0.2">
      <c r="G5557" s="401"/>
    </row>
    <row r="5558" spans="7:7" hidden="1" x14ac:dyDescent="0.2">
      <c r="G5558" s="401"/>
    </row>
    <row r="5559" spans="7:7" hidden="1" x14ac:dyDescent="0.2">
      <c r="G5559" s="401"/>
    </row>
    <row r="5560" spans="7:7" hidden="1" x14ac:dyDescent="0.2">
      <c r="G5560" s="401"/>
    </row>
    <row r="5561" spans="7:7" hidden="1" x14ac:dyDescent="0.2">
      <c r="G5561" s="401"/>
    </row>
    <row r="5562" spans="7:7" hidden="1" x14ac:dyDescent="0.2">
      <c r="G5562" s="401"/>
    </row>
    <row r="5563" spans="7:7" hidden="1" x14ac:dyDescent="0.2">
      <c r="G5563" s="401"/>
    </row>
    <row r="5564" spans="7:7" hidden="1" x14ac:dyDescent="0.2">
      <c r="G5564" s="401"/>
    </row>
    <row r="5565" spans="7:7" hidden="1" x14ac:dyDescent="0.2">
      <c r="G5565" s="401"/>
    </row>
    <row r="5566" spans="7:7" hidden="1" x14ac:dyDescent="0.2">
      <c r="G5566" s="401"/>
    </row>
    <row r="5567" spans="7:7" hidden="1" x14ac:dyDescent="0.2">
      <c r="G5567" s="401"/>
    </row>
    <row r="5568" spans="7:7" hidden="1" x14ac:dyDescent="0.2">
      <c r="G5568" s="401"/>
    </row>
    <row r="5569" spans="7:7" hidden="1" x14ac:dyDescent="0.2">
      <c r="G5569" s="401"/>
    </row>
    <row r="5570" spans="7:7" hidden="1" x14ac:dyDescent="0.2">
      <c r="G5570" s="401"/>
    </row>
    <row r="5571" spans="7:7" hidden="1" x14ac:dyDescent="0.2">
      <c r="G5571" s="401"/>
    </row>
    <row r="5572" spans="7:7" hidden="1" x14ac:dyDescent="0.2">
      <c r="G5572" s="401"/>
    </row>
    <row r="5573" spans="7:7" hidden="1" x14ac:dyDescent="0.2">
      <c r="G5573" s="401"/>
    </row>
    <row r="5574" spans="7:7" hidden="1" x14ac:dyDescent="0.2">
      <c r="G5574" s="401"/>
    </row>
    <row r="5575" spans="7:7" hidden="1" x14ac:dyDescent="0.2">
      <c r="G5575" s="401"/>
    </row>
    <row r="5576" spans="7:7" hidden="1" x14ac:dyDescent="0.2">
      <c r="G5576" s="401"/>
    </row>
    <row r="5577" spans="7:7" hidden="1" x14ac:dyDescent="0.2">
      <c r="G5577" s="401"/>
    </row>
    <row r="5578" spans="7:7" hidden="1" x14ac:dyDescent="0.2">
      <c r="G5578" s="401"/>
    </row>
    <row r="5579" spans="7:7" hidden="1" x14ac:dyDescent="0.2">
      <c r="G5579" s="401"/>
    </row>
    <row r="5580" spans="7:7" hidden="1" x14ac:dyDescent="0.2">
      <c r="G5580" s="401"/>
    </row>
    <row r="5581" spans="7:7" hidden="1" x14ac:dyDescent="0.2">
      <c r="G5581" s="401"/>
    </row>
    <row r="5582" spans="7:7" hidden="1" x14ac:dyDescent="0.2">
      <c r="G5582" s="401"/>
    </row>
    <row r="5583" spans="7:7" hidden="1" x14ac:dyDescent="0.2">
      <c r="G5583" s="401"/>
    </row>
    <row r="5584" spans="7:7" hidden="1" x14ac:dyDescent="0.2">
      <c r="G5584" s="401"/>
    </row>
    <row r="5585" spans="7:7" hidden="1" x14ac:dyDescent="0.2">
      <c r="G5585" s="401"/>
    </row>
    <row r="5586" spans="7:7" hidden="1" x14ac:dyDescent="0.2">
      <c r="G5586" s="401"/>
    </row>
    <row r="5587" spans="7:7" hidden="1" x14ac:dyDescent="0.2">
      <c r="G5587" s="401"/>
    </row>
    <row r="5588" spans="7:7" hidden="1" x14ac:dyDescent="0.2">
      <c r="G5588" s="401"/>
    </row>
    <row r="5589" spans="7:7" hidden="1" x14ac:dyDescent="0.2">
      <c r="G5589" s="401"/>
    </row>
    <row r="5590" spans="7:7" hidden="1" x14ac:dyDescent="0.2">
      <c r="G5590" s="401"/>
    </row>
    <row r="5591" spans="7:7" hidden="1" x14ac:dyDescent="0.2">
      <c r="G5591" s="401"/>
    </row>
    <row r="5592" spans="7:7" hidden="1" x14ac:dyDescent="0.2">
      <c r="G5592" s="401"/>
    </row>
    <row r="5593" spans="7:7" hidden="1" x14ac:dyDescent="0.2">
      <c r="G5593" s="401"/>
    </row>
    <row r="5594" spans="7:7" hidden="1" x14ac:dyDescent="0.2">
      <c r="G5594" s="401"/>
    </row>
    <row r="5595" spans="7:7" hidden="1" x14ac:dyDescent="0.2">
      <c r="G5595" s="401"/>
    </row>
    <row r="5596" spans="7:7" hidden="1" x14ac:dyDescent="0.2">
      <c r="G5596" s="401"/>
    </row>
    <row r="5597" spans="7:7" hidden="1" x14ac:dyDescent="0.2">
      <c r="G5597" s="401"/>
    </row>
    <row r="5598" spans="7:7" hidden="1" x14ac:dyDescent="0.2">
      <c r="G5598" s="401"/>
    </row>
    <row r="5599" spans="7:7" hidden="1" x14ac:dyDescent="0.2">
      <c r="G5599" s="401"/>
    </row>
    <row r="5600" spans="7:7" hidden="1" x14ac:dyDescent="0.2">
      <c r="G5600" s="401"/>
    </row>
    <row r="5601" spans="7:7" hidden="1" x14ac:dyDescent="0.2">
      <c r="G5601" s="401"/>
    </row>
    <row r="5602" spans="7:7" hidden="1" x14ac:dyDescent="0.2">
      <c r="G5602" s="401"/>
    </row>
    <row r="5603" spans="7:7" hidden="1" x14ac:dyDescent="0.2">
      <c r="G5603" s="401"/>
    </row>
    <row r="5604" spans="7:7" hidden="1" x14ac:dyDescent="0.2">
      <c r="G5604" s="401"/>
    </row>
    <row r="5605" spans="7:7" hidden="1" x14ac:dyDescent="0.2">
      <c r="G5605" s="401"/>
    </row>
    <row r="5606" spans="7:7" hidden="1" x14ac:dyDescent="0.2">
      <c r="G5606" s="401"/>
    </row>
    <row r="5607" spans="7:7" hidden="1" x14ac:dyDescent="0.2">
      <c r="G5607" s="401"/>
    </row>
    <row r="5608" spans="7:7" hidden="1" x14ac:dyDescent="0.2">
      <c r="G5608" s="401"/>
    </row>
    <row r="5609" spans="7:7" hidden="1" x14ac:dyDescent="0.2">
      <c r="G5609" s="401"/>
    </row>
    <row r="5610" spans="7:7" hidden="1" x14ac:dyDescent="0.2">
      <c r="G5610" s="401"/>
    </row>
    <row r="5611" spans="7:7" hidden="1" x14ac:dyDescent="0.2">
      <c r="G5611" s="401"/>
    </row>
    <row r="5612" spans="7:7" hidden="1" x14ac:dyDescent="0.2">
      <c r="G5612" s="401"/>
    </row>
    <row r="5613" spans="7:7" hidden="1" x14ac:dyDescent="0.2">
      <c r="G5613" s="401"/>
    </row>
    <row r="5614" spans="7:7" hidden="1" x14ac:dyDescent="0.2">
      <c r="G5614" s="401"/>
    </row>
    <row r="5615" spans="7:7" hidden="1" x14ac:dyDescent="0.2">
      <c r="G5615" s="401"/>
    </row>
    <row r="5616" spans="7:7" hidden="1" x14ac:dyDescent="0.2">
      <c r="G5616" s="401"/>
    </row>
    <row r="5617" spans="7:7" hidden="1" x14ac:dyDescent="0.2">
      <c r="G5617" s="401"/>
    </row>
    <row r="5618" spans="7:7" hidden="1" x14ac:dyDescent="0.2">
      <c r="G5618" s="401"/>
    </row>
    <row r="5619" spans="7:7" hidden="1" x14ac:dyDescent="0.2">
      <c r="G5619" s="401"/>
    </row>
    <row r="5620" spans="7:7" hidden="1" x14ac:dyDescent="0.2">
      <c r="G5620" s="401"/>
    </row>
    <row r="5621" spans="7:7" hidden="1" x14ac:dyDescent="0.2">
      <c r="G5621" s="401"/>
    </row>
    <row r="5622" spans="7:7" hidden="1" x14ac:dyDescent="0.2">
      <c r="G5622" s="401"/>
    </row>
    <row r="5623" spans="7:7" hidden="1" x14ac:dyDescent="0.2">
      <c r="G5623" s="401"/>
    </row>
    <row r="5624" spans="7:7" hidden="1" x14ac:dyDescent="0.2">
      <c r="G5624" s="401"/>
    </row>
    <row r="5625" spans="7:7" hidden="1" x14ac:dyDescent="0.2">
      <c r="G5625" s="401"/>
    </row>
    <row r="5626" spans="7:7" hidden="1" x14ac:dyDescent="0.2">
      <c r="G5626" s="401"/>
    </row>
    <row r="5627" spans="7:7" hidden="1" x14ac:dyDescent="0.2">
      <c r="G5627" s="401"/>
    </row>
    <row r="5628" spans="7:7" hidden="1" x14ac:dyDescent="0.2">
      <c r="G5628" s="401"/>
    </row>
    <row r="5629" spans="7:7" hidden="1" x14ac:dyDescent="0.2">
      <c r="G5629" s="401"/>
    </row>
    <row r="5630" spans="7:7" hidden="1" x14ac:dyDescent="0.2">
      <c r="G5630" s="401"/>
    </row>
    <row r="5631" spans="7:7" hidden="1" x14ac:dyDescent="0.2">
      <c r="G5631" s="401"/>
    </row>
    <row r="5632" spans="7:7" hidden="1" x14ac:dyDescent="0.2">
      <c r="G5632" s="401"/>
    </row>
    <row r="5633" spans="7:7" hidden="1" x14ac:dyDescent="0.2">
      <c r="G5633" s="401"/>
    </row>
    <row r="5634" spans="7:7" hidden="1" x14ac:dyDescent="0.2">
      <c r="G5634" s="401"/>
    </row>
    <row r="5635" spans="7:7" hidden="1" x14ac:dyDescent="0.2">
      <c r="G5635" s="401"/>
    </row>
    <row r="5636" spans="7:7" hidden="1" x14ac:dyDescent="0.2">
      <c r="G5636" s="401"/>
    </row>
    <row r="5637" spans="7:7" hidden="1" x14ac:dyDescent="0.2">
      <c r="G5637" s="401"/>
    </row>
    <row r="5638" spans="7:7" hidden="1" x14ac:dyDescent="0.2">
      <c r="G5638" s="401"/>
    </row>
    <row r="5639" spans="7:7" hidden="1" x14ac:dyDescent="0.2">
      <c r="G5639" s="401"/>
    </row>
    <row r="5640" spans="7:7" hidden="1" x14ac:dyDescent="0.2">
      <c r="G5640" s="401"/>
    </row>
    <row r="5641" spans="7:7" hidden="1" x14ac:dyDescent="0.2">
      <c r="G5641" s="401"/>
    </row>
    <row r="5642" spans="7:7" hidden="1" x14ac:dyDescent="0.2">
      <c r="G5642" s="401"/>
    </row>
    <row r="5643" spans="7:7" hidden="1" x14ac:dyDescent="0.2">
      <c r="G5643" s="401"/>
    </row>
    <row r="5644" spans="7:7" hidden="1" x14ac:dyDescent="0.2">
      <c r="G5644" s="401"/>
    </row>
    <row r="5645" spans="7:7" hidden="1" x14ac:dyDescent="0.2">
      <c r="G5645" s="401"/>
    </row>
    <row r="5646" spans="7:7" hidden="1" x14ac:dyDescent="0.2">
      <c r="G5646" s="401"/>
    </row>
    <row r="5647" spans="7:7" hidden="1" x14ac:dyDescent="0.2">
      <c r="G5647" s="401"/>
    </row>
    <row r="5648" spans="7:7" hidden="1" x14ac:dyDescent="0.2">
      <c r="G5648" s="401"/>
    </row>
    <row r="5649" spans="7:7" hidden="1" x14ac:dyDescent="0.2">
      <c r="G5649" s="401"/>
    </row>
    <row r="5650" spans="7:7" hidden="1" x14ac:dyDescent="0.2">
      <c r="G5650" s="401"/>
    </row>
    <row r="5651" spans="7:7" hidden="1" x14ac:dyDescent="0.2">
      <c r="G5651" s="401"/>
    </row>
    <row r="5652" spans="7:7" hidden="1" x14ac:dyDescent="0.2">
      <c r="G5652" s="401"/>
    </row>
    <row r="5653" spans="7:7" hidden="1" x14ac:dyDescent="0.2">
      <c r="G5653" s="401"/>
    </row>
    <row r="5654" spans="7:7" hidden="1" x14ac:dyDescent="0.2">
      <c r="G5654" s="401"/>
    </row>
    <row r="5655" spans="7:7" hidden="1" x14ac:dyDescent="0.2">
      <c r="G5655" s="401"/>
    </row>
    <row r="5656" spans="7:7" hidden="1" x14ac:dyDescent="0.2">
      <c r="G5656" s="401"/>
    </row>
    <row r="5657" spans="7:7" hidden="1" x14ac:dyDescent="0.2">
      <c r="G5657" s="401"/>
    </row>
    <row r="5658" spans="7:7" hidden="1" x14ac:dyDescent="0.2">
      <c r="G5658" s="401"/>
    </row>
    <row r="5659" spans="7:7" hidden="1" x14ac:dyDescent="0.2">
      <c r="G5659" s="401"/>
    </row>
    <row r="5660" spans="7:7" hidden="1" x14ac:dyDescent="0.2">
      <c r="G5660" s="401"/>
    </row>
    <row r="5661" spans="7:7" hidden="1" x14ac:dyDescent="0.2">
      <c r="G5661" s="401"/>
    </row>
    <row r="5662" spans="7:7" hidden="1" x14ac:dyDescent="0.2">
      <c r="G5662" s="401"/>
    </row>
    <row r="5663" spans="7:7" hidden="1" x14ac:dyDescent="0.2">
      <c r="G5663" s="401"/>
    </row>
    <row r="5664" spans="7:7" hidden="1" x14ac:dyDescent="0.2">
      <c r="G5664" s="401"/>
    </row>
    <row r="5665" spans="7:7" hidden="1" x14ac:dyDescent="0.2">
      <c r="G5665" s="401"/>
    </row>
    <row r="5666" spans="7:7" hidden="1" x14ac:dyDescent="0.2">
      <c r="G5666" s="401"/>
    </row>
    <row r="5667" spans="7:7" hidden="1" x14ac:dyDescent="0.2">
      <c r="G5667" s="401"/>
    </row>
    <row r="5668" spans="7:7" hidden="1" x14ac:dyDescent="0.2">
      <c r="G5668" s="401"/>
    </row>
    <row r="5669" spans="7:7" hidden="1" x14ac:dyDescent="0.2">
      <c r="G5669" s="401"/>
    </row>
    <row r="5670" spans="7:7" hidden="1" x14ac:dyDescent="0.2">
      <c r="G5670" s="401"/>
    </row>
    <row r="5671" spans="7:7" hidden="1" x14ac:dyDescent="0.2">
      <c r="G5671" s="401"/>
    </row>
    <row r="5672" spans="7:7" hidden="1" x14ac:dyDescent="0.2">
      <c r="G5672" s="401"/>
    </row>
    <row r="5673" spans="7:7" hidden="1" x14ac:dyDescent="0.2">
      <c r="G5673" s="401"/>
    </row>
    <row r="5674" spans="7:7" hidden="1" x14ac:dyDescent="0.2">
      <c r="G5674" s="401"/>
    </row>
    <row r="5675" spans="7:7" hidden="1" x14ac:dyDescent="0.2">
      <c r="G5675" s="401"/>
    </row>
    <row r="5676" spans="7:7" hidden="1" x14ac:dyDescent="0.2">
      <c r="G5676" s="401"/>
    </row>
    <row r="5677" spans="7:7" hidden="1" x14ac:dyDescent="0.2">
      <c r="G5677" s="401"/>
    </row>
    <row r="5678" spans="7:7" hidden="1" x14ac:dyDescent="0.2">
      <c r="G5678" s="401"/>
    </row>
    <row r="5679" spans="7:7" hidden="1" x14ac:dyDescent="0.2">
      <c r="G5679" s="401"/>
    </row>
    <row r="5680" spans="7:7" hidden="1" x14ac:dyDescent="0.2">
      <c r="G5680" s="401"/>
    </row>
    <row r="5681" spans="7:7" hidden="1" x14ac:dyDescent="0.2">
      <c r="G5681" s="401"/>
    </row>
    <row r="5682" spans="7:7" hidden="1" x14ac:dyDescent="0.2">
      <c r="G5682" s="401"/>
    </row>
    <row r="5683" spans="7:7" hidden="1" x14ac:dyDescent="0.2">
      <c r="G5683" s="401"/>
    </row>
    <row r="5684" spans="7:7" hidden="1" x14ac:dyDescent="0.2">
      <c r="G5684" s="401"/>
    </row>
    <row r="5685" spans="7:7" hidden="1" x14ac:dyDescent="0.2">
      <c r="G5685" s="401"/>
    </row>
    <row r="5686" spans="7:7" hidden="1" x14ac:dyDescent="0.2">
      <c r="G5686" s="401"/>
    </row>
    <row r="5687" spans="7:7" hidden="1" x14ac:dyDescent="0.2">
      <c r="G5687" s="401"/>
    </row>
    <row r="5688" spans="7:7" hidden="1" x14ac:dyDescent="0.2">
      <c r="G5688" s="401"/>
    </row>
    <row r="5689" spans="7:7" hidden="1" x14ac:dyDescent="0.2">
      <c r="G5689" s="401"/>
    </row>
    <row r="5690" spans="7:7" hidden="1" x14ac:dyDescent="0.2">
      <c r="G5690" s="401"/>
    </row>
    <row r="5691" spans="7:7" hidden="1" x14ac:dyDescent="0.2">
      <c r="G5691" s="401"/>
    </row>
    <row r="5692" spans="7:7" hidden="1" x14ac:dyDescent="0.2">
      <c r="G5692" s="401"/>
    </row>
    <row r="5693" spans="7:7" hidden="1" x14ac:dyDescent="0.2">
      <c r="G5693" s="401"/>
    </row>
    <row r="5694" spans="7:7" hidden="1" x14ac:dyDescent="0.2">
      <c r="G5694" s="401"/>
    </row>
    <row r="5695" spans="7:7" hidden="1" x14ac:dyDescent="0.2">
      <c r="G5695" s="401"/>
    </row>
    <row r="5696" spans="7:7" hidden="1" x14ac:dyDescent="0.2">
      <c r="G5696" s="401"/>
    </row>
    <row r="5697" spans="7:7" hidden="1" x14ac:dyDescent="0.2">
      <c r="G5697" s="401"/>
    </row>
    <row r="5698" spans="7:7" hidden="1" x14ac:dyDescent="0.2">
      <c r="G5698" s="401"/>
    </row>
    <row r="5699" spans="7:7" hidden="1" x14ac:dyDescent="0.2">
      <c r="G5699" s="401"/>
    </row>
    <row r="5700" spans="7:7" hidden="1" x14ac:dyDescent="0.2">
      <c r="G5700" s="401"/>
    </row>
    <row r="5701" spans="7:7" hidden="1" x14ac:dyDescent="0.2">
      <c r="G5701" s="401"/>
    </row>
    <row r="5702" spans="7:7" hidden="1" x14ac:dyDescent="0.2">
      <c r="G5702" s="401"/>
    </row>
    <row r="5703" spans="7:7" hidden="1" x14ac:dyDescent="0.2">
      <c r="G5703" s="401"/>
    </row>
    <row r="5704" spans="7:7" hidden="1" x14ac:dyDescent="0.2">
      <c r="G5704" s="401"/>
    </row>
    <row r="5705" spans="7:7" hidden="1" x14ac:dyDescent="0.2">
      <c r="G5705" s="401"/>
    </row>
    <row r="5706" spans="7:7" hidden="1" x14ac:dyDescent="0.2">
      <c r="G5706" s="401"/>
    </row>
    <row r="5707" spans="7:7" hidden="1" x14ac:dyDescent="0.2">
      <c r="G5707" s="401"/>
    </row>
    <row r="5708" spans="7:7" hidden="1" x14ac:dyDescent="0.2">
      <c r="G5708" s="401"/>
    </row>
    <row r="5709" spans="7:7" hidden="1" x14ac:dyDescent="0.2">
      <c r="G5709" s="401"/>
    </row>
    <row r="5710" spans="7:7" hidden="1" x14ac:dyDescent="0.2">
      <c r="G5710" s="401"/>
    </row>
    <row r="5711" spans="7:7" hidden="1" x14ac:dyDescent="0.2">
      <c r="G5711" s="401"/>
    </row>
    <row r="5712" spans="7:7" hidden="1" x14ac:dyDescent="0.2">
      <c r="G5712" s="401"/>
    </row>
    <row r="5713" spans="7:7" hidden="1" x14ac:dyDescent="0.2">
      <c r="G5713" s="401"/>
    </row>
    <row r="5714" spans="7:7" hidden="1" x14ac:dyDescent="0.2">
      <c r="G5714" s="401"/>
    </row>
    <row r="5715" spans="7:7" hidden="1" x14ac:dyDescent="0.2">
      <c r="G5715" s="401"/>
    </row>
    <row r="5716" spans="7:7" hidden="1" x14ac:dyDescent="0.2">
      <c r="G5716" s="401"/>
    </row>
    <row r="5717" spans="7:7" hidden="1" x14ac:dyDescent="0.2">
      <c r="G5717" s="401"/>
    </row>
    <row r="5718" spans="7:7" hidden="1" x14ac:dyDescent="0.2">
      <c r="G5718" s="401"/>
    </row>
    <row r="5719" spans="7:7" hidden="1" x14ac:dyDescent="0.2">
      <c r="G5719" s="401"/>
    </row>
    <row r="5720" spans="7:7" hidden="1" x14ac:dyDescent="0.2">
      <c r="G5720" s="401"/>
    </row>
    <row r="5721" spans="7:7" hidden="1" x14ac:dyDescent="0.2">
      <c r="G5721" s="401"/>
    </row>
    <row r="5722" spans="7:7" hidden="1" x14ac:dyDescent="0.2">
      <c r="G5722" s="401"/>
    </row>
    <row r="5723" spans="7:7" hidden="1" x14ac:dyDescent="0.2">
      <c r="G5723" s="401"/>
    </row>
    <row r="5724" spans="7:7" hidden="1" x14ac:dyDescent="0.2">
      <c r="G5724" s="401"/>
    </row>
    <row r="5725" spans="7:7" hidden="1" x14ac:dyDescent="0.2">
      <c r="G5725" s="401"/>
    </row>
    <row r="5726" spans="7:7" hidden="1" x14ac:dyDescent="0.2">
      <c r="G5726" s="401"/>
    </row>
    <row r="5727" spans="7:7" hidden="1" x14ac:dyDescent="0.2">
      <c r="G5727" s="401"/>
    </row>
    <row r="5728" spans="7:7" hidden="1" x14ac:dyDescent="0.2">
      <c r="G5728" s="401"/>
    </row>
    <row r="5729" spans="7:7" hidden="1" x14ac:dyDescent="0.2">
      <c r="G5729" s="401"/>
    </row>
    <row r="5730" spans="7:7" hidden="1" x14ac:dyDescent="0.2">
      <c r="G5730" s="401"/>
    </row>
    <row r="5731" spans="7:7" hidden="1" x14ac:dyDescent="0.2">
      <c r="G5731" s="401"/>
    </row>
    <row r="5732" spans="7:7" hidden="1" x14ac:dyDescent="0.2">
      <c r="G5732" s="401"/>
    </row>
    <row r="5733" spans="7:7" hidden="1" x14ac:dyDescent="0.2">
      <c r="G5733" s="401"/>
    </row>
    <row r="5734" spans="7:7" hidden="1" x14ac:dyDescent="0.2">
      <c r="G5734" s="401"/>
    </row>
    <row r="5735" spans="7:7" hidden="1" x14ac:dyDescent="0.2">
      <c r="G5735" s="401"/>
    </row>
    <row r="5736" spans="7:7" hidden="1" x14ac:dyDescent="0.2">
      <c r="G5736" s="401"/>
    </row>
    <row r="5737" spans="7:7" hidden="1" x14ac:dyDescent="0.2">
      <c r="G5737" s="401"/>
    </row>
    <row r="5738" spans="7:7" hidden="1" x14ac:dyDescent="0.2">
      <c r="G5738" s="401"/>
    </row>
    <row r="5739" spans="7:7" hidden="1" x14ac:dyDescent="0.2">
      <c r="G5739" s="401"/>
    </row>
    <row r="5740" spans="7:7" hidden="1" x14ac:dyDescent="0.2">
      <c r="G5740" s="401"/>
    </row>
    <row r="5741" spans="7:7" hidden="1" x14ac:dyDescent="0.2">
      <c r="G5741" s="401"/>
    </row>
    <row r="5742" spans="7:7" hidden="1" x14ac:dyDescent="0.2">
      <c r="G5742" s="401"/>
    </row>
    <row r="5743" spans="7:7" hidden="1" x14ac:dyDescent="0.2">
      <c r="G5743" s="401"/>
    </row>
    <row r="5744" spans="7:7" hidden="1" x14ac:dyDescent="0.2">
      <c r="G5744" s="401"/>
    </row>
    <row r="5745" spans="7:7" hidden="1" x14ac:dyDescent="0.2">
      <c r="G5745" s="401"/>
    </row>
    <row r="5746" spans="7:7" hidden="1" x14ac:dyDescent="0.2">
      <c r="G5746" s="401"/>
    </row>
    <row r="5747" spans="7:7" hidden="1" x14ac:dyDescent="0.2">
      <c r="G5747" s="401"/>
    </row>
    <row r="5748" spans="7:7" hidden="1" x14ac:dyDescent="0.2">
      <c r="G5748" s="401"/>
    </row>
    <row r="5749" spans="7:7" hidden="1" x14ac:dyDescent="0.2">
      <c r="G5749" s="401"/>
    </row>
    <row r="5750" spans="7:7" hidden="1" x14ac:dyDescent="0.2">
      <c r="G5750" s="401"/>
    </row>
    <row r="5751" spans="7:7" hidden="1" x14ac:dyDescent="0.2">
      <c r="G5751" s="401"/>
    </row>
    <row r="5752" spans="7:7" hidden="1" x14ac:dyDescent="0.2">
      <c r="G5752" s="401"/>
    </row>
    <row r="5753" spans="7:7" hidden="1" x14ac:dyDescent="0.2">
      <c r="G5753" s="401"/>
    </row>
    <row r="5754" spans="7:7" hidden="1" x14ac:dyDescent="0.2">
      <c r="G5754" s="401"/>
    </row>
    <row r="5755" spans="7:7" hidden="1" x14ac:dyDescent="0.2">
      <c r="G5755" s="401"/>
    </row>
    <row r="5756" spans="7:7" hidden="1" x14ac:dyDescent="0.2">
      <c r="G5756" s="401"/>
    </row>
    <row r="5757" spans="7:7" hidden="1" x14ac:dyDescent="0.2">
      <c r="G5757" s="401"/>
    </row>
    <row r="5758" spans="7:7" hidden="1" x14ac:dyDescent="0.2">
      <c r="G5758" s="401"/>
    </row>
    <row r="5759" spans="7:7" hidden="1" x14ac:dyDescent="0.2">
      <c r="G5759" s="401"/>
    </row>
    <row r="5760" spans="7:7" hidden="1" x14ac:dyDescent="0.2">
      <c r="G5760" s="401"/>
    </row>
    <row r="5761" spans="7:7" hidden="1" x14ac:dyDescent="0.2">
      <c r="G5761" s="401"/>
    </row>
    <row r="5762" spans="7:7" hidden="1" x14ac:dyDescent="0.2">
      <c r="G5762" s="401"/>
    </row>
    <row r="5763" spans="7:7" hidden="1" x14ac:dyDescent="0.2">
      <c r="G5763" s="401"/>
    </row>
    <row r="5764" spans="7:7" hidden="1" x14ac:dyDescent="0.2">
      <c r="G5764" s="401"/>
    </row>
    <row r="5765" spans="7:7" hidden="1" x14ac:dyDescent="0.2">
      <c r="G5765" s="401"/>
    </row>
    <row r="5766" spans="7:7" hidden="1" x14ac:dyDescent="0.2">
      <c r="G5766" s="401"/>
    </row>
    <row r="5767" spans="7:7" hidden="1" x14ac:dyDescent="0.2">
      <c r="G5767" s="401"/>
    </row>
    <row r="5768" spans="7:7" hidden="1" x14ac:dyDescent="0.2">
      <c r="G5768" s="401"/>
    </row>
    <row r="5769" spans="7:7" hidden="1" x14ac:dyDescent="0.2">
      <c r="G5769" s="401"/>
    </row>
    <row r="5770" spans="7:7" hidden="1" x14ac:dyDescent="0.2">
      <c r="G5770" s="401"/>
    </row>
    <row r="5771" spans="7:7" hidden="1" x14ac:dyDescent="0.2">
      <c r="G5771" s="401"/>
    </row>
    <row r="5772" spans="7:7" hidden="1" x14ac:dyDescent="0.2">
      <c r="G5772" s="401"/>
    </row>
    <row r="5773" spans="7:7" hidden="1" x14ac:dyDescent="0.2">
      <c r="G5773" s="401"/>
    </row>
    <row r="5774" spans="7:7" hidden="1" x14ac:dyDescent="0.2">
      <c r="G5774" s="401"/>
    </row>
    <row r="5775" spans="7:7" hidden="1" x14ac:dyDescent="0.2">
      <c r="G5775" s="401"/>
    </row>
    <row r="5776" spans="7:7" hidden="1" x14ac:dyDescent="0.2">
      <c r="G5776" s="401"/>
    </row>
    <row r="5777" spans="7:7" hidden="1" x14ac:dyDescent="0.2">
      <c r="G5777" s="401"/>
    </row>
    <row r="5778" spans="7:7" hidden="1" x14ac:dyDescent="0.2">
      <c r="G5778" s="401"/>
    </row>
    <row r="5779" spans="7:7" hidden="1" x14ac:dyDescent="0.2">
      <c r="G5779" s="401"/>
    </row>
    <row r="5780" spans="7:7" hidden="1" x14ac:dyDescent="0.2">
      <c r="G5780" s="401"/>
    </row>
    <row r="5781" spans="7:7" hidden="1" x14ac:dyDescent="0.2">
      <c r="G5781" s="401"/>
    </row>
    <row r="5782" spans="7:7" hidden="1" x14ac:dyDescent="0.2">
      <c r="G5782" s="401"/>
    </row>
    <row r="5783" spans="7:7" hidden="1" x14ac:dyDescent="0.2">
      <c r="G5783" s="401"/>
    </row>
    <row r="5784" spans="7:7" hidden="1" x14ac:dyDescent="0.2">
      <c r="G5784" s="401"/>
    </row>
    <row r="5785" spans="7:7" hidden="1" x14ac:dyDescent="0.2">
      <c r="G5785" s="401"/>
    </row>
    <row r="5786" spans="7:7" hidden="1" x14ac:dyDescent="0.2">
      <c r="G5786" s="401"/>
    </row>
    <row r="5787" spans="7:7" hidden="1" x14ac:dyDescent="0.2">
      <c r="G5787" s="401"/>
    </row>
    <row r="5788" spans="7:7" hidden="1" x14ac:dyDescent="0.2">
      <c r="G5788" s="401"/>
    </row>
    <row r="5789" spans="7:7" hidden="1" x14ac:dyDescent="0.2">
      <c r="G5789" s="401"/>
    </row>
    <row r="5790" spans="7:7" hidden="1" x14ac:dyDescent="0.2">
      <c r="G5790" s="401"/>
    </row>
    <row r="5791" spans="7:7" hidden="1" x14ac:dyDescent="0.2">
      <c r="G5791" s="401"/>
    </row>
    <row r="5792" spans="7:7" hidden="1" x14ac:dyDescent="0.2">
      <c r="G5792" s="401"/>
    </row>
    <row r="5793" spans="7:7" hidden="1" x14ac:dyDescent="0.2">
      <c r="G5793" s="401"/>
    </row>
    <row r="5794" spans="7:7" hidden="1" x14ac:dyDescent="0.2">
      <c r="G5794" s="401"/>
    </row>
    <row r="5795" spans="7:7" hidden="1" x14ac:dyDescent="0.2">
      <c r="G5795" s="401"/>
    </row>
    <row r="5796" spans="7:7" hidden="1" x14ac:dyDescent="0.2">
      <c r="G5796" s="401"/>
    </row>
    <row r="5797" spans="7:7" hidden="1" x14ac:dyDescent="0.2">
      <c r="G5797" s="401"/>
    </row>
    <row r="5798" spans="7:7" hidden="1" x14ac:dyDescent="0.2">
      <c r="G5798" s="401"/>
    </row>
    <row r="5799" spans="7:7" hidden="1" x14ac:dyDescent="0.2">
      <c r="G5799" s="401"/>
    </row>
    <row r="5800" spans="7:7" hidden="1" x14ac:dyDescent="0.2">
      <c r="G5800" s="401"/>
    </row>
    <row r="5801" spans="7:7" hidden="1" x14ac:dyDescent="0.2">
      <c r="G5801" s="401"/>
    </row>
    <row r="5802" spans="7:7" hidden="1" x14ac:dyDescent="0.2">
      <c r="G5802" s="401"/>
    </row>
    <row r="5803" spans="7:7" hidden="1" x14ac:dyDescent="0.2">
      <c r="G5803" s="401"/>
    </row>
    <row r="5804" spans="7:7" hidden="1" x14ac:dyDescent="0.2">
      <c r="G5804" s="401"/>
    </row>
    <row r="5805" spans="7:7" hidden="1" x14ac:dyDescent="0.2">
      <c r="G5805" s="401"/>
    </row>
    <row r="5806" spans="7:7" hidden="1" x14ac:dyDescent="0.2">
      <c r="G5806" s="401"/>
    </row>
    <row r="5807" spans="7:7" hidden="1" x14ac:dyDescent="0.2">
      <c r="G5807" s="401"/>
    </row>
    <row r="5808" spans="7:7" hidden="1" x14ac:dyDescent="0.2">
      <c r="G5808" s="401"/>
    </row>
    <row r="5809" spans="7:7" hidden="1" x14ac:dyDescent="0.2">
      <c r="G5809" s="401"/>
    </row>
    <row r="5810" spans="7:7" hidden="1" x14ac:dyDescent="0.2">
      <c r="G5810" s="401"/>
    </row>
    <row r="5811" spans="7:7" hidden="1" x14ac:dyDescent="0.2">
      <c r="G5811" s="401"/>
    </row>
    <row r="5812" spans="7:7" hidden="1" x14ac:dyDescent="0.2">
      <c r="G5812" s="401"/>
    </row>
    <row r="5813" spans="7:7" hidden="1" x14ac:dyDescent="0.2">
      <c r="G5813" s="401"/>
    </row>
    <row r="5814" spans="7:7" hidden="1" x14ac:dyDescent="0.2">
      <c r="G5814" s="401"/>
    </row>
    <row r="5815" spans="7:7" hidden="1" x14ac:dyDescent="0.2">
      <c r="G5815" s="401"/>
    </row>
    <row r="5816" spans="7:7" hidden="1" x14ac:dyDescent="0.2">
      <c r="G5816" s="401"/>
    </row>
    <row r="5817" spans="7:7" hidden="1" x14ac:dyDescent="0.2">
      <c r="G5817" s="401"/>
    </row>
    <row r="5818" spans="7:7" hidden="1" x14ac:dyDescent="0.2">
      <c r="G5818" s="401"/>
    </row>
    <row r="5819" spans="7:7" hidden="1" x14ac:dyDescent="0.2">
      <c r="G5819" s="401"/>
    </row>
    <row r="5820" spans="7:7" hidden="1" x14ac:dyDescent="0.2">
      <c r="G5820" s="401"/>
    </row>
    <row r="5821" spans="7:7" hidden="1" x14ac:dyDescent="0.2">
      <c r="G5821" s="401"/>
    </row>
    <row r="5822" spans="7:7" hidden="1" x14ac:dyDescent="0.2">
      <c r="G5822" s="401"/>
    </row>
    <row r="5823" spans="7:7" hidden="1" x14ac:dyDescent="0.2">
      <c r="G5823" s="401"/>
    </row>
    <row r="5824" spans="7:7" hidden="1" x14ac:dyDescent="0.2">
      <c r="G5824" s="401"/>
    </row>
    <row r="5825" spans="7:7" hidden="1" x14ac:dyDescent="0.2">
      <c r="G5825" s="401"/>
    </row>
    <row r="5826" spans="7:7" hidden="1" x14ac:dyDescent="0.2">
      <c r="G5826" s="401"/>
    </row>
    <row r="5827" spans="7:7" hidden="1" x14ac:dyDescent="0.2">
      <c r="G5827" s="401"/>
    </row>
    <row r="5828" spans="7:7" hidden="1" x14ac:dyDescent="0.2">
      <c r="G5828" s="401"/>
    </row>
    <row r="5829" spans="7:7" hidden="1" x14ac:dyDescent="0.2">
      <c r="G5829" s="401"/>
    </row>
    <row r="5830" spans="7:7" hidden="1" x14ac:dyDescent="0.2">
      <c r="G5830" s="401"/>
    </row>
    <row r="5831" spans="7:7" hidden="1" x14ac:dyDescent="0.2">
      <c r="G5831" s="401"/>
    </row>
    <row r="5832" spans="7:7" hidden="1" x14ac:dyDescent="0.2">
      <c r="G5832" s="401"/>
    </row>
    <row r="5833" spans="7:7" hidden="1" x14ac:dyDescent="0.2">
      <c r="G5833" s="401"/>
    </row>
    <row r="5834" spans="7:7" hidden="1" x14ac:dyDescent="0.2">
      <c r="G5834" s="401"/>
    </row>
    <row r="5835" spans="7:7" hidden="1" x14ac:dyDescent="0.2">
      <c r="G5835" s="401"/>
    </row>
    <row r="5836" spans="7:7" hidden="1" x14ac:dyDescent="0.2">
      <c r="G5836" s="401"/>
    </row>
    <row r="5837" spans="7:7" hidden="1" x14ac:dyDescent="0.2">
      <c r="G5837" s="401"/>
    </row>
    <row r="5838" spans="7:7" hidden="1" x14ac:dyDescent="0.2">
      <c r="G5838" s="401"/>
    </row>
    <row r="5839" spans="7:7" hidden="1" x14ac:dyDescent="0.2">
      <c r="G5839" s="401"/>
    </row>
    <row r="5840" spans="7:7" hidden="1" x14ac:dyDescent="0.2">
      <c r="G5840" s="401"/>
    </row>
    <row r="5841" spans="7:7" hidden="1" x14ac:dyDescent="0.2">
      <c r="G5841" s="401"/>
    </row>
    <row r="5842" spans="7:7" hidden="1" x14ac:dyDescent="0.2">
      <c r="G5842" s="401"/>
    </row>
    <row r="5843" spans="7:7" hidden="1" x14ac:dyDescent="0.2">
      <c r="G5843" s="401"/>
    </row>
    <row r="5844" spans="7:7" hidden="1" x14ac:dyDescent="0.2">
      <c r="G5844" s="401"/>
    </row>
    <row r="5845" spans="7:7" hidden="1" x14ac:dyDescent="0.2">
      <c r="G5845" s="401"/>
    </row>
    <row r="5846" spans="7:7" hidden="1" x14ac:dyDescent="0.2">
      <c r="G5846" s="401"/>
    </row>
    <row r="5847" spans="7:7" hidden="1" x14ac:dyDescent="0.2">
      <c r="G5847" s="401"/>
    </row>
    <row r="5848" spans="7:7" hidden="1" x14ac:dyDescent="0.2">
      <c r="G5848" s="401"/>
    </row>
    <row r="5849" spans="7:7" hidden="1" x14ac:dyDescent="0.2">
      <c r="G5849" s="401"/>
    </row>
    <row r="5850" spans="7:7" hidden="1" x14ac:dyDescent="0.2">
      <c r="G5850" s="401"/>
    </row>
    <row r="5851" spans="7:7" hidden="1" x14ac:dyDescent="0.2">
      <c r="G5851" s="401"/>
    </row>
    <row r="5852" spans="7:7" hidden="1" x14ac:dyDescent="0.2">
      <c r="G5852" s="401"/>
    </row>
    <row r="5853" spans="7:7" hidden="1" x14ac:dyDescent="0.2">
      <c r="G5853" s="401"/>
    </row>
    <row r="5854" spans="7:7" hidden="1" x14ac:dyDescent="0.2">
      <c r="G5854" s="401"/>
    </row>
    <row r="5855" spans="7:7" hidden="1" x14ac:dyDescent="0.2">
      <c r="G5855" s="401"/>
    </row>
    <row r="5856" spans="7:7" hidden="1" x14ac:dyDescent="0.2">
      <c r="G5856" s="401"/>
    </row>
    <row r="5857" spans="7:7" hidden="1" x14ac:dyDescent="0.2">
      <c r="G5857" s="401"/>
    </row>
    <row r="5858" spans="7:7" hidden="1" x14ac:dyDescent="0.2">
      <c r="G5858" s="401"/>
    </row>
    <row r="5859" spans="7:7" hidden="1" x14ac:dyDescent="0.2">
      <c r="G5859" s="401"/>
    </row>
    <row r="5860" spans="7:7" hidden="1" x14ac:dyDescent="0.2">
      <c r="G5860" s="401"/>
    </row>
    <row r="5861" spans="7:7" hidden="1" x14ac:dyDescent="0.2">
      <c r="G5861" s="401"/>
    </row>
    <row r="5862" spans="7:7" hidden="1" x14ac:dyDescent="0.2">
      <c r="G5862" s="401"/>
    </row>
    <row r="5863" spans="7:7" hidden="1" x14ac:dyDescent="0.2">
      <c r="G5863" s="401"/>
    </row>
    <row r="5864" spans="7:7" hidden="1" x14ac:dyDescent="0.2">
      <c r="G5864" s="401"/>
    </row>
    <row r="5865" spans="7:7" hidden="1" x14ac:dyDescent="0.2">
      <c r="G5865" s="401"/>
    </row>
    <row r="5866" spans="7:7" hidden="1" x14ac:dyDescent="0.2">
      <c r="G5866" s="401"/>
    </row>
    <row r="5867" spans="7:7" hidden="1" x14ac:dyDescent="0.2">
      <c r="G5867" s="401"/>
    </row>
    <row r="5868" spans="7:7" hidden="1" x14ac:dyDescent="0.2">
      <c r="G5868" s="401"/>
    </row>
    <row r="5869" spans="7:7" hidden="1" x14ac:dyDescent="0.2">
      <c r="G5869" s="401"/>
    </row>
    <row r="5870" spans="7:7" hidden="1" x14ac:dyDescent="0.2">
      <c r="G5870" s="401"/>
    </row>
    <row r="5871" spans="7:7" hidden="1" x14ac:dyDescent="0.2">
      <c r="G5871" s="401"/>
    </row>
    <row r="5872" spans="7:7" hidden="1" x14ac:dyDescent="0.2">
      <c r="G5872" s="401"/>
    </row>
    <row r="5873" spans="7:7" hidden="1" x14ac:dyDescent="0.2">
      <c r="G5873" s="401"/>
    </row>
    <row r="5874" spans="7:7" hidden="1" x14ac:dyDescent="0.2">
      <c r="G5874" s="401"/>
    </row>
    <row r="5875" spans="7:7" hidden="1" x14ac:dyDescent="0.2">
      <c r="G5875" s="401"/>
    </row>
    <row r="5876" spans="7:7" hidden="1" x14ac:dyDescent="0.2">
      <c r="G5876" s="401"/>
    </row>
    <row r="5877" spans="7:7" hidden="1" x14ac:dyDescent="0.2">
      <c r="G5877" s="401"/>
    </row>
    <row r="5878" spans="7:7" hidden="1" x14ac:dyDescent="0.2">
      <c r="G5878" s="401"/>
    </row>
    <row r="5879" spans="7:7" hidden="1" x14ac:dyDescent="0.2">
      <c r="G5879" s="401"/>
    </row>
    <row r="5880" spans="7:7" hidden="1" x14ac:dyDescent="0.2">
      <c r="G5880" s="401"/>
    </row>
    <row r="5881" spans="7:7" hidden="1" x14ac:dyDescent="0.2">
      <c r="G5881" s="401"/>
    </row>
    <row r="5882" spans="7:7" hidden="1" x14ac:dyDescent="0.2">
      <c r="G5882" s="401"/>
    </row>
    <row r="5883" spans="7:7" hidden="1" x14ac:dyDescent="0.2">
      <c r="G5883" s="401"/>
    </row>
    <row r="5884" spans="7:7" hidden="1" x14ac:dyDescent="0.2">
      <c r="G5884" s="401"/>
    </row>
    <row r="5885" spans="7:7" hidden="1" x14ac:dyDescent="0.2">
      <c r="G5885" s="401"/>
    </row>
    <row r="5886" spans="7:7" hidden="1" x14ac:dyDescent="0.2">
      <c r="G5886" s="401"/>
    </row>
    <row r="5887" spans="7:7" hidden="1" x14ac:dyDescent="0.2">
      <c r="G5887" s="401"/>
    </row>
    <row r="5888" spans="7:7" hidden="1" x14ac:dyDescent="0.2">
      <c r="G5888" s="401"/>
    </row>
    <row r="5889" spans="7:7" hidden="1" x14ac:dyDescent="0.2">
      <c r="G5889" s="401"/>
    </row>
    <row r="5890" spans="7:7" hidden="1" x14ac:dyDescent="0.2">
      <c r="G5890" s="401"/>
    </row>
    <row r="5891" spans="7:7" hidden="1" x14ac:dyDescent="0.2">
      <c r="G5891" s="401"/>
    </row>
    <row r="5892" spans="7:7" hidden="1" x14ac:dyDescent="0.2">
      <c r="G5892" s="401"/>
    </row>
    <row r="5893" spans="7:7" hidden="1" x14ac:dyDescent="0.2">
      <c r="G5893" s="401"/>
    </row>
    <row r="5894" spans="7:7" hidden="1" x14ac:dyDescent="0.2">
      <c r="G5894" s="401"/>
    </row>
    <row r="5895" spans="7:7" hidden="1" x14ac:dyDescent="0.2">
      <c r="G5895" s="401"/>
    </row>
    <row r="5896" spans="7:7" hidden="1" x14ac:dyDescent="0.2">
      <c r="G5896" s="401"/>
    </row>
    <row r="5897" spans="7:7" hidden="1" x14ac:dyDescent="0.2">
      <c r="G5897" s="401"/>
    </row>
    <row r="5898" spans="7:7" hidden="1" x14ac:dyDescent="0.2">
      <c r="G5898" s="401"/>
    </row>
    <row r="5899" spans="7:7" hidden="1" x14ac:dyDescent="0.2">
      <c r="G5899" s="401"/>
    </row>
    <row r="5900" spans="7:7" hidden="1" x14ac:dyDescent="0.2">
      <c r="G5900" s="401"/>
    </row>
    <row r="5901" spans="7:7" hidden="1" x14ac:dyDescent="0.2">
      <c r="G5901" s="401"/>
    </row>
    <row r="5902" spans="7:7" hidden="1" x14ac:dyDescent="0.2">
      <c r="G5902" s="401"/>
    </row>
    <row r="5903" spans="7:7" hidden="1" x14ac:dyDescent="0.2">
      <c r="G5903" s="401"/>
    </row>
    <row r="5904" spans="7:7" hidden="1" x14ac:dyDescent="0.2">
      <c r="G5904" s="401"/>
    </row>
    <row r="5905" spans="7:7" hidden="1" x14ac:dyDescent="0.2">
      <c r="G5905" s="401"/>
    </row>
    <row r="5906" spans="7:7" hidden="1" x14ac:dyDescent="0.2">
      <c r="G5906" s="401"/>
    </row>
    <row r="5907" spans="7:7" hidden="1" x14ac:dyDescent="0.2">
      <c r="G5907" s="401"/>
    </row>
    <row r="5908" spans="7:7" hidden="1" x14ac:dyDescent="0.2">
      <c r="G5908" s="401"/>
    </row>
    <row r="5909" spans="7:7" hidden="1" x14ac:dyDescent="0.2">
      <c r="G5909" s="401"/>
    </row>
    <row r="5910" spans="7:7" hidden="1" x14ac:dyDescent="0.2">
      <c r="G5910" s="401"/>
    </row>
    <row r="5911" spans="7:7" hidden="1" x14ac:dyDescent="0.2">
      <c r="G5911" s="401"/>
    </row>
    <row r="5912" spans="7:7" hidden="1" x14ac:dyDescent="0.2">
      <c r="G5912" s="401"/>
    </row>
    <row r="5913" spans="7:7" hidden="1" x14ac:dyDescent="0.2">
      <c r="G5913" s="401"/>
    </row>
    <row r="5914" spans="7:7" hidden="1" x14ac:dyDescent="0.2">
      <c r="G5914" s="401"/>
    </row>
    <row r="5915" spans="7:7" hidden="1" x14ac:dyDescent="0.2">
      <c r="G5915" s="401"/>
    </row>
    <row r="5916" spans="7:7" hidden="1" x14ac:dyDescent="0.2">
      <c r="G5916" s="401"/>
    </row>
    <row r="5917" spans="7:7" hidden="1" x14ac:dyDescent="0.2">
      <c r="G5917" s="401"/>
    </row>
    <row r="5918" spans="7:7" hidden="1" x14ac:dyDescent="0.2">
      <c r="G5918" s="401"/>
    </row>
    <row r="5919" spans="7:7" hidden="1" x14ac:dyDescent="0.2">
      <c r="G5919" s="401"/>
    </row>
    <row r="5920" spans="7:7" hidden="1" x14ac:dyDescent="0.2">
      <c r="G5920" s="401"/>
    </row>
    <row r="5921" spans="7:7" hidden="1" x14ac:dyDescent="0.2">
      <c r="G5921" s="401"/>
    </row>
    <row r="5922" spans="7:7" hidden="1" x14ac:dyDescent="0.2">
      <c r="G5922" s="401"/>
    </row>
    <row r="5923" spans="7:7" hidden="1" x14ac:dyDescent="0.2">
      <c r="G5923" s="401"/>
    </row>
    <row r="5924" spans="7:7" hidden="1" x14ac:dyDescent="0.2">
      <c r="G5924" s="401"/>
    </row>
    <row r="5925" spans="7:7" hidden="1" x14ac:dyDescent="0.2">
      <c r="G5925" s="401"/>
    </row>
    <row r="5926" spans="7:7" hidden="1" x14ac:dyDescent="0.2">
      <c r="G5926" s="401"/>
    </row>
    <row r="5927" spans="7:7" hidden="1" x14ac:dyDescent="0.2">
      <c r="G5927" s="401"/>
    </row>
    <row r="5928" spans="7:7" hidden="1" x14ac:dyDescent="0.2">
      <c r="G5928" s="401"/>
    </row>
    <row r="5929" spans="7:7" hidden="1" x14ac:dyDescent="0.2">
      <c r="G5929" s="401"/>
    </row>
    <row r="5930" spans="7:7" hidden="1" x14ac:dyDescent="0.2">
      <c r="G5930" s="401"/>
    </row>
    <row r="5931" spans="7:7" hidden="1" x14ac:dyDescent="0.2">
      <c r="G5931" s="401"/>
    </row>
    <row r="5932" spans="7:7" hidden="1" x14ac:dyDescent="0.2">
      <c r="G5932" s="401"/>
    </row>
    <row r="5933" spans="7:7" hidden="1" x14ac:dyDescent="0.2">
      <c r="G5933" s="401"/>
    </row>
    <row r="5934" spans="7:7" hidden="1" x14ac:dyDescent="0.2">
      <c r="G5934" s="401"/>
    </row>
    <row r="5935" spans="7:7" hidden="1" x14ac:dyDescent="0.2">
      <c r="G5935" s="401"/>
    </row>
    <row r="5936" spans="7:7" hidden="1" x14ac:dyDescent="0.2">
      <c r="G5936" s="401"/>
    </row>
    <row r="5937" spans="7:7" hidden="1" x14ac:dyDescent="0.2">
      <c r="G5937" s="401"/>
    </row>
    <row r="5938" spans="7:7" hidden="1" x14ac:dyDescent="0.2">
      <c r="G5938" s="401"/>
    </row>
    <row r="5939" spans="7:7" hidden="1" x14ac:dyDescent="0.2">
      <c r="G5939" s="401"/>
    </row>
    <row r="5940" spans="7:7" hidden="1" x14ac:dyDescent="0.2">
      <c r="G5940" s="401"/>
    </row>
    <row r="5941" spans="7:7" hidden="1" x14ac:dyDescent="0.2">
      <c r="G5941" s="401"/>
    </row>
    <row r="5942" spans="7:7" hidden="1" x14ac:dyDescent="0.2">
      <c r="G5942" s="401"/>
    </row>
    <row r="5943" spans="7:7" hidden="1" x14ac:dyDescent="0.2">
      <c r="G5943" s="401"/>
    </row>
    <row r="5944" spans="7:7" hidden="1" x14ac:dyDescent="0.2">
      <c r="G5944" s="401"/>
    </row>
    <row r="5945" spans="7:7" hidden="1" x14ac:dyDescent="0.2">
      <c r="G5945" s="401"/>
    </row>
    <row r="5946" spans="7:7" hidden="1" x14ac:dyDescent="0.2">
      <c r="G5946" s="401"/>
    </row>
    <row r="5947" spans="7:7" hidden="1" x14ac:dyDescent="0.2">
      <c r="G5947" s="401"/>
    </row>
    <row r="5948" spans="7:7" hidden="1" x14ac:dyDescent="0.2">
      <c r="G5948" s="401"/>
    </row>
    <row r="5949" spans="7:7" hidden="1" x14ac:dyDescent="0.2">
      <c r="G5949" s="401"/>
    </row>
    <row r="5950" spans="7:7" hidden="1" x14ac:dyDescent="0.2">
      <c r="G5950" s="401"/>
    </row>
    <row r="5951" spans="7:7" hidden="1" x14ac:dyDescent="0.2">
      <c r="G5951" s="401"/>
    </row>
    <row r="5952" spans="7:7" hidden="1" x14ac:dyDescent="0.2">
      <c r="G5952" s="401"/>
    </row>
    <row r="5953" spans="7:7" hidden="1" x14ac:dyDescent="0.2">
      <c r="G5953" s="401"/>
    </row>
    <row r="5954" spans="7:7" hidden="1" x14ac:dyDescent="0.2">
      <c r="G5954" s="401"/>
    </row>
    <row r="5955" spans="7:7" hidden="1" x14ac:dyDescent="0.2">
      <c r="G5955" s="401"/>
    </row>
    <row r="5956" spans="7:7" hidden="1" x14ac:dyDescent="0.2">
      <c r="G5956" s="401"/>
    </row>
    <row r="5957" spans="7:7" hidden="1" x14ac:dyDescent="0.2">
      <c r="G5957" s="401"/>
    </row>
    <row r="5958" spans="7:7" hidden="1" x14ac:dyDescent="0.2">
      <c r="G5958" s="401"/>
    </row>
    <row r="5959" spans="7:7" hidden="1" x14ac:dyDescent="0.2">
      <c r="G5959" s="401"/>
    </row>
    <row r="5960" spans="7:7" hidden="1" x14ac:dyDescent="0.2">
      <c r="G5960" s="401"/>
    </row>
    <row r="5961" spans="7:7" hidden="1" x14ac:dyDescent="0.2">
      <c r="G5961" s="401"/>
    </row>
    <row r="5962" spans="7:7" hidden="1" x14ac:dyDescent="0.2">
      <c r="G5962" s="401"/>
    </row>
    <row r="5963" spans="7:7" hidden="1" x14ac:dyDescent="0.2">
      <c r="G5963" s="401"/>
    </row>
    <row r="5964" spans="7:7" hidden="1" x14ac:dyDescent="0.2">
      <c r="G5964" s="401"/>
    </row>
    <row r="5965" spans="7:7" hidden="1" x14ac:dyDescent="0.2">
      <c r="G5965" s="401"/>
    </row>
    <row r="5966" spans="7:7" hidden="1" x14ac:dyDescent="0.2">
      <c r="G5966" s="401"/>
    </row>
    <row r="5967" spans="7:7" hidden="1" x14ac:dyDescent="0.2">
      <c r="G5967" s="401"/>
    </row>
    <row r="5968" spans="7:7" hidden="1" x14ac:dyDescent="0.2">
      <c r="G5968" s="401"/>
    </row>
    <row r="5969" spans="7:7" hidden="1" x14ac:dyDescent="0.2">
      <c r="G5969" s="401"/>
    </row>
    <row r="5970" spans="7:7" hidden="1" x14ac:dyDescent="0.2">
      <c r="G5970" s="401"/>
    </row>
    <row r="5971" spans="7:7" hidden="1" x14ac:dyDescent="0.2">
      <c r="G5971" s="401"/>
    </row>
    <row r="5972" spans="7:7" hidden="1" x14ac:dyDescent="0.2">
      <c r="G5972" s="401"/>
    </row>
    <row r="5973" spans="7:7" hidden="1" x14ac:dyDescent="0.2">
      <c r="G5973" s="401"/>
    </row>
    <row r="5974" spans="7:7" hidden="1" x14ac:dyDescent="0.2">
      <c r="G5974" s="401"/>
    </row>
    <row r="5975" spans="7:7" hidden="1" x14ac:dyDescent="0.2">
      <c r="G5975" s="401"/>
    </row>
    <row r="5976" spans="7:7" hidden="1" x14ac:dyDescent="0.2">
      <c r="G5976" s="401"/>
    </row>
    <row r="5977" spans="7:7" hidden="1" x14ac:dyDescent="0.2">
      <c r="G5977" s="401"/>
    </row>
    <row r="5978" spans="7:7" hidden="1" x14ac:dyDescent="0.2">
      <c r="G5978" s="401"/>
    </row>
    <row r="5979" spans="7:7" hidden="1" x14ac:dyDescent="0.2">
      <c r="G5979" s="401"/>
    </row>
    <row r="5980" spans="7:7" hidden="1" x14ac:dyDescent="0.2">
      <c r="G5980" s="401"/>
    </row>
    <row r="5981" spans="7:7" hidden="1" x14ac:dyDescent="0.2">
      <c r="G5981" s="401"/>
    </row>
    <row r="5982" spans="7:7" hidden="1" x14ac:dyDescent="0.2">
      <c r="G5982" s="401"/>
    </row>
    <row r="5983" spans="7:7" hidden="1" x14ac:dyDescent="0.2">
      <c r="G5983" s="401"/>
    </row>
    <row r="5984" spans="7:7" hidden="1" x14ac:dyDescent="0.2">
      <c r="G5984" s="401"/>
    </row>
    <row r="5985" spans="7:7" hidden="1" x14ac:dyDescent="0.2">
      <c r="G5985" s="401"/>
    </row>
    <row r="5986" spans="7:7" hidden="1" x14ac:dyDescent="0.2">
      <c r="G5986" s="401"/>
    </row>
    <row r="5987" spans="7:7" hidden="1" x14ac:dyDescent="0.2">
      <c r="G5987" s="401"/>
    </row>
    <row r="5988" spans="7:7" hidden="1" x14ac:dyDescent="0.2">
      <c r="G5988" s="401"/>
    </row>
    <row r="5989" spans="7:7" hidden="1" x14ac:dyDescent="0.2">
      <c r="G5989" s="401"/>
    </row>
    <row r="5990" spans="7:7" hidden="1" x14ac:dyDescent="0.2">
      <c r="G5990" s="401"/>
    </row>
    <row r="5991" spans="7:7" hidden="1" x14ac:dyDescent="0.2">
      <c r="G5991" s="401"/>
    </row>
    <row r="5992" spans="7:7" hidden="1" x14ac:dyDescent="0.2">
      <c r="G5992" s="401"/>
    </row>
    <row r="5993" spans="7:7" hidden="1" x14ac:dyDescent="0.2">
      <c r="G5993" s="401"/>
    </row>
    <row r="5994" spans="7:7" hidden="1" x14ac:dyDescent="0.2">
      <c r="G5994" s="401"/>
    </row>
    <row r="5995" spans="7:7" hidden="1" x14ac:dyDescent="0.2">
      <c r="G5995" s="401"/>
    </row>
    <row r="5996" spans="7:7" hidden="1" x14ac:dyDescent="0.2">
      <c r="G5996" s="401"/>
    </row>
    <row r="5997" spans="7:7" hidden="1" x14ac:dyDescent="0.2">
      <c r="G5997" s="401"/>
    </row>
    <row r="5998" spans="7:7" hidden="1" x14ac:dyDescent="0.2">
      <c r="G5998" s="401"/>
    </row>
    <row r="5999" spans="7:7" hidden="1" x14ac:dyDescent="0.2">
      <c r="G5999" s="401"/>
    </row>
    <row r="6000" spans="7:7" hidden="1" x14ac:dyDescent="0.2">
      <c r="G6000" s="401"/>
    </row>
    <row r="6001" spans="7:7" hidden="1" x14ac:dyDescent="0.2">
      <c r="G6001" s="401"/>
    </row>
    <row r="6002" spans="7:7" hidden="1" x14ac:dyDescent="0.2">
      <c r="G6002" s="401"/>
    </row>
    <row r="6003" spans="7:7" hidden="1" x14ac:dyDescent="0.2">
      <c r="G6003" s="401"/>
    </row>
    <row r="6004" spans="7:7" hidden="1" x14ac:dyDescent="0.2">
      <c r="G6004" s="401"/>
    </row>
    <row r="6005" spans="7:7" hidden="1" x14ac:dyDescent="0.2">
      <c r="G6005" s="401"/>
    </row>
    <row r="6006" spans="7:7" hidden="1" x14ac:dyDescent="0.2">
      <c r="G6006" s="401"/>
    </row>
    <row r="6007" spans="7:7" hidden="1" x14ac:dyDescent="0.2">
      <c r="G6007" s="401"/>
    </row>
    <row r="6008" spans="7:7" hidden="1" x14ac:dyDescent="0.2">
      <c r="G6008" s="401"/>
    </row>
    <row r="6009" spans="7:7" hidden="1" x14ac:dyDescent="0.2">
      <c r="G6009" s="401"/>
    </row>
    <row r="6010" spans="7:7" hidden="1" x14ac:dyDescent="0.2">
      <c r="G6010" s="401"/>
    </row>
    <row r="6011" spans="7:7" hidden="1" x14ac:dyDescent="0.2">
      <c r="G6011" s="401"/>
    </row>
    <row r="6012" spans="7:7" hidden="1" x14ac:dyDescent="0.2">
      <c r="G6012" s="401"/>
    </row>
    <row r="6013" spans="7:7" hidden="1" x14ac:dyDescent="0.2">
      <c r="G6013" s="401"/>
    </row>
    <row r="6014" spans="7:7" hidden="1" x14ac:dyDescent="0.2">
      <c r="G6014" s="401"/>
    </row>
    <row r="6015" spans="7:7" hidden="1" x14ac:dyDescent="0.2">
      <c r="G6015" s="401"/>
    </row>
    <row r="6016" spans="7:7" hidden="1" x14ac:dyDescent="0.2">
      <c r="G6016" s="401"/>
    </row>
    <row r="6017" spans="7:7" hidden="1" x14ac:dyDescent="0.2">
      <c r="G6017" s="401"/>
    </row>
    <row r="6018" spans="7:7" hidden="1" x14ac:dyDescent="0.2">
      <c r="G6018" s="401"/>
    </row>
    <row r="6019" spans="7:7" hidden="1" x14ac:dyDescent="0.2">
      <c r="G6019" s="401"/>
    </row>
    <row r="6020" spans="7:7" hidden="1" x14ac:dyDescent="0.2">
      <c r="G6020" s="401"/>
    </row>
    <row r="6021" spans="7:7" hidden="1" x14ac:dyDescent="0.2">
      <c r="G6021" s="401"/>
    </row>
    <row r="6022" spans="7:7" hidden="1" x14ac:dyDescent="0.2">
      <c r="G6022" s="401"/>
    </row>
    <row r="6023" spans="7:7" hidden="1" x14ac:dyDescent="0.2">
      <c r="G6023" s="401"/>
    </row>
    <row r="6024" spans="7:7" hidden="1" x14ac:dyDescent="0.2">
      <c r="G6024" s="401"/>
    </row>
    <row r="6025" spans="7:7" hidden="1" x14ac:dyDescent="0.2">
      <c r="G6025" s="401"/>
    </row>
    <row r="6026" spans="7:7" hidden="1" x14ac:dyDescent="0.2">
      <c r="G6026" s="401"/>
    </row>
    <row r="6027" spans="7:7" hidden="1" x14ac:dyDescent="0.2">
      <c r="G6027" s="401"/>
    </row>
    <row r="6028" spans="7:7" hidden="1" x14ac:dyDescent="0.2">
      <c r="G6028" s="401"/>
    </row>
    <row r="6029" spans="7:7" hidden="1" x14ac:dyDescent="0.2">
      <c r="G6029" s="401"/>
    </row>
    <row r="6030" spans="7:7" hidden="1" x14ac:dyDescent="0.2">
      <c r="G6030" s="401"/>
    </row>
    <row r="6031" spans="7:7" hidden="1" x14ac:dyDescent="0.2">
      <c r="G6031" s="401"/>
    </row>
    <row r="6032" spans="7:7" hidden="1" x14ac:dyDescent="0.2">
      <c r="G6032" s="401"/>
    </row>
    <row r="6033" spans="7:7" hidden="1" x14ac:dyDescent="0.2">
      <c r="G6033" s="401"/>
    </row>
    <row r="6034" spans="7:7" hidden="1" x14ac:dyDescent="0.2">
      <c r="G6034" s="401"/>
    </row>
    <row r="6035" spans="7:7" hidden="1" x14ac:dyDescent="0.2">
      <c r="G6035" s="401"/>
    </row>
    <row r="6036" spans="7:7" hidden="1" x14ac:dyDescent="0.2">
      <c r="G6036" s="401"/>
    </row>
    <row r="6037" spans="7:7" hidden="1" x14ac:dyDescent="0.2">
      <c r="G6037" s="401"/>
    </row>
    <row r="6038" spans="7:7" hidden="1" x14ac:dyDescent="0.2">
      <c r="G6038" s="401"/>
    </row>
    <row r="6039" spans="7:7" hidden="1" x14ac:dyDescent="0.2">
      <c r="G6039" s="401"/>
    </row>
    <row r="6040" spans="7:7" hidden="1" x14ac:dyDescent="0.2">
      <c r="G6040" s="401"/>
    </row>
    <row r="6041" spans="7:7" hidden="1" x14ac:dyDescent="0.2">
      <c r="G6041" s="401"/>
    </row>
    <row r="6042" spans="7:7" hidden="1" x14ac:dyDescent="0.2">
      <c r="G6042" s="401"/>
    </row>
    <row r="6043" spans="7:7" hidden="1" x14ac:dyDescent="0.2">
      <c r="G6043" s="401"/>
    </row>
    <row r="6044" spans="7:7" hidden="1" x14ac:dyDescent="0.2">
      <c r="G6044" s="401"/>
    </row>
    <row r="6045" spans="7:7" hidden="1" x14ac:dyDescent="0.2">
      <c r="G6045" s="401"/>
    </row>
    <row r="6046" spans="7:7" hidden="1" x14ac:dyDescent="0.2">
      <c r="G6046" s="401"/>
    </row>
    <row r="6047" spans="7:7" hidden="1" x14ac:dyDescent="0.2">
      <c r="G6047" s="401"/>
    </row>
    <row r="6048" spans="7:7" hidden="1" x14ac:dyDescent="0.2">
      <c r="G6048" s="401"/>
    </row>
    <row r="6049" spans="7:7" hidden="1" x14ac:dyDescent="0.2">
      <c r="G6049" s="401"/>
    </row>
    <row r="6050" spans="7:7" hidden="1" x14ac:dyDescent="0.2">
      <c r="G6050" s="401"/>
    </row>
    <row r="6051" spans="7:7" hidden="1" x14ac:dyDescent="0.2">
      <c r="G6051" s="401"/>
    </row>
    <row r="6052" spans="7:7" hidden="1" x14ac:dyDescent="0.2">
      <c r="G6052" s="401"/>
    </row>
    <row r="6053" spans="7:7" hidden="1" x14ac:dyDescent="0.2">
      <c r="G6053" s="401"/>
    </row>
    <row r="6054" spans="7:7" hidden="1" x14ac:dyDescent="0.2">
      <c r="G6054" s="401"/>
    </row>
    <row r="6055" spans="7:7" hidden="1" x14ac:dyDescent="0.2">
      <c r="G6055" s="401"/>
    </row>
    <row r="6056" spans="7:7" hidden="1" x14ac:dyDescent="0.2">
      <c r="G6056" s="401"/>
    </row>
    <row r="6057" spans="7:7" hidden="1" x14ac:dyDescent="0.2">
      <c r="G6057" s="401"/>
    </row>
    <row r="6058" spans="7:7" hidden="1" x14ac:dyDescent="0.2">
      <c r="G6058" s="401"/>
    </row>
    <row r="6059" spans="7:7" hidden="1" x14ac:dyDescent="0.2">
      <c r="G6059" s="401"/>
    </row>
    <row r="6060" spans="7:7" hidden="1" x14ac:dyDescent="0.2">
      <c r="G6060" s="401"/>
    </row>
    <row r="6061" spans="7:7" hidden="1" x14ac:dyDescent="0.2">
      <c r="G6061" s="401"/>
    </row>
    <row r="6062" spans="7:7" hidden="1" x14ac:dyDescent="0.2">
      <c r="G6062" s="401"/>
    </row>
    <row r="6063" spans="7:7" hidden="1" x14ac:dyDescent="0.2">
      <c r="G6063" s="401"/>
    </row>
    <row r="6064" spans="7:7" hidden="1" x14ac:dyDescent="0.2">
      <c r="G6064" s="401"/>
    </row>
    <row r="6065" spans="7:7" hidden="1" x14ac:dyDescent="0.2">
      <c r="G6065" s="401"/>
    </row>
    <row r="6066" spans="7:7" hidden="1" x14ac:dyDescent="0.2">
      <c r="G6066" s="401"/>
    </row>
    <row r="6067" spans="7:7" hidden="1" x14ac:dyDescent="0.2">
      <c r="G6067" s="401"/>
    </row>
    <row r="6068" spans="7:7" hidden="1" x14ac:dyDescent="0.2">
      <c r="G6068" s="401"/>
    </row>
    <row r="6069" spans="7:7" hidden="1" x14ac:dyDescent="0.2">
      <c r="G6069" s="401"/>
    </row>
    <row r="6070" spans="7:7" hidden="1" x14ac:dyDescent="0.2">
      <c r="G6070" s="401"/>
    </row>
    <row r="6071" spans="7:7" hidden="1" x14ac:dyDescent="0.2">
      <c r="G6071" s="401"/>
    </row>
    <row r="6072" spans="7:7" hidden="1" x14ac:dyDescent="0.2">
      <c r="G6072" s="401"/>
    </row>
    <row r="6073" spans="7:7" hidden="1" x14ac:dyDescent="0.2">
      <c r="G6073" s="401"/>
    </row>
    <row r="6074" spans="7:7" hidden="1" x14ac:dyDescent="0.2">
      <c r="G6074" s="401"/>
    </row>
    <row r="6075" spans="7:7" hidden="1" x14ac:dyDescent="0.2">
      <c r="G6075" s="401"/>
    </row>
    <row r="6076" spans="7:7" hidden="1" x14ac:dyDescent="0.2">
      <c r="G6076" s="401"/>
    </row>
    <row r="6077" spans="7:7" hidden="1" x14ac:dyDescent="0.2">
      <c r="G6077" s="401"/>
    </row>
    <row r="6078" spans="7:7" hidden="1" x14ac:dyDescent="0.2">
      <c r="G6078" s="401"/>
    </row>
    <row r="6079" spans="7:7" hidden="1" x14ac:dyDescent="0.2">
      <c r="G6079" s="401"/>
    </row>
    <row r="6080" spans="7:7" hidden="1" x14ac:dyDescent="0.2">
      <c r="G6080" s="401"/>
    </row>
    <row r="6081" spans="7:7" hidden="1" x14ac:dyDescent="0.2">
      <c r="G6081" s="401"/>
    </row>
    <row r="6082" spans="7:7" hidden="1" x14ac:dyDescent="0.2">
      <c r="G6082" s="401"/>
    </row>
    <row r="6083" spans="7:7" hidden="1" x14ac:dyDescent="0.2">
      <c r="G6083" s="401"/>
    </row>
    <row r="6084" spans="7:7" hidden="1" x14ac:dyDescent="0.2">
      <c r="G6084" s="401"/>
    </row>
    <row r="6085" spans="7:7" hidden="1" x14ac:dyDescent="0.2">
      <c r="G6085" s="401"/>
    </row>
    <row r="6086" spans="7:7" hidden="1" x14ac:dyDescent="0.2">
      <c r="G6086" s="401"/>
    </row>
    <row r="6087" spans="7:7" hidden="1" x14ac:dyDescent="0.2">
      <c r="G6087" s="401"/>
    </row>
    <row r="6088" spans="7:7" hidden="1" x14ac:dyDescent="0.2">
      <c r="G6088" s="401"/>
    </row>
    <row r="6089" spans="7:7" hidden="1" x14ac:dyDescent="0.2">
      <c r="G6089" s="401"/>
    </row>
    <row r="6090" spans="7:7" hidden="1" x14ac:dyDescent="0.2">
      <c r="G6090" s="401"/>
    </row>
    <row r="6091" spans="7:7" hidden="1" x14ac:dyDescent="0.2">
      <c r="G6091" s="401"/>
    </row>
    <row r="6092" spans="7:7" hidden="1" x14ac:dyDescent="0.2">
      <c r="G6092" s="401"/>
    </row>
    <row r="6093" spans="7:7" hidden="1" x14ac:dyDescent="0.2">
      <c r="G6093" s="401"/>
    </row>
    <row r="6094" spans="7:7" hidden="1" x14ac:dyDescent="0.2">
      <c r="G6094" s="401"/>
    </row>
    <row r="6095" spans="7:7" hidden="1" x14ac:dyDescent="0.2">
      <c r="G6095" s="401"/>
    </row>
    <row r="6096" spans="7:7" hidden="1" x14ac:dyDescent="0.2">
      <c r="G6096" s="401"/>
    </row>
    <row r="6097" spans="7:7" hidden="1" x14ac:dyDescent="0.2">
      <c r="G6097" s="401"/>
    </row>
    <row r="6098" spans="7:7" hidden="1" x14ac:dyDescent="0.2">
      <c r="G6098" s="401"/>
    </row>
    <row r="6099" spans="7:7" hidden="1" x14ac:dyDescent="0.2">
      <c r="G6099" s="401"/>
    </row>
    <row r="6100" spans="7:7" hidden="1" x14ac:dyDescent="0.2">
      <c r="G6100" s="401"/>
    </row>
    <row r="6101" spans="7:7" hidden="1" x14ac:dyDescent="0.2">
      <c r="G6101" s="401"/>
    </row>
    <row r="6102" spans="7:7" hidden="1" x14ac:dyDescent="0.2">
      <c r="G6102" s="401"/>
    </row>
    <row r="6103" spans="7:7" hidden="1" x14ac:dyDescent="0.2">
      <c r="G6103" s="401"/>
    </row>
    <row r="6104" spans="7:7" hidden="1" x14ac:dyDescent="0.2">
      <c r="G6104" s="401"/>
    </row>
    <row r="6105" spans="7:7" hidden="1" x14ac:dyDescent="0.2">
      <c r="G6105" s="401"/>
    </row>
    <row r="6106" spans="7:7" hidden="1" x14ac:dyDescent="0.2">
      <c r="G6106" s="401"/>
    </row>
    <row r="6107" spans="7:7" hidden="1" x14ac:dyDescent="0.2">
      <c r="G6107" s="401"/>
    </row>
    <row r="6108" spans="7:7" hidden="1" x14ac:dyDescent="0.2">
      <c r="G6108" s="401"/>
    </row>
    <row r="6109" spans="7:7" hidden="1" x14ac:dyDescent="0.2">
      <c r="G6109" s="401"/>
    </row>
    <row r="6110" spans="7:7" hidden="1" x14ac:dyDescent="0.2">
      <c r="G6110" s="401"/>
    </row>
    <row r="6111" spans="7:7" hidden="1" x14ac:dyDescent="0.2">
      <c r="G6111" s="401"/>
    </row>
    <row r="6112" spans="7:7" hidden="1" x14ac:dyDescent="0.2">
      <c r="G6112" s="401"/>
    </row>
    <row r="6113" spans="7:7" hidden="1" x14ac:dyDescent="0.2">
      <c r="G6113" s="401"/>
    </row>
    <row r="6114" spans="7:7" hidden="1" x14ac:dyDescent="0.2">
      <c r="G6114" s="401"/>
    </row>
    <row r="6115" spans="7:7" hidden="1" x14ac:dyDescent="0.2">
      <c r="G6115" s="401"/>
    </row>
    <row r="6116" spans="7:7" hidden="1" x14ac:dyDescent="0.2">
      <c r="G6116" s="401"/>
    </row>
    <row r="6117" spans="7:7" hidden="1" x14ac:dyDescent="0.2">
      <c r="G6117" s="401"/>
    </row>
    <row r="6118" spans="7:7" hidden="1" x14ac:dyDescent="0.2">
      <c r="G6118" s="401"/>
    </row>
    <row r="6119" spans="7:7" hidden="1" x14ac:dyDescent="0.2">
      <c r="G6119" s="401"/>
    </row>
    <row r="6120" spans="7:7" hidden="1" x14ac:dyDescent="0.2">
      <c r="G6120" s="401"/>
    </row>
    <row r="6121" spans="7:7" hidden="1" x14ac:dyDescent="0.2">
      <c r="G6121" s="401"/>
    </row>
    <row r="6122" spans="7:7" hidden="1" x14ac:dyDescent="0.2">
      <c r="G6122" s="401"/>
    </row>
    <row r="6123" spans="7:7" hidden="1" x14ac:dyDescent="0.2">
      <c r="G6123" s="401"/>
    </row>
    <row r="6124" spans="7:7" hidden="1" x14ac:dyDescent="0.2">
      <c r="G6124" s="401"/>
    </row>
    <row r="6125" spans="7:7" hidden="1" x14ac:dyDescent="0.2">
      <c r="G6125" s="401"/>
    </row>
    <row r="6126" spans="7:7" hidden="1" x14ac:dyDescent="0.2">
      <c r="G6126" s="401"/>
    </row>
    <row r="6127" spans="7:7" hidden="1" x14ac:dyDescent="0.2">
      <c r="G6127" s="401"/>
    </row>
    <row r="6128" spans="7:7" hidden="1" x14ac:dyDescent="0.2">
      <c r="G6128" s="401"/>
    </row>
    <row r="6129" spans="7:7" hidden="1" x14ac:dyDescent="0.2">
      <c r="G6129" s="401"/>
    </row>
    <row r="6130" spans="7:7" hidden="1" x14ac:dyDescent="0.2">
      <c r="G6130" s="401"/>
    </row>
    <row r="6131" spans="7:7" hidden="1" x14ac:dyDescent="0.2">
      <c r="G6131" s="401"/>
    </row>
    <row r="6132" spans="7:7" hidden="1" x14ac:dyDescent="0.2">
      <c r="G6132" s="401"/>
    </row>
    <row r="6133" spans="7:7" hidden="1" x14ac:dyDescent="0.2">
      <c r="G6133" s="401"/>
    </row>
    <row r="6134" spans="7:7" hidden="1" x14ac:dyDescent="0.2">
      <c r="G6134" s="401"/>
    </row>
    <row r="6135" spans="7:7" hidden="1" x14ac:dyDescent="0.2">
      <c r="G6135" s="401"/>
    </row>
    <row r="6136" spans="7:7" hidden="1" x14ac:dyDescent="0.2">
      <c r="G6136" s="401"/>
    </row>
    <row r="6137" spans="7:7" hidden="1" x14ac:dyDescent="0.2">
      <c r="G6137" s="401"/>
    </row>
    <row r="6138" spans="7:7" hidden="1" x14ac:dyDescent="0.2">
      <c r="G6138" s="401"/>
    </row>
    <row r="6139" spans="7:7" hidden="1" x14ac:dyDescent="0.2">
      <c r="G6139" s="401"/>
    </row>
    <row r="6140" spans="7:7" hidden="1" x14ac:dyDescent="0.2">
      <c r="G6140" s="401"/>
    </row>
    <row r="6141" spans="7:7" hidden="1" x14ac:dyDescent="0.2">
      <c r="G6141" s="401"/>
    </row>
    <row r="6142" spans="7:7" hidden="1" x14ac:dyDescent="0.2">
      <c r="G6142" s="401"/>
    </row>
    <row r="6143" spans="7:7" hidden="1" x14ac:dyDescent="0.2">
      <c r="G6143" s="401"/>
    </row>
    <row r="6144" spans="7:7" hidden="1" x14ac:dyDescent="0.2">
      <c r="G6144" s="401"/>
    </row>
    <row r="6145" spans="7:7" hidden="1" x14ac:dyDescent="0.2">
      <c r="G6145" s="401"/>
    </row>
    <row r="6146" spans="7:7" hidden="1" x14ac:dyDescent="0.2">
      <c r="G6146" s="401"/>
    </row>
    <row r="6147" spans="7:7" hidden="1" x14ac:dyDescent="0.2">
      <c r="G6147" s="401"/>
    </row>
    <row r="6148" spans="7:7" hidden="1" x14ac:dyDescent="0.2">
      <c r="G6148" s="401"/>
    </row>
    <row r="6149" spans="7:7" hidden="1" x14ac:dyDescent="0.2">
      <c r="G6149" s="401"/>
    </row>
    <row r="6150" spans="7:7" hidden="1" x14ac:dyDescent="0.2">
      <c r="G6150" s="401"/>
    </row>
    <row r="6151" spans="7:7" hidden="1" x14ac:dyDescent="0.2">
      <c r="G6151" s="401"/>
    </row>
    <row r="6152" spans="7:7" hidden="1" x14ac:dyDescent="0.2">
      <c r="G6152" s="401"/>
    </row>
    <row r="6153" spans="7:7" hidden="1" x14ac:dyDescent="0.2">
      <c r="G6153" s="401"/>
    </row>
    <row r="6154" spans="7:7" hidden="1" x14ac:dyDescent="0.2">
      <c r="G6154" s="401"/>
    </row>
    <row r="6155" spans="7:7" hidden="1" x14ac:dyDescent="0.2">
      <c r="G6155" s="401"/>
    </row>
    <row r="6156" spans="7:7" hidden="1" x14ac:dyDescent="0.2">
      <c r="G6156" s="401"/>
    </row>
    <row r="6157" spans="7:7" hidden="1" x14ac:dyDescent="0.2">
      <c r="G6157" s="401"/>
    </row>
    <row r="6158" spans="7:7" hidden="1" x14ac:dyDescent="0.2">
      <c r="G6158" s="401"/>
    </row>
    <row r="6159" spans="7:7" hidden="1" x14ac:dyDescent="0.2">
      <c r="G6159" s="401"/>
    </row>
    <row r="6160" spans="7:7" hidden="1" x14ac:dyDescent="0.2">
      <c r="G6160" s="401"/>
    </row>
    <row r="6161" spans="7:7" hidden="1" x14ac:dyDescent="0.2">
      <c r="G6161" s="401"/>
    </row>
    <row r="6162" spans="7:7" hidden="1" x14ac:dyDescent="0.2">
      <c r="G6162" s="401"/>
    </row>
    <row r="6163" spans="7:7" hidden="1" x14ac:dyDescent="0.2">
      <c r="G6163" s="401"/>
    </row>
    <row r="6164" spans="7:7" hidden="1" x14ac:dyDescent="0.2">
      <c r="G6164" s="401"/>
    </row>
    <row r="6165" spans="7:7" hidden="1" x14ac:dyDescent="0.2">
      <c r="G6165" s="401"/>
    </row>
    <row r="6166" spans="7:7" hidden="1" x14ac:dyDescent="0.2">
      <c r="G6166" s="401"/>
    </row>
    <row r="6167" spans="7:7" hidden="1" x14ac:dyDescent="0.2">
      <c r="G6167" s="401"/>
    </row>
    <row r="6168" spans="7:7" hidden="1" x14ac:dyDescent="0.2">
      <c r="G6168" s="401"/>
    </row>
    <row r="6169" spans="7:7" hidden="1" x14ac:dyDescent="0.2">
      <c r="G6169" s="401"/>
    </row>
    <row r="6170" spans="7:7" hidden="1" x14ac:dyDescent="0.2">
      <c r="G6170" s="401"/>
    </row>
    <row r="6171" spans="7:7" hidden="1" x14ac:dyDescent="0.2">
      <c r="G6171" s="401"/>
    </row>
    <row r="6172" spans="7:7" hidden="1" x14ac:dyDescent="0.2">
      <c r="G6172" s="401"/>
    </row>
    <row r="6173" spans="7:7" hidden="1" x14ac:dyDescent="0.2">
      <c r="G6173" s="401"/>
    </row>
    <row r="6174" spans="7:7" hidden="1" x14ac:dyDescent="0.2">
      <c r="G6174" s="401"/>
    </row>
    <row r="6175" spans="7:7" hidden="1" x14ac:dyDescent="0.2">
      <c r="G6175" s="401"/>
    </row>
    <row r="6176" spans="7:7" hidden="1" x14ac:dyDescent="0.2">
      <c r="G6176" s="401"/>
    </row>
    <row r="6177" spans="7:7" hidden="1" x14ac:dyDescent="0.2">
      <c r="G6177" s="401"/>
    </row>
    <row r="6178" spans="7:7" hidden="1" x14ac:dyDescent="0.2">
      <c r="G6178" s="401"/>
    </row>
    <row r="6179" spans="7:7" hidden="1" x14ac:dyDescent="0.2">
      <c r="G6179" s="401"/>
    </row>
    <row r="6180" spans="7:7" hidden="1" x14ac:dyDescent="0.2">
      <c r="G6180" s="401"/>
    </row>
    <row r="6181" spans="7:7" hidden="1" x14ac:dyDescent="0.2">
      <c r="G6181" s="401"/>
    </row>
    <row r="6182" spans="7:7" hidden="1" x14ac:dyDescent="0.2">
      <c r="G6182" s="401"/>
    </row>
    <row r="6183" spans="7:7" hidden="1" x14ac:dyDescent="0.2">
      <c r="G6183" s="401"/>
    </row>
    <row r="6184" spans="7:7" hidden="1" x14ac:dyDescent="0.2">
      <c r="G6184" s="401"/>
    </row>
    <row r="6185" spans="7:7" hidden="1" x14ac:dyDescent="0.2">
      <c r="G6185" s="401"/>
    </row>
    <row r="6186" spans="7:7" hidden="1" x14ac:dyDescent="0.2">
      <c r="G6186" s="401"/>
    </row>
    <row r="6187" spans="7:7" hidden="1" x14ac:dyDescent="0.2">
      <c r="G6187" s="401"/>
    </row>
    <row r="6188" spans="7:7" hidden="1" x14ac:dyDescent="0.2">
      <c r="G6188" s="401"/>
    </row>
    <row r="6189" spans="7:7" hidden="1" x14ac:dyDescent="0.2">
      <c r="G6189" s="401"/>
    </row>
    <row r="6190" spans="7:7" hidden="1" x14ac:dyDescent="0.2">
      <c r="G6190" s="401"/>
    </row>
    <row r="6191" spans="7:7" hidden="1" x14ac:dyDescent="0.2">
      <c r="G6191" s="401"/>
    </row>
    <row r="6192" spans="7:7" hidden="1" x14ac:dyDescent="0.2">
      <c r="G6192" s="401"/>
    </row>
    <row r="6193" spans="7:7" hidden="1" x14ac:dyDescent="0.2">
      <c r="G6193" s="401"/>
    </row>
    <row r="6194" spans="7:7" hidden="1" x14ac:dyDescent="0.2">
      <c r="G6194" s="401"/>
    </row>
    <row r="6195" spans="7:7" hidden="1" x14ac:dyDescent="0.2">
      <c r="G6195" s="401"/>
    </row>
    <row r="6196" spans="7:7" hidden="1" x14ac:dyDescent="0.2">
      <c r="G6196" s="401"/>
    </row>
    <row r="6197" spans="7:7" hidden="1" x14ac:dyDescent="0.2">
      <c r="G6197" s="401"/>
    </row>
    <row r="6198" spans="7:7" hidden="1" x14ac:dyDescent="0.2">
      <c r="G6198" s="401"/>
    </row>
    <row r="6199" spans="7:7" hidden="1" x14ac:dyDescent="0.2">
      <c r="G6199" s="401"/>
    </row>
    <row r="6200" spans="7:7" hidden="1" x14ac:dyDescent="0.2">
      <c r="G6200" s="401"/>
    </row>
    <row r="6201" spans="7:7" hidden="1" x14ac:dyDescent="0.2">
      <c r="G6201" s="401"/>
    </row>
    <row r="6202" spans="7:7" hidden="1" x14ac:dyDescent="0.2">
      <c r="G6202" s="401"/>
    </row>
    <row r="6203" spans="7:7" hidden="1" x14ac:dyDescent="0.2">
      <c r="G6203" s="401"/>
    </row>
    <row r="6204" spans="7:7" hidden="1" x14ac:dyDescent="0.2">
      <c r="G6204" s="401"/>
    </row>
    <row r="6205" spans="7:7" hidden="1" x14ac:dyDescent="0.2">
      <c r="G6205" s="401"/>
    </row>
    <row r="6206" spans="7:7" hidden="1" x14ac:dyDescent="0.2">
      <c r="G6206" s="401"/>
    </row>
    <row r="6207" spans="7:7" hidden="1" x14ac:dyDescent="0.2">
      <c r="G6207" s="401"/>
    </row>
    <row r="6208" spans="7:7" hidden="1" x14ac:dyDescent="0.2">
      <c r="G6208" s="401"/>
    </row>
    <row r="6209" spans="7:7" hidden="1" x14ac:dyDescent="0.2">
      <c r="G6209" s="401"/>
    </row>
    <row r="6210" spans="7:7" hidden="1" x14ac:dyDescent="0.2">
      <c r="G6210" s="401"/>
    </row>
    <row r="6211" spans="7:7" hidden="1" x14ac:dyDescent="0.2">
      <c r="G6211" s="401"/>
    </row>
    <row r="6212" spans="7:7" hidden="1" x14ac:dyDescent="0.2">
      <c r="G6212" s="401"/>
    </row>
    <row r="6213" spans="7:7" hidden="1" x14ac:dyDescent="0.2">
      <c r="G6213" s="401"/>
    </row>
    <row r="6214" spans="7:7" hidden="1" x14ac:dyDescent="0.2">
      <c r="G6214" s="401"/>
    </row>
    <row r="6215" spans="7:7" hidden="1" x14ac:dyDescent="0.2">
      <c r="G6215" s="401"/>
    </row>
    <row r="6216" spans="7:7" hidden="1" x14ac:dyDescent="0.2">
      <c r="G6216" s="401"/>
    </row>
    <row r="6217" spans="7:7" hidden="1" x14ac:dyDescent="0.2">
      <c r="G6217" s="401"/>
    </row>
    <row r="6218" spans="7:7" hidden="1" x14ac:dyDescent="0.2">
      <c r="G6218" s="401"/>
    </row>
    <row r="6219" spans="7:7" hidden="1" x14ac:dyDescent="0.2">
      <c r="G6219" s="401"/>
    </row>
    <row r="6220" spans="7:7" hidden="1" x14ac:dyDescent="0.2">
      <c r="G6220" s="401"/>
    </row>
    <row r="6221" spans="7:7" hidden="1" x14ac:dyDescent="0.2">
      <c r="G6221" s="401"/>
    </row>
    <row r="6222" spans="7:7" hidden="1" x14ac:dyDescent="0.2">
      <c r="G6222" s="401"/>
    </row>
    <row r="6223" spans="7:7" hidden="1" x14ac:dyDescent="0.2">
      <c r="G6223" s="401"/>
    </row>
    <row r="6224" spans="7:7" hidden="1" x14ac:dyDescent="0.2">
      <c r="G6224" s="401"/>
    </row>
    <row r="6225" spans="7:7" hidden="1" x14ac:dyDescent="0.2">
      <c r="G6225" s="401"/>
    </row>
    <row r="6226" spans="7:7" hidden="1" x14ac:dyDescent="0.2">
      <c r="G6226" s="401"/>
    </row>
    <row r="6227" spans="7:7" hidden="1" x14ac:dyDescent="0.2">
      <c r="G6227" s="401"/>
    </row>
    <row r="6228" spans="7:7" hidden="1" x14ac:dyDescent="0.2">
      <c r="G6228" s="401"/>
    </row>
    <row r="6229" spans="7:7" hidden="1" x14ac:dyDescent="0.2">
      <c r="G6229" s="401"/>
    </row>
    <row r="6230" spans="7:7" hidden="1" x14ac:dyDescent="0.2">
      <c r="G6230" s="401"/>
    </row>
    <row r="6231" spans="7:7" hidden="1" x14ac:dyDescent="0.2">
      <c r="G6231" s="401"/>
    </row>
    <row r="6232" spans="7:7" hidden="1" x14ac:dyDescent="0.2">
      <c r="G6232" s="401"/>
    </row>
    <row r="6233" spans="7:7" hidden="1" x14ac:dyDescent="0.2">
      <c r="G6233" s="401"/>
    </row>
    <row r="6234" spans="7:7" hidden="1" x14ac:dyDescent="0.2">
      <c r="G6234" s="401"/>
    </row>
    <row r="6235" spans="7:7" hidden="1" x14ac:dyDescent="0.2">
      <c r="G6235" s="401"/>
    </row>
    <row r="6236" spans="7:7" hidden="1" x14ac:dyDescent="0.2">
      <c r="G6236" s="401"/>
    </row>
    <row r="6237" spans="7:7" hidden="1" x14ac:dyDescent="0.2">
      <c r="G6237" s="401"/>
    </row>
    <row r="6238" spans="7:7" hidden="1" x14ac:dyDescent="0.2">
      <c r="G6238" s="401"/>
    </row>
    <row r="6239" spans="7:7" hidden="1" x14ac:dyDescent="0.2">
      <c r="G6239" s="401"/>
    </row>
    <row r="6240" spans="7:7" hidden="1" x14ac:dyDescent="0.2">
      <c r="G6240" s="401"/>
    </row>
    <row r="6241" spans="7:7" hidden="1" x14ac:dyDescent="0.2">
      <c r="G6241" s="401"/>
    </row>
    <row r="6242" spans="7:7" hidden="1" x14ac:dyDescent="0.2">
      <c r="G6242" s="401"/>
    </row>
    <row r="6243" spans="7:7" hidden="1" x14ac:dyDescent="0.2">
      <c r="G6243" s="401"/>
    </row>
    <row r="6244" spans="7:7" hidden="1" x14ac:dyDescent="0.2">
      <c r="G6244" s="401"/>
    </row>
    <row r="6245" spans="7:7" hidden="1" x14ac:dyDescent="0.2">
      <c r="G6245" s="401"/>
    </row>
    <row r="6246" spans="7:7" hidden="1" x14ac:dyDescent="0.2">
      <c r="G6246" s="401"/>
    </row>
    <row r="6247" spans="7:7" hidden="1" x14ac:dyDescent="0.2">
      <c r="G6247" s="401"/>
    </row>
    <row r="6248" spans="7:7" hidden="1" x14ac:dyDescent="0.2">
      <c r="G6248" s="401"/>
    </row>
    <row r="6249" spans="7:7" hidden="1" x14ac:dyDescent="0.2">
      <c r="G6249" s="401"/>
    </row>
    <row r="6250" spans="7:7" hidden="1" x14ac:dyDescent="0.2">
      <c r="G6250" s="401"/>
    </row>
    <row r="6251" spans="7:7" hidden="1" x14ac:dyDescent="0.2">
      <c r="G6251" s="401"/>
    </row>
    <row r="6252" spans="7:7" hidden="1" x14ac:dyDescent="0.2">
      <c r="G6252" s="401"/>
    </row>
    <row r="6253" spans="7:7" hidden="1" x14ac:dyDescent="0.2">
      <c r="G6253" s="401"/>
    </row>
    <row r="6254" spans="7:7" hidden="1" x14ac:dyDescent="0.2">
      <c r="G6254" s="401"/>
    </row>
    <row r="6255" spans="7:7" hidden="1" x14ac:dyDescent="0.2">
      <c r="G6255" s="401"/>
    </row>
    <row r="6256" spans="7:7" hidden="1" x14ac:dyDescent="0.2">
      <c r="G6256" s="401"/>
    </row>
    <row r="6257" spans="7:7" hidden="1" x14ac:dyDescent="0.2">
      <c r="G6257" s="401"/>
    </row>
    <row r="6258" spans="7:7" hidden="1" x14ac:dyDescent="0.2">
      <c r="G6258" s="401"/>
    </row>
    <row r="6259" spans="7:7" hidden="1" x14ac:dyDescent="0.2">
      <c r="G6259" s="401"/>
    </row>
    <row r="6260" spans="7:7" hidden="1" x14ac:dyDescent="0.2">
      <c r="G6260" s="401"/>
    </row>
    <row r="6261" spans="7:7" hidden="1" x14ac:dyDescent="0.2">
      <c r="G6261" s="401"/>
    </row>
    <row r="6262" spans="7:7" hidden="1" x14ac:dyDescent="0.2">
      <c r="G6262" s="401"/>
    </row>
    <row r="6263" spans="7:7" hidden="1" x14ac:dyDescent="0.2">
      <c r="G6263" s="401"/>
    </row>
    <row r="6264" spans="7:7" hidden="1" x14ac:dyDescent="0.2">
      <c r="G6264" s="401"/>
    </row>
    <row r="6265" spans="7:7" hidden="1" x14ac:dyDescent="0.2">
      <c r="G6265" s="401"/>
    </row>
    <row r="6266" spans="7:7" hidden="1" x14ac:dyDescent="0.2">
      <c r="G6266" s="401"/>
    </row>
    <row r="6267" spans="7:7" hidden="1" x14ac:dyDescent="0.2">
      <c r="G6267" s="401"/>
    </row>
    <row r="6268" spans="7:7" hidden="1" x14ac:dyDescent="0.2">
      <c r="G6268" s="401"/>
    </row>
    <row r="6269" spans="7:7" hidden="1" x14ac:dyDescent="0.2">
      <c r="G6269" s="401"/>
    </row>
    <row r="6270" spans="7:7" hidden="1" x14ac:dyDescent="0.2">
      <c r="G6270" s="401"/>
    </row>
    <row r="6271" spans="7:7" hidden="1" x14ac:dyDescent="0.2">
      <c r="G6271" s="401"/>
    </row>
    <row r="6272" spans="7:7" hidden="1" x14ac:dyDescent="0.2">
      <c r="G6272" s="401"/>
    </row>
    <row r="6273" spans="7:7" hidden="1" x14ac:dyDescent="0.2">
      <c r="G6273" s="401"/>
    </row>
    <row r="6274" spans="7:7" hidden="1" x14ac:dyDescent="0.2">
      <c r="G6274" s="401"/>
    </row>
    <row r="6275" spans="7:7" hidden="1" x14ac:dyDescent="0.2">
      <c r="G6275" s="401"/>
    </row>
    <row r="6276" spans="7:7" hidden="1" x14ac:dyDescent="0.2">
      <c r="G6276" s="401"/>
    </row>
    <row r="6277" spans="7:7" hidden="1" x14ac:dyDescent="0.2">
      <c r="G6277" s="401"/>
    </row>
    <row r="6278" spans="7:7" hidden="1" x14ac:dyDescent="0.2">
      <c r="G6278" s="401"/>
    </row>
    <row r="6279" spans="7:7" hidden="1" x14ac:dyDescent="0.2">
      <c r="G6279" s="401"/>
    </row>
    <row r="6280" spans="7:7" hidden="1" x14ac:dyDescent="0.2">
      <c r="G6280" s="401"/>
    </row>
    <row r="6281" spans="7:7" hidden="1" x14ac:dyDescent="0.2">
      <c r="G6281" s="401"/>
    </row>
    <row r="6282" spans="7:7" hidden="1" x14ac:dyDescent="0.2">
      <c r="G6282" s="401"/>
    </row>
    <row r="6283" spans="7:7" hidden="1" x14ac:dyDescent="0.2">
      <c r="G6283" s="401"/>
    </row>
    <row r="6284" spans="7:7" hidden="1" x14ac:dyDescent="0.2">
      <c r="G6284" s="401"/>
    </row>
    <row r="6285" spans="7:7" hidden="1" x14ac:dyDescent="0.2">
      <c r="G6285" s="401"/>
    </row>
    <row r="6286" spans="7:7" hidden="1" x14ac:dyDescent="0.2">
      <c r="G6286" s="401"/>
    </row>
    <row r="6287" spans="7:7" hidden="1" x14ac:dyDescent="0.2">
      <c r="G6287" s="401"/>
    </row>
    <row r="6288" spans="7:7" hidden="1" x14ac:dyDescent="0.2">
      <c r="G6288" s="401"/>
    </row>
    <row r="6289" spans="7:7" hidden="1" x14ac:dyDescent="0.2">
      <c r="G6289" s="401"/>
    </row>
    <row r="6290" spans="7:7" hidden="1" x14ac:dyDescent="0.2">
      <c r="G6290" s="401"/>
    </row>
    <row r="6291" spans="7:7" hidden="1" x14ac:dyDescent="0.2">
      <c r="G6291" s="401"/>
    </row>
    <row r="6292" spans="7:7" hidden="1" x14ac:dyDescent="0.2">
      <c r="G6292" s="401"/>
    </row>
    <row r="6293" spans="7:7" hidden="1" x14ac:dyDescent="0.2">
      <c r="G6293" s="401"/>
    </row>
    <row r="6294" spans="7:7" hidden="1" x14ac:dyDescent="0.2">
      <c r="G6294" s="401"/>
    </row>
    <row r="6295" spans="7:7" hidden="1" x14ac:dyDescent="0.2">
      <c r="G6295" s="401"/>
    </row>
    <row r="6296" spans="7:7" hidden="1" x14ac:dyDescent="0.2">
      <c r="G6296" s="401"/>
    </row>
    <row r="6297" spans="7:7" hidden="1" x14ac:dyDescent="0.2">
      <c r="G6297" s="401"/>
    </row>
    <row r="6298" spans="7:7" hidden="1" x14ac:dyDescent="0.2">
      <c r="G6298" s="401"/>
    </row>
    <row r="6299" spans="7:7" hidden="1" x14ac:dyDescent="0.2">
      <c r="G6299" s="401"/>
    </row>
    <row r="6300" spans="7:7" hidden="1" x14ac:dyDescent="0.2">
      <c r="G6300" s="401"/>
    </row>
    <row r="6301" spans="7:7" hidden="1" x14ac:dyDescent="0.2">
      <c r="G6301" s="401"/>
    </row>
    <row r="6302" spans="7:7" hidden="1" x14ac:dyDescent="0.2">
      <c r="G6302" s="401"/>
    </row>
    <row r="6303" spans="7:7" hidden="1" x14ac:dyDescent="0.2">
      <c r="G6303" s="401"/>
    </row>
    <row r="6304" spans="7:7" hidden="1" x14ac:dyDescent="0.2">
      <c r="G6304" s="401"/>
    </row>
    <row r="6305" spans="7:7" hidden="1" x14ac:dyDescent="0.2">
      <c r="G6305" s="401"/>
    </row>
    <row r="6306" spans="7:7" hidden="1" x14ac:dyDescent="0.2">
      <c r="G6306" s="401"/>
    </row>
    <row r="6307" spans="7:7" hidden="1" x14ac:dyDescent="0.2">
      <c r="G6307" s="401"/>
    </row>
    <row r="6308" spans="7:7" hidden="1" x14ac:dyDescent="0.2">
      <c r="G6308" s="401"/>
    </row>
    <row r="6309" spans="7:7" hidden="1" x14ac:dyDescent="0.2">
      <c r="G6309" s="401"/>
    </row>
    <row r="6310" spans="7:7" hidden="1" x14ac:dyDescent="0.2">
      <c r="G6310" s="401"/>
    </row>
    <row r="6311" spans="7:7" hidden="1" x14ac:dyDescent="0.2">
      <c r="G6311" s="401"/>
    </row>
    <row r="6312" spans="7:7" hidden="1" x14ac:dyDescent="0.2">
      <c r="G6312" s="401"/>
    </row>
    <row r="6313" spans="7:7" hidden="1" x14ac:dyDescent="0.2">
      <c r="G6313" s="401"/>
    </row>
    <row r="6314" spans="7:7" hidden="1" x14ac:dyDescent="0.2">
      <c r="G6314" s="401"/>
    </row>
    <row r="6315" spans="7:7" hidden="1" x14ac:dyDescent="0.2">
      <c r="G6315" s="401"/>
    </row>
    <row r="6316" spans="7:7" hidden="1" x14ac:dyDescent="0.2">
      <c r="G6316" s="401"/>
    </row>
    <row r="6317" spans="7:7" hidden="1" x14ac:dyDescent="0.2">
      <c r="G6317" s="401"/>
    </row>
    <row r="6318" spans="7:7" hidden="1" x14ac:dyDescent="0.2">
      <c r="G6318" s="401"/>
    </row>
    <row r="6319" spans="7:7" hidden="1" x14ac:dyDescent="0.2">
      <c r="G6319" s="401"/>
    </row>
    <row r="6320" spans="7:7" hidden="1" x14ac:dyDescent="0.2">
      <c r="G6320" s="401"/>
    </row>
    <row r="6321" spans="7:7" hidden="1" x14ac:dyDescent="0.2">
      <c r="G6321" s="401"/>
    </row>
    <row r="6322" spans="7:7" hidden="1" x14ac:dyDescent="0.2">
      <c r="G6322" s="401"/>
    </row>
    <row r="6323" spans="7:7" hidden="1" x14ac:dyDescent="0.2">
      <c r="G6323" s="401"/>
    </row>
    <row r="6324" spans="7:7" hidden="1" x14ac:dyDescent="0.2">
      <c r="G6324" s="401"/>
    </row>
    <row r="6325" spans="7:7" hidden="1" x14ac:dyDescent="0.2">
      <c r="G6325" s="401"/>
    </row>
    <row r="6326" spans="7:7" hidden="1" x14ac:dyDescent="0.2">
      <c r="G6326" s="401"/>
    </row>
    <row r="6327" spans="7:7" hidden="1" x14ac:dyDescent="0.2">
      <c r="G6327" s="401"/>
    </row>
    <row r="6328" spans="7:7" hidden="1" x14ac:dyDescent="0.2">
      <c r="G6328" s="401"/>
    </row>
    <row r="6329" spans="7:7" hidden="1" x14ac:dyDescent="0.2">
      <c r="G6329" s="401"/>
    </row>
    <row r="6330" spans="7:7" hidden="1" x14ac:dyDescent="0.2">
      <c r="G6330" s="401"/>
    </row>
    <row r="6331" spans="7:7" hidden="1" x14ac:dyDescent="0.2">
      <c r="G6331" s="401"/>
    </row>
    <row r="6332" spans="7:7" hidden="1" x14ac:dyDescent="0.2">
      <c r="G6332" s="401"/>
    </row>
    <row r="6333" spans="7:7" hidden="1" x14ac:dyDescent="0.2">
      <c r="G6333" s="401"/>
    </row>
    <row r="6334" spans="7:7" hidden="1" x14ac:dyDescent="0.2">
      <c r="G6334" s="401"/>
    </row>
    <row r="6335" spans="7:7" hidden="1" x14ac:dyDescent="0.2">
      <c r="G6335" s="401"/>
    </row>
    <row r="6336" spans="7:7" hidden="1" x14ac:dyDescent="0.2">
      <c r="G6336" s="401"/>
    </row>
    <row r="6337" spans="7:7" hidden="1" x14ac:dyDescent="0.2">
      <c r="G6337" s="401"/>
    </row>
    <row r="6338" spans="7:7" hidden="1" x14ac:dyDescent="0.2">
      <c r="G6338" s="401"/>
    </row>
    <row r="6339" spans="7:7" hidden="1" x14ac:dyDescent="0.2">
      <c r="G6339" s="401"/>
    </row>
    <row r="6340" spans="7:7" hidden="1" x14ac:dyDescent="0.2">
      <c r="G6340" s="401"/>
    </row>
    <row r="6341" spans="7:7" hidden="1" x14ac:dyDescent="0.2">
      <c r="G6341" s="401"/>
    </row>
    <row r="6342" spans="7:7" hidden="1" x14ac:dyDescent="0.2">
      <c r="G6342" s="401"/>
    </row>
    <row r="6343" spans="7:7" hidden="1" x14ac:dyDescent="0.2">
      <c r="G6343" s="401"/>
    </row>
    <row r="6344" spans="7:7" hidden="1" x14ac:dyDescent="0.2">
      <c r="G6344" s="401"/>
    </row>
    <row r="6345" spans="7:7" hidden="1" x14ac:dyDescent="0.2">
      <c r="G6345" s="401"/>
    </row>
    <row r="6346" spans="7:7" hidden="1" x14ac:dyDescent="0.2">
      <c r="G6346" s="401"/>
    </row>
    <row r="6347" spans="7:7" hidden="1" x14ac:dyDescent="0.2">
      <c r="G6347" s="401"/>
    </row>
    <row r="6348" spans="7:7" hidden="1" x14ac:dyDescent="0.2">
      <c r="G6348" s="401"/>
    </row>
    <row r="6349" spans="7:7" hidden="1" x14ac:dyDescent="0.2">
      <c r="G6349" s="401"/>
    </row>
    <row r="6350" spans="7:7" hidden="1" x14ac:dyDescent="0.2">
      <c r="G6350" s="401"/>
    </row>
    <row r="6351" spans="7:7" hidden="1" x14ac:dyDescent="0.2">
      <c r="G6351" s="401"/>
    </row>
    <row r="6352" spans="7:7" hidden="1" x14ac:dyDescent="0.2">
      <c r="G6352" s="401"/>
    </row>
    <row r="6353" spans="7:7" hidden="1" x14ac:dyDescent="0.2">
      <c r="G6353" s="401"/>
    </row>
    <row r="6354" spans="7:7" hidden="1" x14ac:dyDescent="0.2">
      <c r="G6354" s="401"/>
    </row>
    <row r="6355" spans="7:7" hidden="1" x14ac:dyDescent="0.2">
      <c r="G6355" s="401"/>
    </row>
    <row r="6356" spans="7:7" hidden="1" x14ac:dyDescent="0.2">
      <c r="G6356" s="401"/>
    </row>
    <row r="6357" spans="7:7" hidden="1" x14ac:dyDescent="0.2">
      <c r="G6357" s="401"/>
    </row>
    <row r="6358" spans="7:7" hidden="1" x14ac:dyDescent="0.2">
      <c r="G6358" s="401"/>
    </row>
    <row r="6359" spans="7:7" hidden="1" x14ac:dyDescent="0.2">
      <c r="G6359" s="401"/>
    </row>
    <row r="6360" spans="7:7" hidden="1" x14ac:dyDescent="0.2">
      <c r="G6360" s="401"/>
    </row>
    <row r="6361" spans="7:7" hidden="1" x14ac:dyDescent="0.2">
      <c r="G6361" s="401"/>
    </row>
    <row r="6362" spans="7:7" hidden="1" x14ac:dyDescent="0.2">
      <c r="G6362" s="401"/>
    </row>
    <row r="6363" spans="7:7" hidden="1" x14ac:dyDescent="0.2">
      <c r="G6363" s="401"/>
    </row>
    <row r="6364" spans="7:7" hidden="1" x14ac:dyDescent="0.2">
      <c r="G6364" s="401"/>
    </row>
    <row r="6365" spans="7:7" hidden="1" x14ac:dyDescent="0.2">
      <c r="G6365" s="401"/>
    </row>
    <row r="6366" spans="7:7" hidden="1" x14ac:dyDescent="0.2">
      <c r="G6366" s="401"/>
    </row>
    <row r="6367" spans="7:7" hidden="1" x14ac:dyDescent="0.2">
      <c r="G6367" s="401"/>
    </row>
    <row r="6368" spans="7:7" hidden="1" x14ac:dyDescent="0.2">
      <c r="G6368" s="401"/>
    </row>
    <row r="6369" spans="7:7" hidden="1" x14ac:dyDescent="0.2">
      <c r="G6369" s="401"/>
    </row>
    <row r="6370" spans="7:7" hidden="1" x14ac:dyDescent="0.2">
      <c r="G6370" s="401"/>
    </row>
    <row r="6371" spans="7:7" hidden="1" x14ac:dyDescent="0.2">
      <c r="G6371" s="401"/>
    </row>
    <row r="6372" spans="7:7" hidden="1" x14ac:dyDescent="0.2">
      <c r="G6372" s="401"/>
    </row>
    <row r="6373" spans="7:7" hidden="1" x14ac:dyDescent="0.2">
      <c r="G6373" s="401"/>
    </row>
    <row r="6374" spans="7:7" hidden="1" x14ac:dyDescent="0.2">
      <c r="G6374" s="401"/>
    </row>
    <row r="6375" spans="7:7" hidden="1" x14ac:dyDescent="0.2">
      <c r="G6375" s="401"/>
    </row>
    <row r="6376" spans="7:7" hidden="1" x14ac:dyDescent="0.2">
      <c r="G6376" s="401"/>
    </row>
    <row r="6377" spans="7:7" hidden="1" x14ac:dyDescent="0.2">
      <c r="G6377" s="401"/>
    </row>
    <row r="6378" spans="7:7" hidden="1" x14ac:dyDescent="0.2">
      <c r="G6378" s="401"/>
    </row>
    <row r="6379" spans="7:7" hidden="1" x14ac:dyDescent="0.2">
      <c r="G6379" s="401"/>
    </row>
    <row r="6380" spans="7:7" hidden="1" x14ac:dyDescent="0.2">
      <c r="G6380" s="401"/>
    </row>
    <row r="6381" spans="7:7" hidden="1" x14ac:dyDescent="0.2">
      <c r="G6381" s="401"/>
    </row>
    <row r="6382" spans="7:7" hidden="1" x14ac:dyDescent="0.2">
      <c r="G6382" s="401"/>
    </row>
    <row r="6383" spans="7:7" hidden="1" x14ac:dyDescent="0.2">
      <c r="G6383" s="401"/>
    </row>
    <row r="6384" spans="7:7" hidden="1" x14ac:dyDescent="0.2">
      <c r="G6384" s="401"/>
    </row>
    <row r="6385" spans="7:7" hidden="1" x14ac:dyDescent="0.2">
      <c r="G6385" s="401"/>
    </row>
    <row r="6386" spans="7:7" hidden="1" x14ac:dyDescent="0.2">
      <c r="G6386" s="401"/>
    </row>
    <row r="6387" spans="7:7" hidden="1" x14ac:dyDescent="0.2">
      <c r="G6387" s="401"/>
    </row>
    <row r="6388" spans="7:7" hidden="1" x14ac:dyDescent="0.2">
      <c r="G6388" s="401"/>
    </row>
    <row r="6389" spans="7:7" hidden="1" x14ac:dyDescent="0.2">
      <c r="G6389" s="401"/>
    </row>
    <row r="6390" spans="7:7" hidden="1" x14ac:dyDescent="0.2">
      <c r="G6390" s="401"/>
    </row>
    <row r="6391" spans="7:7" hidden="1" x14ac:dyDescent="0.2">
      <c r="G6391" s="401"/>
    </row>
    <row r="6392" spans="7:7" hidden="1" x14ac:dyDescent="0.2">
      <c r="G6392" s="401"/>
    </row>
    <row r="6393" spans="7:7" hidden="1" x14ac:dyDescent="0.2">
      <c r="G6393" s="401"/>
    </row>
    <row r="6394" spans="7:7" hidden="1" x14ac:dyDescent="0.2">
      <c r="G6394" s="401"/>
    </row>
    <row r="6395" spans="7:7" hidden="1" x14ac:dyDescent="0.2">
      <c r="G6395" s="401"/>
    </row>
    <row r="6396" spans="7:7" hidden="1" x14ac:dyDescent="0.2">
      <c r="G6396" s="401"/>
    </row>
    <row r="6397" spans="7:7" hidden="1" x14ac:dyDescent="0.2">
      <c r="G6397" s="401"/>
    </row>
    <row r="6398" spans="7:7" hidden="1" x14ac:dyDescent="0.2">
      <c r="G6398" s="401"/>
    </row>
    <row r="6399" spans="7:7" hidden="1" x14ac:dyDescent="0.2">
      <c r="G6399" s="401"/>
    </row>
    <row r="6400" spans="7:7" hidden="1" x14ac:dyDescent="0.2">
      <c r="G6400" s="401"/>
    </row>
    <row r="6401" spans="7:7" hidden="1" x14ac:dyDescent="0.2">
      <c r="G6401" s="401"/>
    </row>
    <row r="6402" spans="7:7" hidden="1" x14ac:dyDescent="0.2">
      <c r="G6402" s="401"/>
    </row>
    <row r="6403" spans="7:7" hidden="1" x14ac:dyDescent="0.2">
      <c r="G6403" s="401"/>
    </row>
    <row r="6404" spans="7:7" hidden="1" x14ac:dyDescent="0.2">
      <c r="G6404" s="401"/>
    </row>
    <row r="6405" spans="7:7" hidden="1" x14ac:dyDescent="0.2">
      <c r="G6405" s="401"/>
    </row>
    <row r="6406" spans="7:7" hidden="1" x14ac:dyDescent="0.2">
      <c r="G6406" s="401"/>
    </row>
    <row r="6407" spans="7:7" hidden="1" x14ac:dyDescent="0.2">
      <c r="G6407" s="401"/>
    </row>
    <row r="6408" spans="7:7" hidden="1" x14ac:dyDescent="0.2">
      <c r="G6408" s="401"/>
    </row>
    <row r="6409" spans="7:7" hidden="1" x14ac:dyDescent="0.2">
      <c r="G6409" s="401"/>
    </row>
    <row r="6410" spans="7:7" hidden="1" x14ac:dyDescent="0.2">
      <c r="G6410" s="401"/>
    </row>
    <row r="6411" spans="7:7" hidden="1" x14ac:dyDescent="0.2">
      <c r="G6411" s="401"/>
    </row>
    <row r="6412" spans="7:7" hidden="1" x14ac:dyDescent="0.2">
      <c r="G6412" s="401"/>
    </row>
    <row r="6413" spans="7:7" hidden="1" x14ac:dyDescent="0.2">
      <c r="G6413" s="401"/>
    </row>
    <row r="6414" spans="7:7" hidden="1" x14ac:dyDescent="0.2">
      <c r="G6414" s="401"/>
    </row>
    <row r="6415" spans="7:7" hidden="1" x14ac:dyDescent="0.2">
      <c r="G6415" s="401"/>
    </row>
    <row r="6416" spans="7:7" hidden="1" x14ac:dyDescent="0.2">
      <c r="G6416" s="401"/>
    </row>
    <row r="6417" spans="7:7" hidden="1" x14ac:dyDescent="0.2">
      <c r="G6417" s="401"/>
    </row>
    <row r="6418" spans="7:7" hidden="1" x14ac:dyDescent="0.2">
      <c r="G6418" s="401"/>
    </row>
    <row r="6419" spans="7:7" hidden="1" x14ac:dyDescent="0.2">
      <c r="G6419" s="401"/>
    </row>
    <row r="6420" spans="7:7" hidden="1" x14ac:dyDescent="0.2">
      <c r="G6420" s="401"/>
    </row>
    <row r="6421" spans="7:7" hidden="1" x14ac:dyDescent="0.2">
      <c r="G6421" s="401"/>
    </row>
    <row r="6422" spans="7:7" hidden="1" x14ac:dyDescent="0.2">
      <c r="G6422" s="401"/>
    </row>
    <row r="6423" spans="7:7" hidden="1" x14ac:dyDescent="0.2">
      <c r="G6423" s="401"/>
    </row>
    <row r="6424" spans="7:7" hidden="1" x14ac:dyDescent="0.2">
      <c r="G6424" s="401"/>
    </row>
    <row r="6425" spans="7:7" hidden="1" x14ac:dyDescent="0.2">
      <c r="G6425" s="401"/>
    </row>
    <row r="6426" spans="7:7" hidden="1" x14ac:dyDescent="0.2">
      <c r="G6426" s="401"/>
    </row>
    <row r="6427" spans="7:7" hidden="1" x14ac:dyDescent="0.2">
      <c r="G6427" s="401"/>
    </row>
    <row r="6428" spans="7:7" hidden="1" x14ac:dyDescent="0.2">
      <c r="G6428" s="401"/>
    </row>
    <row r="6429" spans="7:7" hidden="1" x14ac:dyDescent="0.2">
      <c r="G6429" s="401"/>
    </row>
    <row r="6430" spans="7:7" hidden="1" x14ac:dyDescent="0.2">
      <c r="G6430" s="401"/>
    </row>
    <row r="6431" spans="7:7" hidden="1" x14ac:dyDescent="0.2">
      <c r="G6431" s="401"/>
    </row>
    <row r="6432" spans="7:7" hidden="1" x14ac:dyDescent="0.2">
      <c r="G6432" s="401"/>
    </row>
    <row r="6433" spans="7:7" hidden="1" x14ac:dyDescent="0.2">
      <c r="G6433" s="401"/>
    </row>
    <row r="6434" spans="7:7" hidden="1" x14ac:dyDescent="0.2">
      <c r="G6434" s="401"/>
    </row>
    <row r="6435" spans="7:7" hidden="1" x14ac:dyDescent="0.2">
      <c r="G6435" s="401"/>
    </row>
    <row r="6436" spans="7:7" hidden="1" x14ac:dyDescent="0.2">
      <c r="G6436" s="401"/>
    </row>
    <row r="6437" spans="7:7" hidden="1" x14ac:dyDescent="0.2">
      <c r="G6437" s="401"/>
    </row>
    <row r="6438" spans="7:7" hidden="1" x14ac:dyDescent="0.2">
      <c r="G6438" s="401"/>
    </row>
    <row r="6439" spans="7:7" hidden="1" x14ac:dyDescent="0.2">
      <c r="G6439" s="401"/>
    </row>
    <row r="6440" spans="7:7" hidden="1" x14ac:dyDescent="0.2">
      <c r="G6440" s="401"/>
    </row>
    <row r="6441" spans="7:7" hidden="1" x14ac:dyDescent="0.2">
      <c r="G6441" s="401"/>
    </row>
    <row r="6442" spans="7:7" hidden="1" x14ac:dyDescent="0.2">
      <c r="G6442" s="401"/>
    </row>
    <row r="6443" spans="7:7" hidden="1" x14ac:dyDescent="0.2">
      <c r="G6443" s="401"/>
    </row>
    <row r="6444" spans="7:7" hidden="1" x14ac:dyDescent="0.2">
      <c r="G6444" s="401"/>
    </row>
    <row r="6445" spans="7:7" hidden="1" x14ac:dyDescent="0.2">
      <c r="G6445" s="401"/>
    </row>
    <row r="6446" spans="7:7" hidden="1" x14ac:dyDescent="0.2">
      <c r="G6446" s="401"/>
    </row>
    <row r="6447" spans="7:7" hidden="1" x14ac:dyDescent="0.2">
      <c r="G6447" s="401"/>
    </row>
    <row r="6448" spans="7:7" hidden="1" x14ac:dyDescent="0.2">
      <c r="G6448" s="401"/>
    </row>
    <row r="6449" spans="7:7" hidden="1" x14ac:dyDescent="0.2">
      <c r="G6449" s="401"/>
    </row>
    <row r="6450" spans="7:7" hidden="1" x14ac:dyDescent="0.2">
      <c r="G6450" s="401"/>
    </row>
    <row r="6451" spans="7:7" hidden="1" x14ac:dyDescent="0.2">
      <c r="G6451" s="401"/>
    </row>
    <row r="6452" spans="7:7" hidden="1" x14ac:dyDescent="0.2">
      <c r="G6452" s="401"/>
    </row>
    <row r="6453" spans="7:7" hidden="1" x14ac:dyDescent="0.2">
      <c r="G6453" s="401"/>
    </row>
    <row r="6454" spans="7:7" hidden="1" x14ac:dyDescent="0.2">
      <c r="G6454" s="401"/>
    </row>
    <row r="6455" spans="7:7" hidden="1" x14ac:dyDescent="0.2">
      <c r="G6455" s="401"/>
    </row>
    <row r="6456" spans="7:7" hidden="1" x14ac:dyDescent="0.2">
      <c r="G6456" s="401"/>
    </row>
    <row r="6457" spans="7:7" hidden="1" x14ac:dyDescent="0.2">
      <c r="G6457" s="401"/>
    </row>
    <row r="6458" spans="7:7" hidden="1" x14ac:dyDescent="0.2">
      <c r="G6458" s="401"/>
    </row>
    <row r="6459" spans="7:7" hidden="1" x14ac:dyDescent="0.2">
      <c r="G6459" s="401"/>
    </row>
    <row r="6460" spans="7:7" hidden="1" x14ac:dyDescent="0.2">
      <c r="G6460" s="401"/>
    </row>
    <row r="6461" spans="7:7" hidden="1" x14ac:dyDescent="0.2">
      <c r="G6461" s="401"/>
    </row>
    <row r="6462" spans="7:7" hidden="1" x14ac:dyDescent="0.2">
      <c r="G6462" s="401"/>
    </row>
    <row r="6463" spans="7:7" hidden="1" x14ac:dyDescent="0.2">
      <c r="G6463" s="401"/>
    </row>
    <row r="6464" spans="7:7" hidden="1" x14ac:dyDescent="0.2">
      <c r="G6464" s="401"/>
    </row>
    <row r="6465" spans="7:7" hidden="1" x14ac:dyDescent="0.2">
      <c r="G6465" s="401"/>
    </row>
    <row r="6466" spans="7:7" hidden="1" x14ac:dyDescent="0.2">
      <c r="G6466" s="401"/>
    </row>
    <row r="6467" spans="7:7" hidden="1" x14ac:dyDescent="0.2">
      <c r="G6467" s="401"/>
    </row>
    <row r="6468" spans="7:7" hidden="1" x14ac:dyDescent="0.2">
      <c r="G6468" s="401"/>
    </row>
    <row r="6469" spans="7:7" hidden="1" x14ac:dyDescent="0.2">
      <c r="G6469" s="401"/>
    </row>
    <row r="6470" spans="7:7" hidden="1" x14ac:dyDescent="0.2">
      <c r="G6470" s="401"/>
    </row>
    <row r="6471" spans="7:7" hidden="1" x14ac:dyDescent="0.2">
      <c r="G6471" s="401"/>
    </row>
    <row r="6472" spans="7:7" hidden="1" x14ac:dyDescent="0.2">
      <c r="G6472" s="401"/>
    </row>
    <row r="6473" spans="7:7" hidden="1" x14ac:dyDescent="0.2">
      <c r="G6473" s="401"/>
    </row>
    <row r="6474" spans="7:7" hidden="1" x14ac:dyDescent="0.2">
      <c r="G6474" s="401"/>
    </row>
    <row r="6475" spans="7:7" hidden="1" x14ac:dyDescent="0.2">
      <c r="G6475" s="401"/>
    </row>
    <row r="6476" spans="7:7" hidden="1" x14ac:dyDescent="0.2">
      <c r="G6476" s="401"/>
    </row>
    <row r="6477" spans="7:7" hidden="1" x14ac:dyDescent="0.2">
      <c r="G6477" s="401"/>
    </row>
    <row r="6478" spans="7:7" hidden="1" x14ac:dyDescent="0.2">
      <c r="G6478" s="401"/>
    </row>
    <row r="6479" spans="7:7" hidden="1" x14ac:dyDescent="0.2">
      <c r="G6479" s="401"/>
    </row>
    <row r="6480" spans="7:7" hidden="1" x14ac:dyDescent="0.2">
      <c r="G6480" s="401"/>
    </row>
    <row r="6481" spans="7:7" hidden="1" x14ac:dyDescent="0.2">
      <c r="G6481" s="401"/>
    </row>
    <row r="6482" spans="7:7" hidden="1" x14ac:dyDescent="0.2">
      <c r="G6482" s="401"/>
    </row>
    <row r="6483" spans="7:7" hidden="1" x14ac:dyDescent="0.2">
      <c r="G6483" s="401"/>
    </row>
    <row r="6484" spans="7:7" hidden="1" x14ac:dyDescent="0.2">
      <c r="G6484" s="401"/>
    </row>
    <row r="6485" spans="7:7" hidden="1" x14ac:dyDescent="0.2">
      <c r="G6485" s="401"/>
    </row>
    <row r="6486" spans="7:7" hidden="1" x14ac:dyDescent="0.2">
      <c r="G6486" s="401"/>
    </row>
    <row r="6487" spans="7:7" hidden="1" x14ac:dyDescent="0.2">
      <c r="G6487" s="401"/>
    </row>
    <row r="6488" spans="7:7" hidden="1" x14ac:dyDescent="0.2">
      <c r="G6488" s="401"/>
    </row>
    <row r="6489" spans="7:7" hidden="1" x14ac:dyDescent="0.2">
      <c r="G6489" s="401"/>
    </row>
    <row r="6490" spans="7:7" hidden="1" x14ac:dyDescent="0.2">
      <c r="G6490" s="401"/>
    </row>
    <row r="6491" spans="7:7" hidden="1" x14ac:dyDescent="0.2">
      <c r="G6491" s="401"/>
    </row>
    <row r="6492" spans="7:7" hidden="1" x14ac:dyDescent="0.2">
      <c r="G6492" s="401"/>
    </row>
    <row r="6493" spans="7:7" hidden="1" x14ac:dyDescent="0.2">
      <c r="G6493" s="401"/>
    </row>
    <row r="6494" spans="7:7" hidden="1" x14ac:dyDescent="0.2">
      <c r="G6494" s="401"/>
    </row>
    <row r="6495" spans="7:7" hidden="1" x14ac:dyDescent="0.2">
      <c r="G6495" s="401"/>
    </row>
    <row r="6496" spans="7:7" hidden="1" x14ac:dyDescent="0.2">
      <c r="G6496" s="401"/>
    </row>
    <row r="6497" spans="7:7" hidden="1" x14ac:dyDescent="0.2">
      <c r="G6497" s="401"/>
    </row>
    <row r="6498" spans="7:7" hidden="1" x14ac:dyDescent="0.2">
      <c r="G6498" s="401"/>
    </row>
    <row r="6499" spans="7:7" hidden="1" x14ac:dyDescent="0.2">
      <c r="G6499" s="401"/>
    </row>
    <row r="6500" spans="7:7" hidden="1" x14ac:dyDescent="0.2">
      <c r="G6500" s="401"/>
    </row>
    <row r="6501" spans="7:7" hidden="1" x14ac:dyDescent="0.2">
      <c r="G6501" s="401"/>
    </row>
    <row r="6502" spans="7:7" hidden="1" x14ac:dyDescent="0.2">
      <c r="G6502" s="401"/>
    </row>
    <row r="6503" spans="7:7" hidden="1" x14ac:dyDescent="0.2">
      <c r="G6503" s="401"/>
    </row>
    <row r="6504" spans="7:7" hidden="1" x14ac:dyDescent="0.2">
      <c r="G6504" s="401"/>
    </row>
    <row r="6505" spans="7:7" hidden="1" x14ac:dyDescent="0.2">
      <c r="G6505" s="401"/>
    </row>
    <row r="6506" spans="7:7" hidden="1" x14ac:dyDescent="0.2">
      <c r="G6506" s="401"/>
    </row>
    <row r="6507" spans="7:7" hidden="1" x14ac:dyDescent="0.2">
      <c r="G6507" s="401"/>
    </row>
    <row r="6508" spans="7:7" hidden="1" x14ac:dyDescent="0.2">
      <c r="G6508" s="401"/>
    </row>
    <row r="6509" spans="7:7" hidden="1" x14ac:dyDescent="0.2">
      <c r="G6509" s="401"/>
    </row>
    <row r="6510" spans="7:7" hidden="1" x14ac:dyDescent="0.2">
      <c r="G6510" s="401"/>
    </row>
    <row r="6511" spans="7:7" hidden="1" x14ac:dyDescent="0.2">
      <c r="G6511" s="401"/>
    </row>
    <row r="6512" spans="7:7" hidden="1" x14ac:dyDescent="0.2">
      <c r="G6512" s="401"/>
    </row>
    <row r="6513" spans="7:7" hidden="1" x14ac:dyDescent="0.2">
      <c r="G6513" s="401"/>
    </row>
    <row r="6514" spans="7:7" hidden="1" x14ac:dyDescent="0.2">
      <c r="G6514" s="401"/>
    </row>
    <row r="6515" spans="7:7" hidden="1" x14ac:dyDescent="0.2">
      <c r="G6515" s="401"/>
    </row>
    <row r="6516" spans="7:7" hidden="1" x14ac:dyDescent="0.2">
      <c r="G6516" s="401"/>
    </row>
    <row r="6517" spans="7:7" hidden="1" x14ac:dyDescent="0.2">
      <c r="G6517" s="401"/>
    </row>
    <row r="6518" spans="7:7" hidden="1" x14ac:dyDescent="0.2">
      <c r="G6518" s="401"/>
    </row>
    <row r="6519" spans="7:7" hidden="1" x14ac:dyDescent="0.2">
      <c r="G6519" s="401"/>
    </row>
    <row r="6520" spans="7:7" hidden="1" x14ac:dyDescent="0.2">
      <c r="G6520" s="401"/>
    </row>
    <row r="6521" spans="7:7" hidden="1" x14ac:dyDescent="0.2">
      <c r="G6521" s="401"/>
    </row>
    <row r="6522" spans="7:7" hidden="1" x14ac:dyDescent="0.2">
      <c r="G6522" s="401"/>
    </row>
    <row r="6523" spans="7:7" hidden="1" x14ac:dyDescent="0.2">
      <c r="G6523" s="401"/>
    </row>
    <row r="6524" spans="7:7" hidden="1" x14ac:dyDescent="0.2">
      <c r="G6524" s="401"/>
    </row>
    <row r="6525" spans="7:7" hidden="1" x14ac:dyDescent="0.2">
      <c r="G6525" s="401"/>
    </row>
    <row r="6526" spans="7:7" hidden="1" x14ac:dyDescent="0.2">
      <c r="G6526" s="401"/>
    </row>
    <row r="6527" spans="7:7" hidden="1" x14ac:dyDescent="0.2">
      <c r="G6527" s="401"/>
    </row>
    <row r="6528" spans="7:7" hidden="1" x14ac:dyDescent="0.2">
      <c r="G6528" s="401"/>
    </row>
    <row r="6529" spans="7:7" hidden="1" x14ac:dyDescent="0.2">
      <c r="G6529" s="401"/>
    </row>
    <row r="6530" spans="7:7" hidden="1" x14ac:dyDescent="0.2">
      <c r="G6530" s="401"/>
    </row>
    <row r="6531" spans="7:7" hidden="1" x14ac:dyDescent="0.2">
      <c r="G6531" s="401"/>
    </row>
    <row r="6532" spans="7:7" hidden="1" x14ac:dyDescent="0.2">
      <c r="G6532" s="401"/>
    </row>
    <row r="6533" spans="7:7" hidden="1" x14ac:dyDescent="0.2">
      <c r="G6533" s="401"/>
    </row>
    <row r="6534" spans="7:7" hidden="1" x14ac:dyDescent="0.2">
      <c r="G6534" s="401"/>
    </row>
    <row r="6535" spans="7:7" hidden="1" x14ac:dyDescent="0.2">
      <c r="G6535" s="401"/>
    </row>
    <row r="6536" spans="7:7" hidden="1" x14ac:dyDescent="0.2">
      <c r="G6536" s="401"/>
    </row>
    <row r="6537" spans="7:7" hidden="1" x14ac:dyDescent="0.2">
      <c r="G6537" s="401"/>
    </row>
    <row r="6538" spans="7:7" hidden="1" x14ac:dyDescent="0.2">
      <c r="G6538" s="401"/>
    </row>
    <row r="6539" spans="7:7" hidden="1" x14ac:dyDescent="0.2">
      <c r="G6539" s="401"/>
    </row>
    <row r="6540" spans="7:7" hidden="1" x14ac:dyDescent="0.2">
      <c r="G6540" s="401"/>
    </row>
    <row r="6541" spans="7:7" hidden="1" x14ac:dyDescent="0.2">
      <c r="G6541" s="401"/>
    </row>
    <row r="6542" spans="7:7" hidden="1" x14ac:dyDescent="0.2">
      <c r="G6542" s="401"/>
    </row>
    <row r="6543" spans="7:7" hidden="1" x14ac:dyDescent="0.2">
      <c r="G6543" s="401"/>
    </row>
    <row r="6544" spans="7:7" hidden="1" x14ac:dyDescent="0.2">
      <c r="G6544" s="401"/>
    </row>
    <row r="6545" spans="7:7" hidden="1" x14ac:dyDescent="0.2">
      <c r="G6545" s="401"/>
    </row>
    <row r="6546" spans="7:7" hidden="1" x14ac:dyDescent="0.2">
      <c r="G6546" s="401"/>
    </row>
    <row r="6547" spans="7:7" hidden="1" x14ac:dyDescent="0.2">
      <c r="G6547" s="401"/>
    </row>
    <row r="6548" spans="7:7" hidden="1" x14ac:dyDescent="0.2">
      <c r="G6548" s="401"/>
    </row>
    <row r="6549" spans="7:7" hidden="1" x14ac:dyDescent="0.2">
      <c r="G6549" s="401"/>
    </row>
    <row r="6550" spans="7:7" hidden="1" x14ac:dyDescent="0.2">
      <c r="G6550" s="401"/>
    </row>
    <row r="6551" spans="7:7" hidden="1" x14ac:dyDescent="0.2">
      <c r="G6551" s="401"/>
    </row>
    <row r="6552" spans="7:7" hidden="1" x14ac:dyDescent="0.2">
      <c r="G6552" s="401"/>
    </row>
    <row r="6553" spans="7:7" hidden="1" x14ac:dyDescent="0.2">
      <c r="G6553" s="401"/>
    </row>
    <row r="6554" spans="7:7" hidden="1" x14ac:dyDescent="0.2">
      <c r="G6554" s="401"/>
    </row>
    <row r="6555" spans="7:7" hidden="1" x14ac:dyDescent="0.2">
      <c r="G6555" s="401"/>
    </row>
    <row r="6556" spans="7:7" hidden="1" x14ac:dyDescent="0.2">
      <c r="G6556" s="401"/>
    </row>
    <row r="6557" spans="7:7" hidden="1" x14ac:dyDescent="0.2">
      <c r="G6557" s="401"/>
    </row>
    <row r="6558" spans="7:7" hidden="1" x14ac:dyDescent="0.2">
      <c r="G6558" s="401"/>
    </row>
    <row r="6559" spans="7:7" hidden="1" x14ac:dyDescent="0.2">
      <c r="G6559" s="401"/>
    </row>
    <row r="6560" spans="7:7" hidden="1" x14ac:dyDescent="0.2">
      <c r="G6560" s="401"/>
    </row>
    <row r="6561" spans="7:7" hidden="1" x14ac:dyDescent="0.2">
      <c r="G6561" s="401"/>
    </row>
    <row r="6562" spans="7:7" hidden="1" x14ac:dyDescent="0.2">
      <c r="G6562" s="401"/>
    </row>
    <row r="6563" spans="7:7" hidden="1" x14ac:dyDescent="0.2">
      <c r="G6563" s="401"/>
    </row>
    <row r="6564" spans="7:7" hidden="1" x14ac:dyDescent="0.2">
      <c r="G6564" s="401"/>
    </row>
    <row r="6565" spans="7:7" hidden="1" x14ac:dyDescent="0.2">
      <c r="G6565" s="401"/>
    </row>
    <row r="6566" spans="7:7" hidden="1" x14ac:dyDescent="0.2">
      <c r="G6566" s="401"/>
    </row>
    <row r="6567" spans="7:7" hidden="1" x14ac:dyDescent="0.2">
      <c r="G6567" s="401"/>
    </row>
    <row r="6568" spans="7:7" hidden="1" x14ac:dyDescent="0.2">
      <c r="G6568" s="401"/>
    </row>
    <row r="6569" spans="7:7" hidden="1" x14ac:dyDescent="0.2">
      <c r="G6569" s="401"/>
    </row>
    <row r="6570" spans="7:7" hidden="1" x14ac:dyDescent="0.2">
      <c r="G6570" s="401"/>
    </row>
    <row r="6571" spans="7:7" hidden="1" x14ac:dyDescent="0.2">
      <c r="G6571" s="401"/>
    </row>
    <row r="6572" spans="7:7" hidden="1" x14ac:dyDescent="0.2">
      <c r="G6572" s="401"/>
    </row>
    <row r="6573" spans="7:7" hidden="1" x14ac:dyDescent="0.2">
      <c r="G6573" s="401"/>
    </row>
    <row r="6574" spans="7:7" hidden="1" x14ac:dyDescent="0.2">
      <c r="G6574" s="401"/>
    </row>
    <row r="6575" spans="7:7" hidden="1" x14ac:dyDescent="0.2">
      <c r="G6575" s="401"/>
    </row>
    <row r="6576" spans="7:7" hidden="1" x14ac:dyDescent="0.2">
      <c r="G6576" s="401"/>
    </row>
    <row r="6577" spans="7:7" hidden="1" x14ac:dyDescent="0.2">
      <c r="G6577" s="401"/>
    </row>
    <row r="6578" spans="7:7" hidden="1" x14ac:dyDescent="0.2">
      <c r="G6578" s="401"/>
    </row>
    <row r="6579" spans="7:7" hidden="1" x14ac:dyDescent="0.2">
      <c r="G6579" s="401"/>
    </row>
    <row r="6580" spans="7:7" hidden="1" x14ac:dyDescent="0.2">
      <c r="G6580" s="401"/>
    </row>
    <row r="6581" spans="7:7" hidden="1" x14ac:dyDescent="0.2">
      <c r="G6581" s="401"/>
    </row>
    <row r="6582" spans="7:7" hidden="1" x14ac:dyDescent="0.2">
      <c r="G6582" s="401"/>
    </row>
    <row r="6583" spans="7:7" hidden="1" x14ac:dyDescent="0.2">
      <c r="G6583" s="401"/>
    </row>
    <row r="6584" spans="7:7" hidden="1" x14ac:dyDescent="0.2">
      <c r="G6584" s="401"/>
    </row>
    <row r="6585" spans="7:7" hidden="1" x14ac:dyDescent="0.2">
      <c r="G6585" s="401"/>
    </row>
    <row r="6586" spans="7:7" hidden="1" x14ac:dyDescent="0.2">
      <c r="G6586" s="401"/>
    </row>
    <row r="6587" spans="7:7" hidden="1" x14ac:dyDescent="0.2">
      <c r="G6587" s="401"/>
    </row>
    <row r="6588" spans="7:7" hidden="1" x14ac:dyDescent="0.2">
      <c r="G6588" s="401"/>
    </row>
    <row r="6589" spans="7:7" hidden="1" x14ac:dyDescent="0.2">
      <c r="G6589" s="401"/>
    </row>
    <row r="6590" spans="7:7" hidden="1" x14ac:dyDescent="0.2">
      <c r="G6590" s="401"/>
    </row>
    <row r="6591" spans="7:7" hidden="1" x14ac:dyDescent="0.2">
      <c r="G6591" s="401"/>
    </row>
    <row r="6592" spans="7:7" hidden="1" x14ac:dyDescent="0.2">
      <c r="G6592" s="401"/>
    </row>
    <row r="6593" spans="7:7" hidden="1" x14ac:dyDescent="0.2">
      <c r="G6593" s="401"/>
    </row>
    <row r="6594" spans="7:7" hidden="1" x14ac:dyDescent="0.2">
      <c r="G6594" s="401"/>
    </row>
    <row r="6595" spans="7:7" hidden="1" x14ac:dyDescent="0.2">
      <c r="G6595" s="401"/>
    </row>
    <row r="6596" spans="7:7" hidden="1" x14ac:dyDescent="0.2">
      <c r="G6596" s="401"/>
    </row>
    <row r="6597" spans="7:7" hidden="1" x14ac:dyDescent="0.2">
      <c r="G6597" s="401"/>
    </row>
    <row r="6598" spans="7:7" hidden="1" x14ac:dyDescent="0.2">
      <c r="G6598" s="401"/>
    </row>
    <row r="6599" spans="7:7" hidden="1" x14ac:dyDescent="0.2">
      <c r="G6599" s="401"/>
    </row>
    <row r="6600" spans="7:7" hidden="1" x14ac:dyDescent="0.2">
      <c r="G6600" s="401"/>
    </row>
    <row r="6601" spans="7:7" hidden="1" x14ac:dyDescent="0.2">
      <c r="G6601" s="401"/>
    </row>
    <row r="6602" spans="7:7" hidden="1" x14ac:dyDescent="0.2">
      <c r="G6602" s="401"/>
    </row>
    <row r="6603" spans="7:7" hidden="1" x14ac:dyDescent="0.2">
      <c r="G6603" s="401"/>
    </row>
    <row r="6604" spans="7:7" hidden="1" x14ac:dyDescent="0.2">
      <c r="G6604" s="401"/>
    </row>
    <row r="6605" spans="7:7" hidden="1" x14ac:dyDescent="0.2">
      <c r="G6605" s="401"/>
    </row>
    <row r="6606" spans="7:7" hidden="1" x14ac:dyDescent="0.2">
      <c r="G6606" s="401"/>
    </row>
    <row r="6607" spans="7:7" hidden="1" x14ac:dyDescent="0.2">
      <c r="G6607" s="401"/>
    </row>
    <row r="6608" spans="7:7" hidden="1" x14ac:dyDescent="0.2">
      <c r="G6608" s="401"/>
    </row>
    <row r="6609" spans="7:7" hidden="1" x14ac:dyDescent="0.2">
      <c r="G6609" s="401"/>
    </row>
    <row r="6610" spans="7:7" hidden="1" x14ac:dyDescent="0.2">
      <c r="G6610" s="401"/>
    </row>
    <row r="6611" spans="7:7" hidden="1" x14ac:dyDescent="0.2">
      <c r="G6611" s="401"/>
    </row>
    <row r="6612" spans="7:7" hidden="1" x14ac:dyDescent="0.2">
      <c r="G6612" s="401"/>
    </row>
    <row r="6613" spans="7:7" hidden="1" x14ac:dyDescent="0.2">
      <c r="G6613" s="401"/>
    </row>
    <row r="6614" spans="7:7" hidden="1" x14ac:dyDescent="0.2">
      <c r="G6614" s="401"/>
    </row>
    <row r="6615" spans="7:7" hidden="1" x14ac:dyDescent="0.2">
      <c r="G6615" s="401"/>
    </row>
    <row r="6616" spans="7:7" hidden="1" x14ac:dyDescent="0.2">
      <c r="G6616" s="401"/>
    </row>
    <row r="6617" spans="7:7" hidden="1" x14ac:dyDescent="0.2">
      <c r="G6617" s="401"/>
    </row>
    <row r="6618" spans="7:7" hidden="1" x14ac:dyDescent="0.2">
      <c r="G6618" s="401"/>
    </row>
    <row r="6619" spans="7:7" hidden="1" x14ac:dyDescent="0.2">
      <c r="G6619" s="401"/>
    </row>
    <row r="6620" spans="7:7" hidden="1" x14ac:dyDescent="0.2">
      <c r="G6620" s="401"/>
    </row>
    <row r="6621" spans="7:7" hidden="1" x14ac:dyDescent="0.2">
      <c r="G6621" s="401"/>
    </row>
    <row r="6622" spans="7:7" hidden="1" x14ac:dyDescent="0.2">
      <c r="G6622" s="401"/>
    </row>
    <row r="6623" spans="7:7" hidden="1" x14ac:dyDescent="0.2">
      <c r="G6623" s="401"/>
    </row>
    <row r="6624" spans="7:7" hidden="1" x14ac:dyDescent="0.2">
      <c r="G6624" s="401"/>
    </row>
    <row r="6625" spans="7:7" hidden="1" x14ac:dyDescent="0.2">
      <c r="G6625" s="401"/>
    </row>
    <row r="6626" spans="7:7" hidden="1" x14ac:dyDescent="0.2">
      <c r="G6626" s="401"/>
    </row>
    <row r="6627" spans="7:7" hidden="1" x14ac:dyDescent="0.2">
      <c r="G6627" s="401"/>
    </row>
    <row r="6628" spans="7:7" hidden="1" x14ac:dyDescent="0.2">
      <c r="G6628" s="401"/>
    </row>
    <row r="6629" spans="7:7" hidden="1" x14ac:dyDescent="0.2">
      <c r="G6629" s="401"/>
    </row>
    <row r="6630" spans="7:7" hidden="1" x14ac:dyDescent="0.2">
      <c r="G6630" s="401"/>
    </row>
    <row r="6631" spans="7:7" hidden="1" x14ac:dyDescent="0.2">
      <c r="G6631" s="401"/>
    </row>
    <row r="6632" spans="7:7" hidden="1" x14ac:dyDescent="0.2">
      <c r="G6632" s="401"/>
    </row>
    <row r="6633" spans="7:7" hidden="1" x14ac:dyDescent="0.2">
      <c r="G6633" s="401"/>
    </row>
    <row r="6634" spans="7:7" hidden="1" x14ac:dyDescent="0.2">
      <c r="G6634" s="401"/>
    </row>
    <row r="6635" spans="7:7" hidden="1" x14ac:dyDescent="0.2">
      <c r="G6635" s="401"/>
    </row>
    <row r="6636" spans="7:7" hidden="1" x14ac:dyDescent="0.2">
      <c r="G6636" s="401"/>
    </row>
    <row r="6637" spans="7:7" hidden="1" x14ac:dyDescent="0.2">
      <c r="G6637" s="401"/>
    </row>
    <row r="6638" spans="7:7" hidden="1" x14ac:dyDescent="0.2">
      <c r="G6638" s="401"/>
    </row>
    <row r="6639" spans="7:7" hidden="1" x14ac:dyDescent="0.2">
      <c r="G6639" s="401"/>
    </row>
    <row r="6640" spans="7:7" hidden="1" x14ac:dyDescent="0.2">
      <c r="G6640" s="401"/>
    </row>
    <row r="6641" spans="7:7" hidden="1" x14ac:dyDescent="0.2">
      <c r="G6641" s="401"/>
    </row>
    <row r="6642" spans="7:7" hidden="1" x14ac:dyDescent="0.2">
      <c r="G6642" s="401"/>
    </row>
    <row r="6643" spans="7:7" hidden="1" x14ac:dyDescent="0.2">
      <c r="G6643" s="401"/>
    </row>
    <row r="6644" spans="7:7" hidden="1" x14ac:dyDescent="0.2">
      <c r="G6644" s="401"/>
    </row>
    <row r="6645" spans="7:7" hidden="1" x14ac:dyDescent="0.2">
      <c r="G6645" s="401"/>
    </row>
    <row r="6646" spans="7:7" hidden="1" x14ac:dyDescent="0.2">
      <c r="G6646" s="401"/>
    </row>
    <row r="6647" spans="7:7" hidden="1" x14ac:dyDescent="0.2">
      <c r="G6647" s="401"/>
    </row>
    <row r="6648" spans="7:7" hidden="1" x14ac:dyDescent="0.2">
      <c r="G6648" s="401"/>
    </row>
    <row r="6649" spans="7:7" hidden="1" x14ac:dyDescent="0.2">
      <c r="G6649" s="401"/>
    </row>
    <row r="6650" spans="7:7" hidden="1" x14ac:dyDescent="0.2">
      <c r="G6650" s="401"/>
    </row>
    <row r="6651" spans="7:7" hidden="1" x14ac:dyDescent="0.2">
      <c r="G6651" s="401"/>
    </row>
    <row r="6652" spans="7:7" hidden="1" x14ac:dyDescent="0.2">
      <c r="G6652" s="401"/>
    </row>
    <row r="6653" spans="7:7" hidden="1" x14ac:dyDescent="0.2">
      <c r="G6653" s="401"/>
    </row>
    <row r="6654" spans="7:7" hidden="1" x14ac:dyDescent="0.2">
      <c r="G6654" s="401"/>
    </row>
    <row r="6655" spans="7:7" hidden="1" x14ac:dyDescent="0.2">
      <c r="G6655" s="401"/>
    </row>
    <row r="6656" spans="7:7" hidden="1" x14ac:dyDescent="0.2">
      <c r="G6656" s="401"/>
    </row>
    <row r="6657" spans="7:7" hidden="1" x14ac:dyDescent="0.2">
      <c r="G6657" s="401"/>
    </row>
    <row r="6658" spans="7:7" hidden="1" x14ac:dyDescent="0.2">
      <c r="G6658" s="401"/>
    </row>
    <row r="6659" spans="7:7" hidden="1" x14ac:dyDescent="0.2">
      <c r="G6659" s="401"/>
    </row>
    <row r="6660" spans="7:7" hidden="1" x14ac:dyDescent="0.2">
      <c r="G6660" s="401"/>
    </row>
    <row r="6661" spans="7:7" hidden="1" x14ac:dyDescent="0.2">
      <c r="G6661" s="401"/>
    </row>
    <row r="6662" spans="7:7" hidden="1" x14ac:dyDescent="0.2">
      <c r="G6662" s="401"/>
    </row>
    <row r="6663" spans="7:7" hidden="1" x14ac:dyDescent="0.2">
      <c r="G6663" s="401"/>
    </row>
    <row r="6664" spans="7:7" hidden="1" x14ac:dyDescent="0.2">
      <c r="G6664" s="401"/>
    </row>
    <row r="6665" spans="7:7" hidden="1" x14ac:dyDescent="0.2">
      <c r="G6665" s="401"/>
    </row>
    <row r="6666" spans="7:7" hidden="1" x14ac:dyDescent="0.2">
      <c r="G6666" s="401"/>
    </row>
    <row r="6667" spans="7:7" hidden="1" x14ac:dyDescent="0.2">
      <c r="G6667" s="401"/>
    </row>
    <row r="6668" spans="7:7" hidden="1" x14ac:dyDescent="0.2">
      <c r="G6668" s="401"/>
    </row>
    <row r="6669" spans="7:7" hidden="1" x14ac:dyDescent="0.2">
      <c r="G6669" s="401"/>
    </row>
    <row r="6670" spans="7:7" hidden="1" x14ac:dyDescent="0.2">
      <c r="G6670" s="401"/>
    </row>
    <row r="6671" spans="7:7" hidden="1" x14ac:dyDescent="0.2">
      <c r="G6671" s="401"/>
    </row>
    <row r="6672" spans="7:7" hidden="1" x14ac:dyDescent="0.2">
      <c r="G6672" s="401"/>
    </row>
    <row r="6673" spans="7:7" hidden="1" x14ac:dyDescent="0.2">
      <c r="G6673" s="401"/>
    </row>
    <row r="6674" spans="7:7" hidden="1" x14ac:dyDescent="0.2">
      <c r="G6674" s="401"/>
    </row>
    <row r="6675" spans="7:7" hidden="1" x14ac:dyDescent="0.2">
      <c r="G6675" s="401"/>
    </row>
    <row r="6676" spans="7:7" hidden="1" x14ac:dyDescent="0.2">
      <c r="G6676" s="401"/>
    </row>
    <row r="6677" spans="7:7" hidden="1" x14ac:dyDescent="0.2">
      <c r="G6677" s="401"/>
    </row>
    <row r="6678" spans="7:7" hidden="1" x14ac:dyDescent="0.2">
      <c r="G6678" s="401"/>
    </row>
    <row r="6679" spans="7:7" hidden="1" x14ac:dyDescent="0.2">
      <c r="G6679" s="401"/>
    </row>
    <row r="6680" spans="7:7" hidden="1" x14ac:dyDescent="0.2">
      <c r="G6680" s="401"/>
    </row>
    <row r="6681" spans="7:7" hidden="1" x14ac:dyDescent="0.2">
      <c r="G6681" s="401"/>
    </row>
    <row r="6682" spans="7:7" hidden="1" x14ac:dyDescent="0.2">
      <c r="G6682" s="401"/>
    </row>
    <row r="6683" spans="7:7" hidden="1" x14ac:dyDescent="0.2">
      <c r="G6683" s="401"/>
    </row>
    <row r="6684" spans="7:7" hidden="1" x14ac:dyDescent="0.2">
      <c r="G6684" s="401"/>
    </row>
    <row r="6685" spans="7:7" hidden="1" x14ac:dyDescent="0.2">
      <c r="G6685" s="401"/>
    </row>
    <row r="6686" spans="7:7" hidden="1" x14ac:dyDescent="0.2">
      <c r="G6686" s="401"/>
    </row>
    <row r="6687" spans="7:7" hidden="1" x14ac:dyDescent="0.2">
      <c r="G6687" s="401"/>
    </row>
    <row r="6688" spans="7:7" hidden="1" x14ac:dyDescent="0.2">
      <c r="G6688" s="401"/>
    </row>
    <row r="6689" spans="7:7" hidden="1" x14ac:dyDescent="0.2">
      <c r="G6689" s="401"/>
    </row>
    <row r="6690" spans="7:7" hidden="1" x14ac:dyDescent="0.2">
      <c r="G6690" s="401"/>
    </row>
    <row r="6691" spans="7:7" hidden="1" x14ac:dyDescent="0.2">
      <c r="G6691" s="401"/>
    </row>
    <row r="6692" spans="7:7" hidden="1" x14ac:dyDescent="0.2">
      <c r="G6692" s="401"/>
    </row>
    <row r="6693" spans="7:7" hidden="1" x14ac:dyDescent="0.2">
      <c r="G6693" s="401"/>
    </row>
    <row r="6694" spans="7:7" hidden="1" x14ac:dyDescent="0.2">
      <c r="G6694" s="401"/>
    </row>
    <row r="6695" spans="7:7" hidden="1" x14ac:dyDescent="0.2">
      <c r="G6695" s="401"/>
    </row>
    <row r="6696" spans="7:7" hidden="1" x14ac:dyDescent="0.2">
      <c r="G6696" s="401"/>
    </row>
    <row r="6697" spans="7:7" hidden="1" x14ac:dyDescent="0.2">
      <c r="G6697" s="401"/>
    </row>
    <row r="6698" spans="7:7" hidden="1" x14ac:dyDescent="0.2">
      <c r="G6698" s="401"/>
    </row>
    <row r="6699" spans="7:7" hidden="1" x14ac:dyDescent="0.2">
      <c r="G6699" s="401"/>
    </row>
    <row r="6700" spans="7:7" hidden="1" x14ac:dyDescent="0.2">
      <c r="G6700" s="401"/>
    </row>
    <row r="6701" spans="7:7" hidden="1" x14ac:dyDescent="0.2">
      <c r="G6701" s="401"/>
    </row>
    <row r="6702" spans="7:7" hidden="1" x14ac:dyDescent="0.2">
      <c r="G6702" s="401"/>
    </row>
    <row r="6703" spans="7:7" hidden="1" x14ac:dyDescent="0.2">
      <c r="G6703" s="401"/>
    </row>
    <row r="6704" spans="7:7" hidden="1" x14ac:dyDescent="0.2">
      <c r="G6704" s="401"/>
    </row>
    <row r="6705" spans="7:7" hidden="1" x14ac:dyDescent="0.2">
      <c r="G6705" s="401"/>
    </row>
    <row r="6706" spans="7:7" hidden="1" x14ac:dyDescent="0.2">
      <c r="G6706" s="401"/>
    </row>
    <row r="6707" spans="7:7" hidden="1" x14ac:dyDescent="0.2">
      <c r="G6707" s="401"/>
    </row>
    <row r="6708" spans="7:7" hidden="1" x14ac:dyDescent="0.2">
      <c r="G6708" s="401"/>
    </row>
    <row r="6709" spans="7:7" hidden="1" x14ac:dyDescent="0.2">
      <c r="G6709" s="401"/>
    </row>
    <row r="6710" spans="7:7" hidden="1" x14ac:dyDescent="0.2">
      <c r="G6710" s="401"/>
    </row>
    <row r="6711" spans="7:7" hidden="1" x14ac:dyDescent="0.2">
      <c r="G6711" s="401"/>
    </row>
    <row r="6712" spans="7:7" hidden="1" x14ac:dyDescent="0.2">
      <c r="G6712" s="401"/>
    </row>
    <row r="6713" spans="7:7" hidden="1" x14ac:dyDescent="0.2">
      <c r="G6713" s="401"/>
    </row>
    <row r="6714" spans="7:7" hidden="1" x14ac:dyDescent="0.2">
      <c r="G6714" s="401"/>
    </row>
    <row r="6715" spans="7:7" hidden="1" x14ac:dyDescent="0.2">
      <c r="G6715" s="401"/>
    </row>
    <row r="6716" spans="7:7" hidden="1" x14ac:dyDescent="0.2">
      <c r="G6716" s="401"/>
    </row>
    <row r="6717" spans="7:7" hidden="1" x14ac:dyDescent="0.2">
      <c r="G6717" s="401"/>
    </row>
    <row r="6718" spans="7:7" hidden="1" x14ac:dyDescent="0.2">
      <c r="G6718" s="401"/>
    </row>
    <row r="6719" spans="7:7" hidden="1" x14ac:dyDescent="0.2">
      <c r="G6719" s="401"/>
    </row>
    <row r="6720" spans="7:7" hidden="1" x14ac:dyDescent="0.2">
      <c r="G6720" s="401"/>
    </row>
    <row r="6721" spans="7:7" hidden="1" x14ac:dyDescent="0.2">
      <c r="G6721" s="401"/>
    </row>
    <row r="6722" spans="7:7" hidden="1" x14ac:dyDescent="0.2">
      <c r="G6722" s="401"/>
    </row>
    <row r="6723" spans="7:7" hidden="1" x14ac:dyDescent="0.2">
      <c r="G6723" s="401"/>
    </row>
    <row r="6724" spans="7:7" hidden="1" x14ac:dyDescent="0.2">
      <c r="G6724" s="401"/>
    </row>
    <row r="6725" spans="7:7" hidden="1" x14ac:dyDescent="0.2">
      <c r="G6725" s="401"/>
    </row>
    <row r="6726" spans="7:7" hidden="1" x14ac:dyDescent="0.2">
      <c r="G6726" s="401"/>
    </row>
    <row r="6727" spans="7:7" hidden="1" x14ac:dyDescent="0.2">
      <c r="G6727" s="401"/>
    </row>
    <row r="6728" spans="7:7" hidden="1" x14ac:dyDescent="0.2">
      <c r="G6728" s="401"/>
    </row>
    <row r="6729" spans="7:7" hidden="1" x14ac:dyDescent="0.2">
      <c r="G6729" s="401"/>
    </row>
    <row r="6730" spans="7:7" hidden="1" x14ac:dyDescent="0.2">
      <c r="G6730" s="401"/>
    </row>
    <row r="6731" spans="7:7" hidden="1" x14ac:dyDescent="0.2">
      <c r="G6731" s="401"/>
    </row>
    <row r="6732" spans="7:7" hidden="1" x14ac:dyDescent="0.2">
      <c r="G6732" s="401"/>
    </row>
    <row r="6733" spans="7:7" hidden="1" x14ac:dyDescent="0.2">
      <c r="G6733" s="401"/>
    </row>
    <row r="6734" spans="7:7" hidden="1" x14ac:dyDescent="0.2">
      <c r="G6734" s="401"/>
    </row>
    <row r="6735" spans="7:7" hidden="1" x14ac:dyDescent="0.2">
      <c r="G6735" s="401"/>
    </row>
    <row r="6736" spans="7:7" hidden="1" x14ac:dyDescent="0.2">
      <c r="G6736" s="401"/>
    </row>
    <row r="6737" spans="7:7" hidden="1" x14ac:dyDescent="0.2">
      <c r="G6737" s="401"/>
    </row>
    <row r="6738" spans="7:7" hidden="1" x14ac:dyDescent="0.2">
      <c r="G6738" s="401"/>
    </row>
    <row r="6739" spans="7:7" hidden="1" x14ac:dyDescent="0.2">
      <c r="G6739" s="401"/>
    </row>
    <row r="6740" spans="7:7" hidden="1" x14ac:dyDescent="0.2">
      <c r="G6740" s="401"/>
    </row>
    <row r="6741" spans="7:7" hidden="1" x14ac:dyDescent="0.2">
      <c r="G6741" s="401"/>
    </row>
    <row r="6742" spans="7:7" hidden="1" x14ac:dyDescent="0.2">
      <c r="G6742" s="401"/>
    </row>
    <row r="6743" spans="7:7" hidden="1" x14ac:dyDescent="0.2">
      <c r="G6743" s="401"/>
    </row>
    <row r="6744" spans="7:7" hidden="1" x14ac:dyDescent="0.2">
      <c r="G6744" s="401"/>
    </row>
    <row r="6745" spans="7:7" hidden="1" x14ac:dyDescent="0.2">
      <c r="G6745" s="401"/>
    </row>
    <row r="6746" spans="7:7" hidden="1" x14ac:dyDescent="0.2">
      <c r="G6746" s="401"/>
    </row>
    <row r="6747" spans="7:7" hidden="1" x14ac:dyDescent="0.2">
      <c r="G6747" s="401"/>
    </row>
    <row r="6748" spans="7:7" hidden="1" x14ac:dyDescent="0.2">
      <c r="G6748" s="401"/>
    </row>
    <row r="6749" spans="7:7" hidden="1" x14ac:dyDescent="0.2">
      <c r="G6749" s="401"/>
    </row>
    <row r="6750" spans="7:7" hidden="1" x14ac:dyDescent="0.2">
      <c r="G6750" s="401"/>
    </row>
    <row r="6751" spans="7:7" hidden="1" x14ac:dyDescent="0.2">
      <c r="G6751" s="401"/>
    </row>
    <row r="6752" spans="7:7" hidden="1" x14ac:dyDescent="0.2">
      <c r="G6752" s="401"/>
    </row>
    <row r="6753" spans="7:7" hidden="1" x14ac:dyDescent="0.2">
      <c r="G6753" s="401"/>
    </row>
    <row r="6754" spans="7:7" hidden="1" x14ac:dyDescent="0.2">
      <c r="G6754" s="401"/>
    </row>
    <row r="6755" spans="7:7" hidden="1" x14ac:dyDescent="0.2">
      <c r="G6755" s="401"/>
    </row>
    <row r="6756" spans="7:7" hidden="1" x14ac:dyDescent="0.2">
      <c r="G6756" s="401"/>
    </row>
    <row r="6757" spans="7:7" hidden="1" x14ac:dyDescent="0.2">
      <c r="G6757" s="401"/>
    </row>
    <row r="6758" spans="7:7" hidden="1" x14ac:dyDescent="0.2">
      <c r="G6758" s="401"/>
    </row>
    <row r="6759" spans="7:7" hidden="1" x14ac:dyDescent="0.2">
      <c r="G6759" s="401"/>
    </row>
    <row r="6760" spans="7:7" hidden="1" x14ac:dyDescent="0.2">
      <c r="G6760" s="401"/>
    </row>
    <row r="6761" spans="7:7" hidden="1" x14ac:dyDescent="0.2">
      <c r="G6761" s="401"/>
    </row>
    <row r="6762" spans="7:7" hidden="1" x14ac:dyDescent="0.2">
      <c r="G6762" s="401"/>
    </row>
    <row r="6763" spans="7:7" hidden="1" x14ac:dyDescent="0.2">
      <c r="G6763" s="401"/>
    </row>
    <row r="6764" spans="7:7" hidden="1" x14ac:dyDescent="0.2">
      <c r="G6764" s="401"/>
    </row>
    <row r="6765" spans="7:7" hidden="1" x14ac:dyDescent="0.2">
      <c r="G6765" s="401"/>
    </row>
    <row r="6766" spans="7:7" hidden="1" x14ac:dyDescent="0.2">
      <c r="G6766" s="401"/>
    </row>
    <row r="6767" spans="7:7" hidden="1" x14ac:dyDescent="0.2">
      <c r="G6767" s="401"/>
    </row>
    <row r="6768" spans="7:7" hidden="1" x14ac:dyDescent="0.2">
      <c r="G6768" s="401"/>
    </row>
    <row r="6769" spans="7:7" hidden="1" x14ac:dyDescent="0.2">
      <c r="G6769" s="401"/>
    </row>
    <row r="6770" spans="7:7" hidden="1" x14ac:dyDescent="0.2">
      <c r="G6770" s="401"/>
    </row>
    <row r="6771" spans="7:7" hidden="1" x14ac:dyDescent="0.2">
      <c r="G6771" s="401"/>
    </row>
    <row r="6772" spans="7:7" hidden="1" x14ac:dyDescent="0.2">
      <c r="G6772" s="401"/>
    </row>
    <row r="6773" spans="7:7" hidden="1" x14ac:dyDescent="0.2">
      <c r="G6773" s="401"/>
    </row>
    <row r="6774" spans="7:7" hidden="1" x14ac:dyDescent="0.2">
      <c r="G6774" s="401"/>
    </row>
    <row r="6775" spans="7:7" hidden="1" x14ac:dyDescent="0.2">
      <c r="G6775" s="401"/>
    </row>
    <row r="6776" spans="7:7" hidden="1" x14ac:dyDescent="0.2">
      <c r="G6776" s="401"/>
    </row>
    <row r="6777" spans="7:7" hidden="1" x14ac:dyDescent="0.2">
      <c r="G6777" s="401"/>
    </row>
    <row r="6778" spans="7:7" hidden="1" x14ac:dyDescent="0.2">
      <c r="G6778" s="401"/>
    </row>
    <row r="6779" spans="7:7" hidden="1" x14ac:dyDescent="0.2">
      <c r="G6779" s="401"/>
    </row>
    <row r="6780" spans="7:7" hidden="1" x14ac:dyDescent="0.2">
      <c r="G6780" s="401"/>
    </row>
    <row r="6781" spans="7:7" hidden="1" x14ac:dyDescent="0.2">
      <c r="G6781" s="401"/>
    </row>
    <row r="6782" spans="7:7" hidden="1" x14ac:dyDescent="0.2">
      <c r="G6782" s="401"/>
    </row>
    <row r="6783" spans="7:7" hidden="1" x14ac:dyDescent="0.2">
      <c r="G6783" s="401"/>
    </row>
    <row r="6784" spans="7:7" hidden="1" x14ac:dyDescent="0.2">
      <c r="G6784" s="401"/>
    </row>
    <row r="6785" spans="7:7" hidden="1" x14ac:dyDescent="0.2">
      <c r="G6785" s="401"/>
    </row>
    <row r="6786" spans="7:7" hidden="1" x14ac:dyDescent="0.2">
      <c r="G6786" s="401"/>
    </row>
    <row r="6787" spans="7:7" hidden="1" x14ac:dyDescent="0.2">
      <c r="G6787" s="401"/>
    </row>
    <row r="6788" spans="7:7" hidden="1" x14ac:dyDescent="0.2">
      <c r="G6788" s="401"/>
    </row>
    <row r="6789" spans="7:7" hidden="1" x14ac:dyDescent="0.2">
      <c r="G6789" s="401"/>
    </row>
    <row r="6790" spans="7:7" hidden="1" x14ac:dyDescent="0.2">
      <c r="G6790" s="401"/>
    </row>
    <row r="6791" spans="7:7" hidden="1" x14ac:dyDescent="0.2">
      <c r="G6791" s="401"/>
    </row>
    <row r="6792" spans="7:7" hidden="1" x14ac:dyDescent="0.2">
      <c r="G6792" s="401"/>
    </row>
    <row r="6793" spans="7:7" hidden="1" x14ac:dyDescent="0.2">
      <c r="G6793" s="401"/>
    </row>
    <row r="6794" spans="7:7" hidden="1" x14ac:dyDescent="0.2">
      <c r="G6794" s="401"/>
    </row>
    <row r="6795" spans="7:7" hidden="1" x14ac:dyDescent="0.2">
      <c r="G6795" s="401"/>
    </row>
    <row r="6796" spans="7:7" hidden="1" x14ac:dyDescent="0.2">
      <c r="G6796" s="401"/>
    </row>
    <row r="6797" spans="7:7" hidden="1" x14ac:dyDescent="0.2">
      <c r="G6797" s="401"/>
    </row>
    <row r="6798" spans="7:7" hidden="1" x14ac:dyDescent="0.2">
      <c r="G6798" s="401"/>
    </row>
    <row r="6799" spans="7:7" hidden="1" x14ac:dyDescent="0.2">
      <c r="G6799" s="401"/>
    </row>
    <row r="6800" spans="7:7" hidden="1" x14ac:dyDescent="0.2">
      <c r="G6800" s="401"/>
    </row>
    <row r="6801" spans="7:7" hidden="1" x14ac:dyDescent="0.2">
      <c r="G6801" s="401"/>
    </row>
    <row r="6802" spans="7:7" hidden="1" x14ac:dyDescent="0.2">
      <c r="G6802" s="401"/>
    </row>
    <row r="6803" spans="7:7" hidden="1" x14ac:dyDescent="0.2">
      <c r="G6803" s="401"/>
    </row>
    <row r="6804" spans="7:7" hidden="1" x14ac:dyDescent="0.2">
      <c r="G6804" s="401"/>
    </row>
    <row r="6805" spans="7:7" hidden="1" x14ac:dyDescent="0.2">
      <c r="G6805" s="401"/>
    </row>
    <row r="6806" spans="7:7" hidden="1" x14ac:dyDescent="0.2">
      <c r="G6806" s="401"/>
    </row>
    <row r="6807" spans="7:7" hidden="1" x14ac:dyDescent="0.2">
      <c r="G6807" s="401"/>
    </row>
    <row r="6808" spans="7:7" hidden="1" x14ac:dyDescent="0.2">
      <c r="G6808" s="401"/>
    </row>
    <row r="6809" spans="7:7" hidden="1" x14ac:dyDescent="0.2">
      <c r="G6809" s="401"/>
    </row>
    <row r="6810" spans="7:7" hidden="1" x14ac:dyDescent="0.2">
      <c r="G6810" s="401"/>
    </row>
    <row r="6811" spans="7:7" hidden="1" x14ac:dyDescent="0.2">
      <c r="G6811" s="401"/>
    </row>
    <row r="6812" spans="7:7" hidden="1" x14ac:dyDescent="0.2">
      <c r="G6812" s="401"/>
    </row>
    <row r="6813" spans="7:7" hidden="1" x14ac:dyDescent="0.2">
      <c r="G6813" s="401"/>
    </row>
    <row r="6814" spans="7:7" hidden="1" x14ac:dyDescent="0.2">
      <c r="G6814" s="401"/>
    </row>
    <row r="6815" spans="7:7" hidden="1" x14ac:dyDescent="0.2">
      <c r="G6815" s="401"/>
    </row>
    <row r="6816" spans="7:7" hidden="1" x14ac:dyDescent="0.2">
      <c r="G6816" s="401"/>
    </row>
    <row r="6817" spans="7:7" hidden="1" x14ac:dyDescent="0.2">
      <c r="G6817" s="401"/>
    </row>
    <row r="6818" spans="7:7" hidden="1" x14ac:dyDescent="0.2">
      <c r="G6818" s="401"/>
    </row>
    <row r="6819" spans="7:7" hidden="1" x14ac:dyDescent="0.2">
      <c r="G6819" s="401"/>
    </row>
    <row r="6820" spans="7:7" hidden="1" x14ac:dyDescent="0.2">
      <c r="G6820" s="401"/>
    </row>
    <row r="6821" spans="7:7" hidden="1" x14ac:dyDescent="0.2">
      <c r="G6821" s="401"/>
    </row>
    <row r="6822" spans="7:7" hidden="1" x14ac:dyDescent="0.2">
      <c r="G6822" s="401"/>
    </row>
    <row r="6823" spans="7:7" hidden="1" x14ac:dyDescent="0.2">
      <c r="G6823" s="401"/>
    </row>
    <row r="6824" spans="7:7" hidden="1" x14ac:dyDescent="0.2">
      <c r="G6824" s="401"/>
    </row>
    <row r="6825" spans="7:7" hidden="1" x14ac:dyDescent="0.2">
      <c r="G6825" s="401"/>
    </row>
    <row r="6826" spans="7:7" hidden="1" x14ac:dyDescent="0.2">
      <c r="G6826" s="401"/>
    </row>
    <row r="6827" spans="7:7" hidden="1" x14ac:dyDescent="0.2">
      <c r="G6827" s="401"/>
    </row>
    <row r="6828" spans="7:7" hidden="1" x14ac:dyDescent="0.2">
      <c r="G6828" s="401"/>
    </row>
    <row r="6829" spans="7:7" hidden="1" x14ac:dyDescent="0.2">
      <c r="G6829" s="401"/>
    </row>
    <row r="6830" spans="7:7" hidden="1" x14ac:dyDescent="0.2">
      <c r="G6830" s="401"/>
    </row>
    <row r="6831" spans="7:7" hidden="1" x14ac:dyDescent="0.2">
      <c r="G6831" s="401"/>
    </row>
    <row r="6832" spans="7:7" hidden="1" x14ac:dyDescent="0.2">
      <c r="G6832" s="401"/>
    </row>
    <row r="6833" spans="7:7" hidden="1" x14ac:dyDescent="0.2">
      <c r="G6833" s="401"/>
    </row>
    <row r="6834" spans="7:7" hidden="1" x14ac:dyDescent="0.2">
      <c r="G6834" s="401"/>
    </row>
    <row r="6835" spans="7:7" hidden="1" x14ac:dyDescent="0.2">
      <c r="G6835" s="401"/>
    </row>
    <row r="6836" spans="7:7" hidden="1" x14ac:dyDescent="0.2">
      <c r="G6836" s="401"/>
    </row>
    <row r="6837" spans="7:7" hidden="1" x14ac:dyDescent="0.2">
      <c r="G6837" s="401"/>
    </row>
    <row r="6838" spans="7:7" hidden="1" x14ac:dyDescent="0.2">
      <c r="G6838" s="401"/>
    </row>
    <row r="6839" spans="7:7" hidden="1" x14ac:dyDescent="0.2">
      <c r="G6839" s="401"/>
    </row>
    <row r="6840" spans="7:7" hidden="1" x14ac:dyDescent="0.2">
      <c r="G6840" s="401"/>
    </row>
    <row r="6841" spans="7:7" hidden="1" x14ac:dyDescent="0.2">
      <c r="G6841" s="401"/>
    </row>
    <row r="6842" spans="7:7" hidden="1" x14ac:dyDescent="0.2">
      <c r="G6842" s="401"/>
    </row>
    <row r="6843" spans="7:7" hidden="1" x14ac:dyDescent="0.2">
      <c r="G6843" s="401"/>
    </row>
    <row r="6844" spans="7:7" hidden="1" x14ac:dyDescent="0.2">
      <c r="G6844" s="401"/>
    </row>
    <row r="6845" spans="7:7" hidden="1" x14ac:dyDescent="0.2">
      <c r="G6845" s="401"/>
    </row>
    <row r="6846" spans="7:7" hidden="1" x14ac:dyDescent="0.2">
      <c r="G6846" s="401"/>
    </row>
    <row r="6847" spans="7:7" hidden="1" x14ac:dyDescent="0.2">
      <c r="G6847" s="401"/>
    </row>
    <row r="6848" spans="7:7" hidden="1" x14ac:dyDescent="0.2">
      <c r="G6848" s="401"/>
    </row>
    <row r="6849" spans="7:7" hidden="1" x14ac:dyDescent="0.2">
      <c r="G6849" s="401"/>
    </row>
    <row r="6850" spans="7:7" hidden="1" x14ac:dyDescent="0.2">
      <c r="G6850" s="401"/>
    </row>
    <row r="6851" spans="7:7" hidden="1" x14ac:dyDescent="0.2">
      <c r="G6851" s="401"/>
    </row>
    <row r="6852" spans="7:7" hidden="1" x14ac:dyDescent="0.2">
      <c r="G6852" s="401"/>
    </row>
    <row r="6853" spans="7:7" hidden="1" x14ac:dyDescent="0.2">
      <c r="G6853" s="401"/>
    </row>
    <row r="6854" spans="7:7" hidden="1" x14ac:dyDescent="0.2">
      <c r="G6854" s="401"/>
    </row>
    <row r="6855" spans="7:7" hidden="1" x14ac:dyDescent="0.2">
      <c r="G6855" s="401"/>
    </row>
    <row r="6856" spans="7:7" hidden="1" x14ac:dyDescent="0.2">
      <c r="G6856" s="401"/>
    </row>
    <row r="6857" spans="7:7" hidden="1" x14ac:dyDescent="0.2">
      <c r="G6857" s="401"/>
    </row>
    <row r="6858" spans="7:7" hidden="1" x14ac:dyDescent="0.2">
      <c r="G6858" s="401"/>
    </row>
    <row r="6859" spans="7:7" hidden="1" x14ac:dyDescent="0.2">
      <c r="G6859" s="401"/>
    </row>
    <row r="6860" spans="7:7" hidden="1" x14ac:dyDescent="0.2">
      <c r="G6860" s="401"/>
    </row>
    <row r="6861" spans="7:7" hidden="1" x14ac:dyDescent="0.2">
      <c r="G6861" s="401"/>
    </row>
    <row r="6862" spans="7:7" hidden="1" x14ac:dyDescent="0.2">
      <c r="G6862" s="401"/>
    </row>
    <row r="6863" spans="7:7" hidden="1" x14ac:dyDescent="0.2">
      <c r="G6863" s="401"/>
    </row>
    <row r="6864" spans="7:7" hidden="1" x14ac:dyDescent="0.2">
      <c r="G6864" s="401"/>
    </row>
    <row r="6865" spans="7:7" hidden="1" x14ac:dyDescent="0.2">
      <c r="G6865" s="401"/>
    </row>
    <row r="6866" spans="7:7" hidden="1" x14ac:dyDescent="0.2">
      <c r="G6866" s="401"/>
    </row>
    <row r="6867" spans="7:7" hidden="1" x14ac:dyDescent="0.2">
      <c r="G6867" s="401"/>
    </row>
    <row r="6868" spans="7:7" hidden="1" x14ac:dyDescent="0.2">
      <c r="G6868" s="401"/>
    </row>
    <row r="6869" spans="7:7" hidden="1" x14ac:dyDescent="0.2">
      <c r="G6869" s="401"/>
    </row>
    <row r="6870" spans="7:7" hidden="1" x14ac:dyDescent="0.2">
      <c r="G6870" s="401"/>
    </row>
    <row r="6871" spans="7:7" hidden="1" x14ac:dyDescent="0.2">
      <c r="G6871" s="401"/>
    </row>
    <row r="6872" spans="7:7" hidden="1" x14ac:dyDescent="0.2">
      <c r="G6872" s="401"/>
    </row>
    <row r="6873" spans="7:7" hidden="1" x14ac:dyDescent="0.2">
      <c r="G6873" s="401"/>
    </row>
    <row r="6874" spans="7:7" hidden="1" x14ac:dyDescent="0.2">
      <c r="G6874" s="401"/>
    </row>
    <row r="6875" spans="7:7" hidden="1" x14ac:dyDescent="0.2">
      <c r="G6875" s="401"/>
    </row>
    <row r="6876" spans="7:7" hidden="1" x14ac:dyDescent="0.2">
      <c r="G6876" s="401"/>
    </row>
    <row r="6877" spans="7:7" hidden="1" x14ac:dyDescent="0.2">
      <c r="G6877" s="401"/>
    </row>
    <row r="6878" spans="7:7" hidden="1" x14ac:dyDescent="0.2">
      <c r="G6878" s="401"/>
    </row>
    <row r="6879" spans="7:7" hidden="1" x14ac:dyDescent="0.2">
      <c r="G6879" s="401"/>
    </row>
    <row r="6880" spans="7:7" hidden="1" x14ac:dyDescent="0.2">
      <c r="G6880" s="401"/>
    </row>
    <row r="6881" spans="7:7" hidden="1" x14ac:dyDescent="0.2">
      <c r="G6881" s="401"/>
    </row>
    <row r="6882" spans="7:7" hidden="1" x14ac:dyDescent="0.2">
      <c r="G6882" s="401"/>
    </row>
    <row r="6883" spans="7:7" hidden="1" x14ac:dyDescent="0.2">
      <c r="G6883" s="401"/>
    </row>
    <row r="6884" spans="7:7" hidden="1" x14ac:dyDescent="0.2">
      <c r="G6884" s="401"/>
    </row>
    <row r="6885" spans="7:7" hidden="1" x14ac:dyDescent="0.2">
      <c r="G6885" s="401"/>
    </row>
    <row r="6886" spans="7:7" hidden="1" x14ac:dyDescent="0.2">
      <c r="G6886" s="401"/>
    </row>
    <row r="6887" spans="7:7" hidden="1" x14ac:dyDescent="0.2">
      <c r="G6887" s="401"/>
    </row>
    <row r="6888" spans="7:7" hidden="1" x14ac:dyDescent="0.2">
      <c r="G6888" s="401"/>
    </row>
    <row r="6889" spans="7:7" hidden="1" x14ac:dyDescent="0.2">
      <c r="G6889" s="401"/>
    </row>
    <row r="6890" spans="7:7" hidden="1" x14ac:dyDescent="0.2">
      <c r="G6890" s="401"/>
    </row>
    <row r="6891" spans="7:7" hidden="1" x14ac:dyDescent="0.2">
      <c r="G6891" s="401"/>
    </row>
    <row r="6892" spans="7:7" hidden="1" x14ac:dyDescent="0.2">
      <c r="G6892" s="401"/>
    </row>
    <row r="6893" spans="7:7" hidden="1" x14ac:dyDescent="0.2">
      <c r="G6893" s="401"/>
    </row>
    <row r="6894" spans="7:7" hidden="1" x14ac:dyDescent="0.2">
      <c r="G6894" s="401"/>
    </row>
    <row r="6895" spans="7:7" hidden="1" x14ac:dyDescent="0.2">
      <c r="G6895" s="401"/>
    </row>
    <row r="6896" spans="7:7" hidden="1" x14ac:dyDescent="0.2">
      <c r="G6896" s="401"/>
    </row>
    <row r="6897" spans="7:7" hidden="1" x14ac:dyDescent="0.2">
      <c r="G6897" s="401"/>
    </row>
    <row r="6898" spans="7:7" hidden="1" x14ac:dyDescent="0.2">
      <c r="G6898" s="401"/>
    </row>
    <row r="6899" spans="7:7" hidden="1" x14ac:dyDescent="0.2">
      <c r="G6899" s="401"/>
    </row>
    <row r="6900" spans="7:7" hidden="1" x14ac:dyDescent="0.2">
      <c r="G6900" s="401"/>
    </row>
    <row r="6901" spans="7:7" hidden="1" x14ac:dyDescent="0.2">
      <c r="G6901" s="401"/>
    </row>
    <row r="6902" spans="7:7" hidden="1" x14ac:dyDescent="0.2">
      <c r="G6902" s="401"/>
    </row>
    <row r="6903" spans="7:7" hidden="1" x14ac:dyDescent="0.2">
      <c r="G6903" s="401"/>
    </row>
    <row r="6904" spans="7:7" hidden="1" x14ac:dyDescent="0.2">
      <c r="G6904" s="401"/>
    </row>
    <row r="6905" spans="7:7" hidden="1" x14ac:dyDescent="0.2">
      <c r="G6905" s="401"/>
    </row>
    <row r="6906" spans="7:7" hidden="1" x14ac:dyDescent="0.2">
      <c r="G6906" s="401"/>
    </row>
    <row r="6907" spans="7:7" hidden="1" x14ac:dyDescent="0.2">
      <c r="G6907" s="401"/>
    </row>
    <row r="6908" spans="7:7" hidden="1" x14ac:dyDescent="0.2">
      <c r="G6908" s="401"/>
    </row>
    <row r="6909" spans="7:7" hidden="1" x14ac:dyDescent="0.2">
      <c r="G6909" s="401"/>
    </row>
    <row r="6910" spans="7:7" hidden="1" x14ac:dyDescent="0.2">
      <c r="G6910" s="401"/>
    </row>
    <row r="6911" spans="7:7" hidden="1" x14ac:dyDescent="0.2">
      <c r="G6911" s="401"/>
    </row>
    <row r="6912" spans="7:7" hidden="1" x14ac:dyDescent="0.2">
      <c r="G6912" s="401"/>
    </row>
    <row r="6913" spans="7:7" hidden="1" x14ac:dyDescent="0.2">
      <c r="G6913" s="401"/>
    </row>
    <row r="6914" spans="7:7" hidden="1" x14ac:dyDescent="0.2">
      <c r="G6914" s="401"/>
    </row>
    <row r="6915" spans="7:7" hidden="1" x14ac:dyDescent="0.2">
      <c r="G6915" s="401"/>
    </row>
    <row r="6916" spans="7:7" hidden="1" x14ac:dyDescent="0.2">
      <c r="G6916" s="401"/>
    </row>
    <row r="6917" spans="7:7" hidden="1" x14ac:dyDescent="0.2">
      <c r="G6917" s="401"/>
    </row>
    <row r="6918" spans="7:7" hidden="1" x14ac:dyDescent="0.2">
      <c r="G6918" s="401"/>
    </row>
    <row r="6919" spans="7:7" hidden="1" x14ac:dyDescent="0.2">
      <c r="G6919" s="401"/>
    </row>
    <row r="6920" spans="7:7" hidden="1" x14ac:dyDescent="0.2">
      <c r="G6920" s="401"/>
    </row>
    <row r="6921" spans="7:7" hidden="1" x14ac:dyDescent="0.2">
      <c r="G6921" s="401"/>
    </row>
    <row r="6922" spans="7:7" hidden="1" x14ac:dyDescent="0.2">
      <c r="G6922" s="401"/>
    </row>
    <row r="6923" spans="7:7" hidden="1" x14ac:dyDescent="0.2">
      <c r="G6923" s="401"/>
    </row>
    <row r="6924" spans="7:7" hidden="1" x14ac:dyDescent="0.2">
      <c r="G6924" s="401"/>
    </row>
    <row r="6925" spans="7:7" hidden="1" x14ac:dyDescent="0.2">
      <c r="G6925" s="401"/>
    </row>
    <row r="6926" spans="7:7" hidden="1" x14ac:dyDescent="0.2">
      <c r="G6926" s="401"/>
    </row>
    <row r="6927" spans="7:7" hidden="1" x14ac:dyDescent="0.2">
      <c r="G6927" s="401"/>
    </row>
    <row r="6928" spans="7:7" hidden="1" x14ac:dyDescent="0.2">
      <c r="G6928" s="401"/>
    </row>
    <row r="6929" spans="7:7" hidden="1" x14ac:dyDescent="0.2">
      <c r="G6929" s="401"/>
    </row>
    <row r="6930" spans="7:7" hidden="1" x14ac:dyDescent="0.2">
      <c r="G6930" s="401"/>
    </row>
    <row r="6931" spans="7:7" hidden="1" x14ac:dyDescent="0.2">
      <c r="G6931" s="401"/>
    </row>
    <row r="6932" spans="7:7" hidden="1" x14ac:dyDescent="0.2">
      <c r="G6932" s="401"/>
    </row>
    <row r="6933" spans="7:7" hidden="1" x14ac:dyDescent="0.2">
      <c r="G6933" s="401"/>
    </row>
    <row r="6934" spans="7:7" hidden="1" x14ac:dyDescent="0.2">
      <c r="G6934" s="401"/>
    </row>
    <row r="6935" spans="7:7" hidden="1" x14ac:dyDescent="0.2">
      <c r="G6935" s="401"/>
    </row>
    <row r="6936" spans="7:7" hidden="1" x14ac:dyDescent="0.2">
      <c r="G6936" s="401"/>
    </row>
    <row r="6937" spans="7:7" hidden="1" x14ac:dyDescent="0.2">
      <c r="G6937" s="401"/>
    </row>
    <row r="6938" spans="7:7" hidden="1" x14ac:dyDescent="0.2">
      <c r="G6938" s="401"/>
    </row>
    <row r="6939" spans="7:7" hidden="1" x14ac:dyDescent="0.2">
      <c r="G6939" s="401"/>
    </row>
    <row r="6940" spans="7:7" hidden="1" x14ac:dyDescent="0.2">
      <c r="G6940" s="401"/>
    </row>
    <row r="6941" spans="7:7" hidden="1" x14ac:dyDescent="0.2">
      <c r="G6941" s="401"/>
    </row>
    <row r="6942" spans="7:7" hidden="1" x14ac:dyDescent="0.2">
      <c r="G6942" s="401"/>
    </row>
    <row r="6943" spans="7:7" hidden="1" x14ac:dyDescent="0.2">
      <c r="G6943" s="401"/>
    </row>
    <row r="6944" spans="7:7" hidden="1" x14ac:dyDescent="0.2">
      <c r="G6944" s="401"/>
    </row>
    <row r="6945" spans="7:7" hidden="1" x14ac:dyDescent="0.2">
      <c r="G6945" s="401"/>
    </row>
    <row r="6946" spans="7:7" hidden="1" x14ac:dyDescent="0.2">
      <c r="G6946" s="401"/>
    </row>
    <row r="6947" spans="7:7" hidden="1" x14ac:dyDescent="0.2">
      <c r="G6947" s="401"/>
    </row>
    <row r="6948" spans="7:7" hidden="1" x14ac:dyDescent="0.2">
      <c r="G6948" s="401"/>
    </row>
    <row r="6949" spans="7:7" hidden="1" x14ac:dyDescent="0.2">
      <c r="G6949" s="401"/>
    </row>
    <row r="6950" spans="7:7" hidden="1" x14ac:dyDescent="0.2">
      <c r="G6950" s="401"/>
    </row>
    <row r="6951" spans="7:7" hidden="1" x14ac:dyDescent="0.2">
      <c r="G6951" s="401"/>
    </row>
    <row r="6952" spans="7:7" hidden="1" x14ac:dyDescent="0.2">
      <c r="G6952" s="401"/>
    </row>
    <row r="6953" spans="7:7" hidden="1" x14ac:dyDescent="0.2">
      <c r="G6953" s="401"/>
    </row>
    <row r="6954" spans="7:7" hidden="1" x14ac:dyDescent="0.2">
      <c r="G6954" s="401"/>
    </row>
    <row r="6955" spans="7:7" hidden="1" x14ac:dyDescent="0.2">
      <c r="G6955" s="401"/>
    </row>
    <row r="6956" spans="7:7" hidden="1" x14ac:dyDescent="0.2">
      <c r="G6956" s="401"/>
    </row>
    <row r="6957" spans="7:7" hidden="1" x14ac:dyDescent="0.2">
      <c r="G6957" s="401"/>
    </row>
    <row r="6958" spans="7:7" hidden="1" x14ac:dyDescent="0.2">
      <c r="G6958" s="401"/>
    </row>
    <row r="6959" spans="7:7" hidden="1" x14ac:dyDescent="0.2">
      <c r="G6959" s="401"/>
    </row>
    <row r="6960" spans="7:7" hidden="1" x14ac:dyDescent="0.2">
      <c r="G6960" s="401"/>
    </row>
    <row r="6961" spans="7:7" hidden="1" x14ac:dyDescent="0.2">
      <c r="G6961" s="401"/>
    </row>
    <row r="6962" spans="7:7" hidden="1" x14ac:dyDescent="0.2">
      <c r="G6962" s="401"/>
    </row>
    <row r="6963" spans="7:7" hidden="1" x14ac:dyDescent="0.2">
      <c r="G6963" s="401"/>
    </row>
    <row r="6964" spans="7:7" hidden="1" x14ac:dyDescent="0.2">
      <c r="G6964" s="401"/>
    </row>
    <row r="6965" spans="7:7" hidden="1" x14ac:dyDescent="0.2">
      <c r="G6965" s="401"/>
    </row>
    <row r="6966" spans="7:7" hidden="1" x14ac:dyDescent="0.2">
      <c r="G6966" s="401"/>
    </row>
    <row r="6967" spans="7:7" hidden="1" x14ac:dyDescent="0.2">
      <c r="G6967" s="401"/>
    </row>
    <row r="6968" spans="7:7" hidden="1" x14ac:dyDescent="0.2">
      <c r="G6968" s="401"/>
    </row>
    <row r="6969" spans="7:7" hidden="1" x14ac:dyDescent="0.2">
      <c r="G6969" s="401"/>
    </row>
    <row r="6970" spans="7:7" hidden="1" x14ac:dyDescent="0.2">
      <c r="G6970" s="401"/>
    </row>
    <row r="6971" spans="7:7" hidden="1" x14ac:dyDescent="0.2">
      <c r="G6971" s="401"/>
    </row>
    <row r="6972" spans="7:7" hidden="1" x14ac:dyDescent="0.2">
      <c r="G6972" s="401"/>
    </row>
    <row r="6973" spans="7:7" hidden="1" x14ac:dyDescent="0.2">
      <c r="G6973" s="401"/>
    </row>
    <row r="6974" spans="7:7" hidden="1" x14ac:dyDescent="0.2">
      <c r="G6974" s="401"/>
    </row>
    <row r="6975" spans="7:7" hidden="1" x14ac:dyDescent="0.2">
      <c r="G6975" s="401"/>
    </row>
    <row r="6976" spans="7:7" hidden="1" x14ac:dyDescent="0.2">
      <c r="G6976" s="401"/>
    </row>
    <row r="6977" spans="7:7" hidden="1" x14ac:dyDescent="0.2">
      <c r="G6977" s="401"/>
    </row>
    <row r="6978" spans="7:7" hidden="1" x14ac:dyDescent="0.2">
      <c r="G6978" s="401"/>
    </row>
    <row r="6979" spans="7:7" hidden="1" x14ac:dyDescent="0.2">
      <c r="G6979" s="401"/>
    </row>
    <row r="6980" spans="7:7" hidden="1" x14ac:dyDescent="0.2">
      <c r="G6980" s="401"/>
    </row>
    <row r="6981" spans="7:7" hidden="1" x14ac:dyDescent="0.2">
      <c r="G6981" s="401"/>
    </row>
    <row r="6982" spans="7:7" hidden="1" x14ac:dyDescent="0.2">
      <c r="G6982" s="401"/>
    </row>
    <row r="6983" spans="7:7" hidden="1" x14ac:dyDescent="0.2">
      <c r="G6983" s="401"/>
    </row>
    <row r="6984" spans="7:7" hidden="1" x14ac:dyDescent="0.2">
      <c r="G6984" s="401"/>
    </row>
    <row r="6985" spans="7:7" hidden="1" x14ac:dyDescent="0.2">
      <c r="G6985" s="401"/>
    </row>
    <row r="6986" spans="7:7" hidden="1" x14ac:dyDescent="0.2">
      <c r="G6986" s="401"/>
    </row>
    <row r="6987" spans="7:7" hidden="1" x14ac:dyDescent="0.2">
      <c r="G6987" s="401"/>
    </row>
    <row r="6988" spans="7:7" hidden="1" x14ac:dyDescent="0.2">
      <c r="G6988" s="401"/>
    </row>
    <row r="6989" spans="7:7" hidden="1" x14ac:dyDescent="0.2">
      <c r="G6989" s="401"/>
    </row>
    <row r="6990" spans="7:7" hidden="1" x14ac:dyDescent="0.2">
      <c r="G6990" s="401"/>
    </row>
    <row r="6991" spans="7:7" hidden="1" x14ac:dyDescent="0.2">
      <c r="G6991" s="401"/>
    </row>
    <row r="6992" spans="7:7" hidden="1" x14ac:dyDescent="0.2">
      <c r="G6992" s="401"/>
    </row>
    <row r="6993" spans="7:7" hidden="1" x14ac:dyDescent="0.2">
      <c r="G6993" s="401"/>
    </row>
    <row r="6994" spans="7:7" hidden="1" x14ac:dyDescent="0.2">
      <c r="G6994" s="401"/>
    </row>
    <row r="6995" spans="7:7" hidden="1" x14ac:dyDescent="0.2">
      <c r="G6995" s="401"/>
    </row>
    <row r="6996" spans="7:7" hidden="1" x14ac:dyDescent="0.2">
      <c r="G6996" s="401"/>
    </row>
    <row r="6997" spans="7:7" hidden="1" x14ac:dyDescent="0.2">
      <c r="G6997" s="401"/>
    </row>
    <row r="6998" spans="7:7" hidden="1" x14ac:dyDescent="0.2">
      <c r="G6998" s="401"/>
    </row>
    <row r="6999" spans="7:7" hidden="1" x14ac:dyDescent="0.2">
      <c r="G6999" s="401"/>
    </row>
    <row r="7000" spans="7:7" hidden="1" x14ac:dyDescent="0.2">
      <c r="G7000" s="401"/>
    </row>
    <row r="7001" spans="7:7" hidden="1" x14ac:dyDescent="0.2">
      <c r="G7001" s="401"/>
    </row>
    <row r="7002" spans="7:7" hidden="1" x14ac:dyDescent="0.2">
      <c r="G7002" s="401"/>
    </row>
    <row r="7003" spans="7:7" hidden="1" x14ac:dyDescent="0.2">
      <c r="G7003" s="401"/>
    </row>
    <row r="7004" spans="7:7" hidden="1" x14ac:dyDescent="0.2">
      <c r="G7004" s="401"/>
    </row>
    <row r="7005" spans="7:7" hidden="1" x14ac:dyDescent="0.2">
      <c r="G7005" s="401"/>
    </row>
    <row r="7006" spans="7:7" hidden="1" x14ac:dyDescent="0.2">
      <c r="G7006" s="401"/>
    </row>
    <row r="7007" spans="7:7" hidden="1" x14ac:dyDescent="0.2">
      <c r="G7007" s="401"/>
    </row>
    <row r="7008" spans="7:7" hidden="1" x14ac:dyDescent="0.2">
      <c r="G7008" s="401"/>
    </row>
    <row r="7009" spans="7:7" hidden="1" x14ac:dyDescent="0.2">
      <c r="G7009" s="401"/>
    </row>
    <row r="7010" spans="7:7" hidden="1" x14ac:dyDescent="0.2">
      <c r="G7010" s="401"/>
    </row>
    <row r="7011" spans="7:7" hidden="1" x14ac:dyDescent="0.2">
      <c r="G7011" s="401"/>
    </row>
    <row r="7012" spans="7:7" hidden="1" x14ac:dyDescent="0.2">
      <c r="G7012" s="401"/>
    </row>
    <row r="7013" spans="7:7" hidden="1" x14ac:dyDescent="0.2">
      <c r="G7013" s="401"/>
    </row>
    <row r="7014" spans="7:7" hidden="1" x14ac:dyDescent="0.2">
      <c r="G7014" s="401"/>
    </row>
    <row r="7015" spans="7:7" hidden="1" x14ac:dyDescent="0.2">
      <c r="G7015" s="401"/>
    </row>
    <row r="7016" spans="7:7" hidden="1" x14ac:dyDescent="0.2">
      <c r="G7016" s="401"/>
    </row>
    <row r="7017" spans="7:7" hidden="1" x14ac:dyDescent="0.2">
      <c r="G7017" s="401"/>
    </row>
    <row r="7018" spans="7:7" hidden="1" x14ac:dyDescent="0.2">
      <c r="G7018" s="401"/>
    </row>
    <row r="7019" spans="7:7" hidden="1" x14ac:dyDescent="0.2">
      <c r="G7019" s="401"/>
    </row>
    <row r="7020" spans="7:7" hidden="1" x14ac:dyDescent="0.2">
      <c r="G7020" s="401"/>
    </row>
    <row r="7021" spans="7:7" hidden="1" x14ac:dyDescent="0.2">
      <c r="G7021" s="401"/>
    </row>
    <row r="7022" spans="7:7" hidden="1" x14ac:dyDescent="0.2">
      <c r="G7022" s="401"/>
    </row>
    <row r="7023" spans="7:7" hidden="1" x14ac:dyDescent="0.2">
      <c r="G7023" s="401"/>
    </row>
    <row r="7024" spans="7:7" hidden="1" x14ac:dyDescent="0.2">
      <c r="G7024" s="401"/>
    </row>
    <row r="7025" spans="7:7" hidden="1" x14ac:dyDescent="0.2">
      <c r="G7025" s="401"/>
    </row>
    <row r="7026" spans="7:7" hidden="1" x14ac:dyDescent="0.2">
      <c r="G7026" s="401"/>
    </row>
    <row r="7027" spans="7:7" hidden="1" x14ac:dyDescent="0.2">
      <c r="G7027" s="401"/>
    </row>
    <row r="7028" spans="7:7" hidden="1" x14ac:dyDescent="0.2">
      <c r="G7028" s="401"/>
    </row>
    <row r="7029" spans="7:7" hidden="1" x14ac:dyDescent="0.2">
      <c r="G7029" s="401"/>
    </row>
    <row r="7030" spans="7:7" hidden="1" x14ac:dyDescent="0.2">
      <c r="G7030" s="401"/>
    </row>
    <row r="7031" spans="7:7" hidden="1" x14ac:dyDescent="0.2">
      <c r="G7031" s="401"/>
    </row>
    <row r="7032" spans="7:7" hidden="1" x14ac:dyDescent="0.2">
      <c r="G7032" s="401"/>
    </row>
    <row r="7033" spans="7:7" hidden="1" x14ac:dyDescent="0.2">
      <c r="G7033" s="401"/>
    </row>
    <row r="7034" spans="7:7" hidden="1" x14ac:dyDescent="0.2">
      <c r="G7034" s="401"/>
    </row>
    <row r="7035" spans="7:7" hidden="1" x14ac:dyDescent="0.2">
      <c r="G7035" s="401"/>
    </row>
    <row r="7036" spans="7:7" hidden="1" x14ac:dyDescent="0.2">
      <c r="G7036" s="401"/>
    </row>
    <row r="7037" spans="7:7" hidden="1" x14ac:dyDescent="0.2">
      <c r="G7037" s="401"/>
    </row>
    <row r="7038" spans="7:7" hidden="1" x14ac:dyDescent="0.2">
      <c r="G7038" s="401"/>
    </row>
    <row r="7039" spans="7:7" hidden="1" x14ac:dyDescent="0.2">
      <c r="G7039" s="401"/>
    </row>
    <row r="7040" spans="7:7" hidden="1" x14ac:dyDescent="0.2">
      <c r="G7040" s="401"/>
    </row>
    <row r="7041" spans="7:7" hidden="1" x14ac:dyDescent="0.2">
      <c r="G7041" s="401"/>
    </row>
    <row r="7042" spans="7:7" hidden="1" x14ac:dyDescent="0.2">
      <c r="G7042" s="401"/>
    </row>
    <row r="7043" spans="7:7" hidden="1" x14ac:dyDescent="0.2">
      <c r="G7043" s="401"/>
    </row>
    <row r="7044" spans="7:7" hidden="1" x14ac:dyDescent="0.2">
      <c r="G7044" s="401"/>
    </row>
    <row r="7045" spans="7:7" hidden="1" x14ac:dyDescent="0.2">
      <c r="G7045" s="401"/>
    </row>
    <row r="7046" spans="7:7" hidden="1" x14ac:dyDescent="0.2">
      <c r="G7046" s="401"/>
    </row>
    <row r="7047" spans="7:7" hidden="1" x14ac:dyDescent="0.2">
      <c r="G7047" s="401"/>
    </row>
    <row r="7048" spans="7:7" hidden="1" x14ac:dyDescent="0.2">
      <c r="G7048" s="401"/>
    </row>
    <row r="7049" spans="7:7" hidden="1" x14ac:dyDescent="0.2">
      <c r="G7049" s="401"/>
    </row>
    <row r="7050" spans="7:7" hidden="1" x14ac:dyDescent="0.2">
      <c r="G7050" s="401"/>
    </row>
    <row r="7051" spans="7:7" hidden="1" x14ac:dyDescent="0.2">
      <c r="G7051" s="401"/>
    </row>
    <row r="7052" spans="7:7" hidden="1" x14ac:dyDescent="0.2">
      <c r="G7052" s="401"/>
    </row>
    <row r="7053" spans="7:7" hidden="1" x14ac:dyDescent="0.2">
      <c r="G7053" s="401"/>
    </row>
    <row r="7054" spans="7:7" hidden="1" x14ac:dyDescent="0.2">
      <c r="G7054" s="401"/>
    </row>
    <row r="7055" spans="7:7" hidden="1" x14ac:dyDescent="0.2">
      <c r="G7055" s="401"/>
    </row>
    <row r="7056" spans="7:7" hidden="1" x14ac:dyDescent="0.2">
      <c r="G7056" s="401"/>
    </row>
    <row r="7057" spans="7:7" hidden="1" x14ac:dyDescent="0.2">
      <c r="G7057" s="401"/>
    </row>
    <row r="7058" spans="7:7" hidden="1" x14ac:dyDescent="0.2">
      <c r="G7058" s="401"/>
    </row>
    <row r="7059" spans="7:7" hidden="1" x14ac:dyDescent="0.2">
      <c r="G7059" s="401"/>
    </row>
    <row r="7060" spans="7:7" hidden="1" x14ac:dyDescent="0.2">
      <c r="G7060" s="401"/>
    </row>
    <row r="7061" spans="7:7" hidden="1" x14ac:dyDescent="0.2">
      <c r="G7061" s="401"/>
    </row>
    <row r="7062" spans="7:7" hidden="1" x14ac:dyDescent="0.2">
      <c r="G7062" s="401"/>
    </row>
    <row r="7063" spans="7:7" hidden="1" x14ac:dyDescent="0.2">
      <c r="G7063" s="401"/>
    </row>
    <row r="7064" spans="7:7" hidden="1" x14ac:dyDescent="0.2">
      <c r="G7064" s="401"/>
    </row>
    <row r="7065" spans="7:7" hidden="1" x14ac:dyDescent="0.2">
      <c r="G7065" s="401"/>
    </row>
    <row r="7066" spans="7:7" hidden="1" x14ac:dyDescent="0.2">
      <c r="G7066" s="401"/>
    </row>
    <row r="7067" spans="7:7" hidden="1" x14ac:dyDescent="0.2">
      <c r="G7067" s="401"/>
    </row>
    <row r="7068" spans="7:7" hidden="1" x14ac:dyDescent="0.2">
      <c r="G7068" s="401"/>
    </row>
    <row r="7069" spans="7:7" hidden="1" x14ac:dyDescent="0.2">
      <c r="G7069" s="401"/>
    </row>
    <row r="7070" spans="7:7" hidden="1" x14ac:dyDescent="0.2">
      <c r="G7070" s="401"/>
    </row>
    <row r="7071" spans="7:7" hidden="1" x14ac:dyDescent="0.2">
      <c r="G7071" s="401"/>
    </row>
    <row r="7072" spans="7:7" hidden="1" x14ac:dyDescent="0.2">
      <c r="G7072" s="401"/>
    </row>
    <row r="7073" spans="7:7" hidden="1" x14ac:dyDescent="0.2">
      <c r="G7073" s="401"/>
    </row>
    <row r="7074" spans="7:7" hidden="1" x14ac:dyDescent="0.2">
      <c r="G7074" s="401"/>
    </row>
    <row r="7075" spans="7:7" hidden="1" x14ac:dyDescent="0.2">
      <c r="G7075" s="401"/>
    </row>
    <row r="7076" spans="7:7" hidden="1" x14ac:dyDescent="0.2">
      <c r="G7076" s="401"/>
    </row>
    <row r="7077" spans="7:7" hidden="1" x14ac:dyDescent="0.2">
      <c r="G7077" s="401"/>
    </row>
    <row r="7078" spans="7:7" hidden="1" x14ac:dyDescent="0.2">
      <c r="G7078" s="401"/>
    </row>
    <row r="7079" spans="7:7" hidden="1" x14ac:dyDescent="0.2">
      <c r="G7079" s="401"/>
    </row>
    <row r="7080" spans="7:7" hidden="1" x14ac:dyDescent="0.2">
      <c r="G7080" s="401"/>
    </row>
    <row r="7081" spans="7:7" hidden="1" x14ac:dyDescent="0.2">
      <c r="G7081" s="401"/>
    </row>
    <row r="7082" spans="7:7" hidden="1" x14ac:dyDescent="0.2">
      <c r="G7082" s="401"/>
    </row>
    <row r="7083" spans="7:7" hidden="1" x14ac:dyDescent="0.2">
      <c r="G7083" s="401"/>
    </row>
    <row r="7084" spans="7:7" hidden="1" x14ac:dyDescent="0.2">
      <c r="G7084" s="401"/>
    </row>
    <row r="7085" spans="7:7" hidden="1" x14ac:dyDescent="0.2">
      <c r="G7085" s="401"/>
    </row>
    <row r="7086" spans="7:7" hidden="1" x14ac:dyDescent="0.2">
      <c r="G7086" s="401"/>
    </row>
    <row r="7087" spans="7:7" hidden="1" x14ac:dyDescent="0.2">
      <c r="G7087" s="401"/>
    </row>
    <row r="7088" spans="7:7" hidden="1" x14ac:dyDescent="0.2">
      <c r="G7088" s="401"/>
    </row>
    <row r="7089" spans="7:7" hidden="1" x14ac:dyDescent="0.2">
      <c r="G7089" s="401"/>
    </row>
    <row r="7090" spans="7:7" hidden="1" x14ac:dyDescent="0.2">
      <c r="G7090" s="401"/>
    </row>
    <row r="7091" spans="7:7" hidden="1" x14ac:dyDescent="0.2">
      <c r="G7091" s="401"/>
    </row>
    <row r="7092" spans="7:7" hidden="1" x14ac:dyDescent="0.2">
      <c r="G7092" s="401"/>
    </row>
    <row r="7093" spans="7:7" hidden="1" x14ac:dyDescent="0.2">
      <c r="G7093" s="401"/>
    </row>
    <row r="7094" spans="7:7" hidden="1" x14ac:dyDescent="0.2">
      <c r="G7094" s="401"/>
    </row>
    <row r="7095" spans="7:7" hidden="1" x14ac:dyDescent="0.2">
      <c r="G7095" s="401"/>
    </row>
    <row r="7096" spans="7:7" hidden="1" x14ac:dyDescent="0.2">
      <c r="G7096" s="401"/>
    </row>
    <row r="7097" spans="7:7" hidden="1" x14ac:dyDescent="0.2">
      <c r="G7097" s="401"/>
    </row>
    <row r="7098" spans="7:7" hidden="1" x14ac:dyDescent="0.2">
      <c r="G7098" s="401"/>
    </row>
    <row r="7099" spans="7:7" hidden="1" x14ac:dyDescent="0.2">
      <c r="G7099" s="401"/>
    </row>
    <row r="7100" spans="7:7" hidden="1" x14ac:dyDescent="0.2">
      <c r="G7100" s="401"/>
    </row>
    <row r="7101" spans="7:7" hidden="1" x14ac:dyDescent="0.2">
      <c r="G7101" s="401"/>
    </row>
    <row r="7102" spans="7:7" hidden="1" x14ac:dyDescent="0.2">
      <c r="G7102" s="401"/>
    </row>
    <row r="7103" spans="7:7" hidden="1" x14ac:dyDescent="0.2">
      <c r="G7103" s="401"/>
    </row>
    <row r="7104" spans="7:7" hidden="1" x14ac:dyDescent="0.2">
      <c r="G7104" s="401"/>
    </row>
    <row r="7105" spans="7:7" hidden="1" x14ac:dyDescent="0.2">
      <c r="G7105" s="401"/>
    </row>
    <row r="7106" spans="7:7" hidden="1" x14ac:dyDescent="0.2">
      <c r="G7106" s="401"/>
    </row>
    <row r="7107" spans="7:7" hidden="1" x14ac:dyDescent="0.2">
      <c r="G7107" s="401"/>
    </row>
    <row r="7108" spans="7:7" hidden="1" x14ac:dyDescent="0.2">
      <c r="G7108" s="401"/>
    </row>
    <row r="7109" spans="7:7" hidden="1" x14ac:dyDescent="0.2">
      <c r="G7109" s="401"/>
    </row>
    <row r="7110" spans="7:7" hidden="1" x14ac:dyDescent="0.2">
      <c r="G7110" s="401"/>
    </row>
    <row r="7111" spans="7:7" hidden="1" x14ac:dyDescent="0.2">
      <c r="G7111" s="401"/>
    </row>
    <row r="7112" spans="7:7" hidden="1" x14ac:dyDescent="0.2">
      <c r="G7112" s="401"/>
    </row>
    <row r="7113" spans="7:7" hidden="1" x14ac:dyDescent="0.2">
      <c r="G7113" s="401"/>
    </row>
    <row r="7114" spans="7:7" hidden="1" x14ac:dyDescent="0.2">
      <c r="G7114" s="401"/>
    </row>
    <row r="7115" spans="7:7" hidden="1" x14ac:dyDescent="0.2">
      <c r="G7115" s="401"/>
    </row>
    <row r="7116" spans="7:7" hidden="1" x14ac:dyDescent="0.2">
      <c r="G7116" s="401"/>
    </row>
    <row r="7117" spans="7:7" hidden="1" x14ac:dyDescent="0.2">
      <c r="G7117" s="401"/>
    </row>
    <row r="7118" spans="7:7" hidden="1" x14ac:dyDescent="0.2">
      <c r="G7118" s="401"/>
    </row>
    <row r="7119" spans="7:7" hidden="1" x14ac:dyDescent="0.2">
      <c r="G7119" s="401"/>
    </row>
    <row r="7120" spans="7:7" hidden="1" x14ac:dyDescent="0.2">
      <c r="G7120" s="401"/>
    </row>
    <row r="7121" spans="7:7" hidden="1" x14ac:dyDescent="0.2">
      <c r="G7121" s="401"/>
    </row>
    <row r="7122" spans="7:7" hidden="1" x14ac:dyDescent="0.2">
      <c r="G7122" s="401"/>
    </row>
    <row r="7123" spans="7:7" hidden="1" x14ac:dyDescent="0.2">
      <c r="G7123" s="401"/>
    </row>
    <row r="7124" spans="7:7" hidden="1" x14ac:dyDescent="0.2">
      <c r="G7124" s="401"/>
    </row>
    <row r="7125" spans="7:7" hidden="1" x14ac:dyDescent="0.2">
      <c r="G7125" s="401"/>
    </row>
    <row r="7126" spans="7:7" hidden="1" x14ac:dyDescent="0.2">
      <c r="G7126" s="401"/>
    </row>
    <row r="7127" spans="7:7" hidden="1" x14ac:dyDescent="0.2">
      <c r="G7127" s="401"/>
    </row>
    <row r="7128" spans="7:7" hidden="1" x14ac:dyDescent="0.2">
      <c r="G7128" s="401"/>
    </row>
    <row r="7129" spans="7:7" hidden="1" x14ac:dyDescent="0.2">
      <c r="G7129" s="401"/>
    </row>
    <row r="7130" spans="7:7" hidden="1" x14ac:dyDescent="0.2">
      <c r="G7130" s="401"/>
    </row>
    <row r="7131" spans="7:7" hidden="1" x14ac:dyDescent="0.2">
      <c r="G7131" s="401"/>
    </row>
    <row r="7132" spans="7:7" hidden="1" x14ac:dyDescent="0.2">
      <c r="G7132" s="401"/>
    </row>
    <row r="7133" spans="7:7" hidden="1" x14ac:dyDescent="0.2">
      <c r="G7133" s="401"/>
    </row>
    <row r="7134" spans="7:7" hidden="1" x14ac:dyDescent="0.2">
      <c r="G7134" s="401"/>
    </row>
    <row r="7135" spans="7:7" hidden="1" x14ac:dyDescent="0.2">
      <c r="G7135" s="401"/>
    </row>
    <row r="7136" spans="7:7" hidden="1" x14ac:dyDescent="0.2">
      <c r="G7136" s="401"/>
    </row>
    <row r="7137" spans="7:7" hidden="1" x14ac:dyDescent="0.2">
      <c r="G7137" s="401"/>
    </row>
    <row r="7138" spans="7:7" hidden="1" x14ac:dyDescent="0.2">
      <c r="G7138" s="401"/>
    </row>
    <row r="7139" spans="7:7" hidden="1" x14ac:dyDescent="0.2">
      <c r="G7139" s="401"/>
    </row>
    <row r="7140" spans="7:7" hidden="1" x14ac:dyDescent="0.2">
      <c r="G7140" s="401"/>
    </row>
    <row r="7141" spans="7:7" hidden="1" x14ac:dyDescent="0.2">
      <c r="G7141" s="401"/>
    </row>
    <row r="7142" spans="7:7" hidden="1" x14ac:dyDescent="0.2">
      <c r="G7142" s="401"/>
    </row>
    <row r="7143" spans="7:7" hidden="1" x14ac:dyDescent="0.2">
      <c r="G7143" s="401"/>
    </row>
    <row r="7144" spans="7:7" hidden="1" x14ac:dyDescent="0.2">
      <c r="G7144" s="401"/>
    </row>
    <row r="7145" spans="7:7" hidden="1" x14ac:dyDescent="0.2">
      <c r="G7145" s="401"/>
    </row>
    <row r="7146" spans="7:7" hidden="1" x14ac:dyDescent="0.2">
      <c r="G7146" s="401"/>
    </row>
    <row r="7147" spans="7:7" hidden="1" x14ac:dyDescent="0.2">
      <c r="G7147" s="401"/>
    </row>
    <row r="7148" spans="7:7" hidden="1" x14ac:dyDescent="0.2">
      <c r="G7148" s="401"/>
    </row>
    <row r="7149" spans="7:7" hidden="1" x14ac:dyDescent="0.2">
      <c r="G7149" s="401"/>
    </row>
    <row r="7150" spans="7:7" hidden="1" x14ac:dyDescent="0.2">
      <c r="G7150" s="401"/>
    </row>
    <row r="7151" spans="7:7" hidden="1" x14ac:dyDescent="0.2">
      <c r="G7151" s="401"/>
    </row>
    <row r="7152" spans="7:7" hidden="1" x14ac:dyDescent="0.2">
      <c r="G7152" s="401"/>
    </row>
    <row r="7153" spans="7:7" hidden="1" x14ac:dyDescent="0.2">
      <c r="G7153" s="401"/>
    </row>
    <row r="7154" spans="7:7" hidden="1" x14ac:dyDescent="0.2">
      <c r="G7154" s="401"/>
    </row>
    <row r="7155" spans="7:7" hidden="1" x14ac:dyDescent="0.2">
      <c r="G7155" s="401"/>
    </row>
    <row r="7156" spans="7:7" hidden="1" x14ac:dyDescent="0.2">
      <c r="G7156" s="401"/>
    </row>
    <row r="7157" spans="7:7" hidden="1" x14ac:dyDescent="0.2">
      <c r="G7157" s="401"/>
    </row>
    <row r="7158" spans="7:7" hidden="1" x14ac:dyDescent="0.2">
      <c r="G7158" s="401"/>
    </row>
    <row r="7159" spans="7:7" hidden="1" x14ac:dyDescent="0.2">
      <c r="G7159" s="401"/>
    </row>
    <row r="7160" spans="7:7" hidden="1" x14ac:dyDescent="0.2">
      <c r="G7160" s="401"/>
    </row>
    <row r="7161" spans="7:7" hidden="1" x14ac:dyDescent="0.2">
      <c r="G7161" s="401"/>
    </row>
    <row r="7162" spans="7:7" hidden="1" x14ac:dyDescent="0.2">
      <c r="G7162" s="401"/>
    </row>
    <row r="7163" spans="7:7" hidden="1" x14ac:dyDescent="0.2">
      <c r="G7163" s="401"/>
    </row>
    <row r="7164" spans="7:7" hidden="1" x14ac:dyDescent="0.2">
      <c r="G7164" s="401"/>
    </row>
    <row r="7165" spans="7:7" hidden="1" x14ac:dyDescent="0.2">
      <c r="G7165" s="401"/>
    </row>
    <row r="7166" spans="7:7" hidden="1" x14ac:dyDescent="0.2">
      <c r="G7166" s="401"/>
    </row>
    <row r="7167" spans="7:7" hidden="1" x14ac:dyDescent="0.2">
      <c r="G7167" s="401"/>
    </row>
    <row r="7168" spans="7:7" hidden="1" x14ac:dyDescent="0.2">
      <c r="G7168" s="401"/>
    </row>
    <row r="7169" spans="7:7" hidden="1" x14ac:dyDescent="0.2">
      <c r="G7169" s="401"/>
    </row>
    <row r="7170" spans="7:7" hidden="1" x14ac:dyDescent="0.2">
      <c r="G7170" s="401"/>
    </row>
    <row r="7171" spans="7:7" hidden="1" x14ac:dyDescent="0.2">
      <c r="G7171" s="401"/>
    </row>
    <row r="7172" spans="7:7" hidden="1" x14ac:dyDescent="0.2">
      <c r="G7172" s="401"/>
    </row>
    <row r="7173" spans="7:7" hidden="1" x14ac:dyDescent="0.2">
      <c r="G7173" s="401"/>
    </row>
    <row r="7174" spans="7:7" hidden="1" x14ac:dyDescent="0.2">
      <c r="G7174" s="401"/>
    </row>
    <row r="7175" spans="7:7" hidden="1" x14ac:dyDescent="0.2">
      <c r="G7175" s="401"/>
    </row>
    <row r="7176" spans="7:7" hidden="1" x14ac:dyDescent="0.2">
      <c r="G7176" s="401"/>
    </row>
    <row r="7177" spans="7:7" hidden="1" x14ac:dyDescent="0.2">
      <c r="G7177" s="401"/>
    </row>
    <row r="7178" spans="7:7" hidden="1" x14ac:dyDescent="0.2">
      <c r="G7178" s="401"/>
    </row>
    <row r="7179" spans="7:7" hidden="1" x14ac:dyDescent="0.2">
      <c r="G7179" s="401"/>
    </row>
    <row r="7180" spans="7:7" hidden="1" x14ac:dyDescent="0.2">
      <c r="G7180" s="401"/>
    </row>
    <row r="7181" spans="7:7" hidden="1" x14ac:dyDescent="0.2">
      <c r="G7181" s="401"/>
    </row>
    <row r="7182" spans="7:7" hidden="1" x14ac:dyDescent="0.2">
      <c r="G7182" s="401"/>
    </row>
    <row r="7183" spans="7:7" hidden="1" x14ac:dyDescent="0.2">
      <c r="G7183" s="401"/>
    </row>
    <row r="7184" spans="7:7" hidden="1" x14ac:dyDescent="0.2">
      <c r="G7184" s="401"/>
    </row>
    <row r="7185" spans="7:7" hidden="1" x14ac:dyDescent="0.2">
      <c r="G7185" s="401"/>
    </row>
    <row r="7186" spans="7:7" hidden="1" x14ac:dyDescent="0.2">
      <c r="G7186" s="401"/>
    </row>
    <row r="7187" spans="7:7" hidden="1" x14ac:dyDescent="0.2">
      <c r="G7187" s="401"/>
    </row>
    <row r="7188" spans="7:7" hidden="1" x14ac:dyDescent="0.2">
      <c r="G7188" s="401"/>
    </row>
    <row r="7189" spans="7:7" hidden="1" x14ac:dyDescent="0.2">
      <c r="G7189" s="401"/>
    </row>
    <row r="7190" spans="7:7" hidden="1" x14ac:dyDescent="0.2">
      <c r="G7190" s="401"/>
    </row>
    <row r="7191" spans="7:7" hidden="1" x14ac:dyDescent="0.2">
      <c r="G7191" s="401"/>
    </row>
    <row r="7192" spans="7:7" hidden="1" x14ac:dyDescent="0.2">
      <c r="G7192" s="401"/>
    </row>
    <row r="7193" spans="7:7" hidden="1" x14ac:dyDescent="0.2">
      <c r="G7193" s="401"/>
    </row>
    <row r="7194" spans="7:7" hidden="1" x14ac:dyDescent="0.2">
      <c r="G7194" s="401"/>
    </row>
    <row r="7195" spans="7:7" hidden="1" x14ac:dyDescent="0.2">
      <c r="G7195" s="401"/>
    </row>
    <row r="7196" spans="7:7" hidden="1" x14ac:dyDescent="0.2">
      <c r="G7196" s="401"/>
    </row>
    <row r="7197" spans="7:7" hidden="1" x14ac:dyDescent="0.2">
      <c r="G7197" s="401"/>
    </row>
    <row r="7198" spans="7:7" hidden="1" x14ac:dyDescent="0.2">
      <c r="G7198" s="401"/>
    </row>
    <row r="7199" spans="7:7" hidden="1" x14ac:dyDescent="0.2">
      <c r="G7199" s="401"/>
    </row>
    <row r="7200" spans="7:7" hidden="1" x14ac:dyDescent="0.2">
      <c r="G7200" s="401"/>
    </row>
    <row r="7201" spans="7:7" hidden="1" x14ac:dyDescent="0.2">
      <c r="G7201" s="401"/>
    </row>
    <row r="7202" spans="7:7" hidden="1" x14ac:dyDescent="0.2">
      <c r="G7202" s="401"/>
    </row>
    <row r="7203" spans="7:7" hidden="1" x14ac:dyDescent="0.2">
      <c r="G7203" s="401"/>
    </row>
    <row r="7204" spans="7:7" hidden="1" x14ac:dyDescent="0.2">
      <c r="G7204" s="401"/>
    </row>
    <row r="7205" spans="7:7" hidden="1" x14ac:dyDescent="0.2">
      <c r="G7205" s="401"/>
    </row>
    <row r="7206" spans="7:7" hidden="1" x14ac:dyDescent="0.2">
      <c r="G7206" s="401"/>
    </row>
    <row r="7207" spans="7:7" hidden="1" x14ac:dyDescent="0.2">
      <c r="G7207" s="401"/>
    </row>
    <row r="7208" spans="7:7" hidden="1" x14ac:dyDescent="0.2">
      <c r="G7208" s="401"/>
    </row>
    <row r="7209" spans="7:7" hidden="1" x14ac:dyDescent="0.2">
      <c r="G7209" s="401"/>
    </row>
    <row r="7210" spans="7:7" hidden="1" x14ac:dyDescent="0.2">
      <c r="G7210" s="401"/>
    </row>
    <row r="7211" spans="7:7" hidden="1" x14ac:dyDescent="0.2">
      <c r="G7211" s="401"/>
    </row>
    <row r="7212" spans="7:7" hidden="1" x14ac:dyDescent="0.2">
      <c r="G7212" s="401"/>
    </row>
    <row r="7213" spans="7:7" hidden="1" x14ac:dyDescent="0.2">
      <c r="G7213" s="401"/>
    </row>
    <row r="7214" spans="7:7" hidden="1" x14ac:dyDescent="0.2">
      <c r="G7214" s="401"/>
    </row>
    <row r="7215" spans="7:7" hidden="1" x14ac:dyDescent="0.2">
      <c r="G7215" s="401"/>
    </row>
    <row r="7216" spans="7:7" hidden="1" x14ac:dyDescent="0.2">
      <c r="G7216" s="401"/>
    </row>
    <row r="7217" spans="7:7" hidden="1" x14ac:dyDescent="0.2">
      <c r="G7217" s="401"/>
    </row>
    <row r="7218" spans="7:7" hidden="1" x14ac:dyDescent="0.2">
      <c r="G7218" s="401"/>
    </row>
    <row r="7219" spans="7:7" hidden="1" x14ac:dyDescent="0.2">
      <c r="G7219" s="401"/>
    </row>
    <row r="7220" spans="7:7" hidden="1" x14ac:dyDescent="0.2">
      <c r="G7220" s="401"/>
    </row>
    <row r="7221" spans="7:7" hidden="1" x14ac:dyDescent="0.2">
      <c r="G7221" s="401"/>
    </row>
    <row r="7222" spans="7:7" hidden="1" x14ac:dyDescent="0.2">
      <c r="G7222" s="401"/>
    </row>
    <row r="7223" spans="7:7" hidden="1" x14ac:dyDescent="0.2">
      <c r="G7223" s="401"/>
    </row>
    <row r="7224" spans="7:7" hidden="1" x14ac:dyDescent="0.2">
      <c r="G7224" s="401"/>
    </row>
    <row r="7225" spans="7:7" hidden="1" x14ac:dyDescent="0.2">
      <c r="G7225" s="401"/>
    </row>
    <row r="7226" spans="7:7" hidden="1" x14ac:dyDescent="0.2">
      <c r="G7226" s="401"/>
    </row>
    <row r="7227" spans="7:7" hidden="1" x14ac:dyDescent="0.2">
      <c r="G7227" s="401"/>
    </row>
    <row r="7228" spans="7:7" hidden="1" x14ac:dyDescent="0.2">
      <c r="G7228" s="401"/>
    </row>
    <row r="7229" spans="7:7" hidden="1" x14ac:dyDescent="0.2">
      <c r="G7229" s="401"/>
    </row>
    <row r="7230" spans="7:7" hidden="1" x14ac:dyDescent="0.2">
      <c r="G7230" s="401"/>
    </row>
    <row r="7231" spans="7:7" hidden="1" x14ac:dyDescent="0.2">
      <c r="G7231" s="401"/>
    </row>
    <row r="7232" spans="7:7" hidden="1" x14ac:dyDescent="0.2">
      <c r="G7232" s="401"/>
    </row>
    <row r="7233" spans="7:7" hidden="1" x14ac:dyDescent="0.2">
      <c r="G7233" s="401"/>
    </row>
    <row r="7234" spans="7:7" hidden="1" x14ac:dyDescent="0.2">
      <c r="G7234" s="401"/>
    </row>
    <row r="7235" spans="7:7" hidden="1" x14ac:dyDescent="0.2">
      <c r="G7235" s="401"/>
    </row>
    <row r="7236" spans="7:7" hidden="1" x14ac:dyDescent="0.2">
      <c r="G7236" s="401"/>
    </row>
    <row r="7237" spans="7:7" hidden="1" x14ac:dyDescent="0.2">
      <c r="G7237" s="401"/>
    </row>
    <row r="7238" spans="7:7" hidden="1" x14ac:dyDescent="0.2">
      <c r="G7238" s="401"/>
    </row>
    <row r="7239" spans="7:7" hidden="1" x14ac:dyDescent="0.2">
      <c r="G7239" s="401"/>
    </row>
    <row r="7240" spans="7:7" hidden="1" x14ac:dyDescent="0.2">
      <c r="G7240" s="401"/>
    </row>
    <row r="7241" spans="7:7" hidden="1" x14ac:dyDescent="0.2">
      <c r="G7241" s="401"/>
    </row>
    <row r="7242" spans="7:7" hidden="1" x14ac:dyDescent="0.2">
      <c r="G7242" s="401"/>
    </row>
    <row r="7243" spans="7:7" hidden="1" x14ac:dyDescent="0.2">
      <c r="G7243" s="401"/>
    </row>
    <row r="7244" spans="7:7" hidden="1" x14ac:dyDescent="0.2">
      <c r="G7244" s="401"/>
    </row>
    <row r="7245" spans="7:7" hidden="1" x14ac:dyDescent="0.2">
      <c r="G7245" s="401"/>
    </row>
    <row r="7246" spans="7:7" hidden="1" x14ac:dyDescent="0.2">
      <c r="G7246" s="401"/>
    </row>
    <row r="7247" spans="7:7" hidden="1" x14ac:dyDescent="0.2">
      <c r="G7247" s="401"/>
    </row>
    <row r="7248" spans="7:7" hidden="1" x14ac:dyDescent="0.2">
      <c r="G7248" s="401"/>
    </row>
    <row r="7249" spans="7:7" hidden="1" x14ac:dyDescent="0.2">
      <c r="G7249" s="401"/>
    </row>
    <row r="7250" spans="7:7" hidden="1" x14ac:dyDescent="0.2">
      <c r="G7250" s="401"/>
    </row>
    <row r="7251" spans="7:7" hidden="1" x14ac:dyDescent="0.2">
      <c r="G7251" s="401"/>
    </row>
    <row r="7252" spans="7:7" hidden="1" x14ac:dyDescent="0.2">
      <c r="G7252" s="401"/>
    </row>
    <row r="7253" spans="7:7" hidden="1" x14ac:dyDescent="0.2">
      <c r="G7253" s="401"/>
    </row>
    <row r="7254" spans="7:7" hidden="1" x14ac:dyDescent="0.2">
      <c r="G7254" s="401"/>
    </row>
    <row r="7255" spans="7:7" hidden="1" x14ac:dyDescent="0.2">
      <c r="G7255" s="401"/>
    </row>
    <row r="7256" spans="7:7" hidden="1" x14ac:dyDescent="0.2">
      <c r="G7256" s="401"/>
    </row>
    <row r="7257" spans="7:7" hidden="1" x14ac:dyDescent="0.2">
      <c r="G7257" s="401"/>
    </row>
    <row r="7258" spans="7:7" hidden="1" x14ac:dyDescent="0.2">
      <c r="G7258" s="401"/>
    </row>
    <row r="7259" spans="7:7" hidden="1" x14ac:dyDescent="0.2">
      <c r="G7259" s="401"/>
    </row>
    <row r="7260" spans="7:7" hidden="1" x14ac:dyDescent="0.2">
      <c r="G7260" s="401"/>
    </row>
    <row r="7261" spans="7:7" hidden="1" x14ac:dyDescent="0.2">
      <c r="G7261" s="401"/>
    </row>
    <row r="7262" spans="7:7" hidden="1" x14ac:dyDescent="0.2">
      <c r="G7262" s="401"/>
    </row>
    <row r="7263" spans="7:7" hidden="1" x14ac:dyDescent="0.2">
      <c r="G7263" s="401"/>
    </row>
    <row r="7264" spans="7:7" hidden="1" x14ac:dyDescent="0.2">
      <c r="G7264" s="401"/>
    </row>
    <row r="7265" spans="7:7" hidden="1" x14ac:dyDescent="0.2">
      <c r="G7265" s="401"/>
    </row>
    <row r="7266" spans="7:7" hidden="1" x14ac:dyDescent="0.2">
      <c r="G7266" s="401"/>
    </row>
    <row r="7267" spans="7:7" hidden="1" x14ac:dyDescent="0.2">
      <c r="G7267" s="401"/>
    </row>
    <row r="7268" spans="7:7" hidden="1" x14ac:dyDescent="0.2">
      <c r="G7268" s="401"/>
    </row>
    <row r="7269" spans="7:7" hidden="1" x14ac:dyDescent="0.2">
      <c r="G7269" s="401"/>
    </row>
    <row r="7270" spans="7:7" hidden="1" x14ac:dyDescent="0.2">
      <c r="G7270" s="401"/>
    </row>
    <row r="7271" spans="7:7" hidden="1" x14ac:dyDescent="0.2">
      <c r="G7271" s="401"/>
    </row>
    <row r="7272" spans="7:7" hidden="1" x14ac:dyDescent="0.2">
      <c r="G7272" s="401"/>
    </row>
    <row r="7273" spans="7:7" hidden="1" x14ac:dyDescent="0.2">
      <c r="G7273" s="401"/>
    </row>
    <row r="7274" spans="7:7" hidden="1" x14ac:dyDescent="0.2">
      <c r="G7274" s="401"/>
    </row>
    <row r="7275" spans="7:7" hidden="1" x14ac:dyDescent="0.2">
      <c r="G7275" s="401"/>
    </row>
    <row r="7276" spans="7:7" hidden="1" x14ac:dyDescent="0.2">
      <c r="G7276" s="401"/>
    </row>
    <row r="7277" spans="7:7" hidden="1" x14ac:dyDescent="0.2">
      <c r="G7277" s="401"/>
    </row>
    <row r="7278" spans="7:7" hidden="1" x14ac:dyDescent="0.2">
      <c r="G7278" s="401"/>
    </row>
    <row r="7279" spans="7:7" hidden="1" x14ac:dyDescent="0.2">
      <c r="G7279" s="401"/>
    </row>
    <row r="7280" spans="7:7" hidden="1" x14ac:dyDescent="0.2">
      <c r="G7280" s="401"/>
    </row>
    <row r="7281" spans="7:7" hidden="1" x14ac:dyDescent="0.2">
      <c r="G7281" s="401"/>
    </row>
    <row r="7282" spans="7:7" hidden="1" x14ac:dyDescent="0.2">
      <c r="G7282" s="401"/>
    </row>
    <row r="7283" spans="7:7" hidden="1" x14ac:dyDescent="0.2">
      <c r="G7283" s="401"/>
    </row>
    <row r="7284" spans="7:7" hidden="1" x14ac:dyDescent="0.2">
      <c r="G7284" s="401"/>
    </row>
    <row r="7285" spans="7:7" hidden="1" x14ac:dyDescent="0.2">
      <c r="G7285" s="401"/>
    </row>
    <row r="7286" spans="7:7" hidden="1" x14ac:dyDescent="0.2">
      <c r="G7286" s="401"/>
    </row>
    <row r="7287" spans="7:7" hidden="1" x14ac:dyDescent="0.2">
      <c r="G7287" s="401"/>
    </row>
    <row r="7288" spans="7:7" hidden="1" x14ac:dyDescent="0.2">
      <c r="G7288" s="401"/>
    </row>
    <row r="7289" spans="7:7" hidden="1" x14ac:dyDescent="0.2">
      <c r="G7289" s="401"/>
    </row>
    <row r="7290" spans="7:7" hidden="1" x14ac:dyDescent="0.2">
      <c r="G7290" s="401"/>
    </row>
    <row r="7291" spans="7:7" hidden="1" x14ac:dyDescent="0.2">
      <c r="G7291" s="401"/>
    </row>
    <row r="7292" spans="7:7" hidden="1" x14ac:dyDescent="0.2">
      <c r="G7292" s="401"/>
    </row>
    <row r="7293" spans="7:7" hidden="1" x14ac:dyDescent="0.2">
      <c r="G7293" s="401"/>
    </row>
    <row r="7294" spans="7:7" hidden="1" x14ac:dyDescent="0.2">
      <c r="G7294" s="401"/>
    </row>
    <row r="7295" spans="7:7" hidden="1" x14ac:dyDescent="0.2">
      <c r="G7295" s="401"/>
    </row>
    <row r="7296" spans="7:7" hidden="1" x14ac:dyDescent="0.2">
      <c r="G7296" s="401"/>
    </row>
    <row r="7297" spans="7:7" hidden="1" x14ac:dyDescent="0.2">
      <c r="G7297" s="401"/>
    </row>
    <row r="7298" spans="7:7" hidden="1" x14ac:dyDescent="0.2">
      <c r="G7298" s="401"/>
    </row>
    <row r="7299" spans="7:7" hidden="1" x14ac:dyDescent="0.2">
      <c r="G7299" s="401"/>
    </row>
    <row r="7300" spans="7:7" hidden="1" x14ac:dyDescent="0.2">
      <c r="G7300" s="401"/>
    </row>
    <row r="7301" spans="7:7" hidden="1" x14ac:dyDescent="0.2">
      <c r="G7301" s="401"/>
    </row>
    <row r="7302" spans="7:7" hidden="1" x14ac:dyDescent="0.2">
      <c r="G7302" s="401"/>
    </row>
    <row r="7303" spans="7:7" hidden="1" x14ac:dyDescent="0.2">
      <c r="G7303" s="401"/>
    </row>
    <row r="7304" spans="7:7" hidden="1" x14ac:dyDescent="0.2">
      <c r="G7304" s="401"/>
    </row>
    <row r="7305" spans="7:7" hidden="1" x14ac:dyDescent="0.2">
      <c r="G7305" s="401"/>
    </row>
    <row r="7306" spans="7:7" hidden="1" x14ac:dyDescent="0.2">
      <c r="G7306" s="401"/>
    </row>
    <row r="7307" spans="7:7" hidden="1" x14ac:dyDescent="0.2">
      <c r="G7307" s="401"/>
    </row>
    <row r="7308" spans="7:7" hidden="1" x14ac:dyDescent="0.2">
      <c r="G7308" s="401"/>
    </row>
    <row r="7309" spans="7:7" hidden="1" x14ac:dyDescent="0.2">
      <c r="G7309" s="401"/>
    </row>
    <row r="7310" spans="7:7" hidden="1" x14ac:dyDescent="0.2">
      <c r="G7310" s="401"/>
    </row>
    <row r="7311" spans="7:7" hidden="1" x14ac:dyDescent="0.2">
      <c r="G7311" s="401"/>
    </row>
    <row r="7312" spans="7:7" hidden="1" x14ac:dyDescent="0.2">
      <c r="G7312" s="401"/>
    </row>
    <row r="7313" spans="7:7" hidden="1" x14ac:dyDescent="0.2">
      <c r="G7313" s="401"/>
    </row>
    <row r="7314" spans="7:7" hidden="1" x14ac:dyDescent="0.2">
      <c r="G7314" s="401"/>
    </row>
    <row r="7315" spans="7:7" hidden="1" x14ac:dyDescent="0.2">
      <c r="G7315" s="401"/>
    </row>
    <row r="7316" spans="7:7" hidden="1" x14ac:dyDescent="0.2">
      <c r="G7316" s="401"/>
    </row>
    <row r="7317" spans="7:7" hidden="1" x14ac:dyDescent="0.2">
      <c r="G7317" s="401"/>
    </row>
    <row r="7318" spans="7:7" hidden="1" x14ac:dyDescent="0.2">
      <c r="G7318" s="401"/>
    </row>
    <row r="7319" spans="7:7" hidden="1" x14ac:dyDescent="0.2">
      <c r="G7319" s="401"/>
    </row>
    <row r="7320" spans="7:7" hidden="1" x14ac:dyDescent="0.2">
      <c r="G7320" s="401"/>
    </row>
    <row r="7321" spans="7:7" hidden="1" x14ac:dyDescent="0.2">
      <c r="G7321" s="401"/>
    </row>
    <row r="7322" spans="7:7" hidden="1" x14ac:dyDescent="0.2">
      <c r="G7322" s="401"/>
    </row>
    <row r="7323" spans="7:7" hidden="1" x14ac:dyDescent="0.2">
      <c r="G7323" s="401"/>
    </row>
    <row r="7324" spans="7:7" hidden="1" x14ac:dyDescent="0.2">
      <c r="G7324" s="401"/>
    </row>
    <row r="7325" spans="7:7" hidden="1" x14ac:dyDescent="0.2">
      <c r="G7325" s="401"/>
    </row>
    <row r="7326" spans="7:7" hidden="1" x14ac:dyDescent="0.2">
      <c r="G7326" s="401"/>
    </row>
    <row r="7327" spans="7:7" hidden="1" x14ac:dyDescent="0.2">
      <c r="G7327" s="401"/>
    </row>
    <row r="7328" spans="7:7" hidden="1" x14ac:dyDescent="0.2">
      <c r="G7328" s="401"/>
    </row>
    <row r="7329" spans="7:7" hidden="1" x14ac:dyDescent="0.2">
      <c r="G7329" s="401"/>
    </row>
    <row r="7330" spans="7:7" hidden="1" x14ac:dyDescent="0.2">
      <c r="G7330" s="401"/>
    </row>
    <row r="7331" spans="7:7" hidden="1" x14ac:dyDescent="0.2">
      <c r="G7331" s="401"/>
    </row>
    <row r="7332" spans="7:7" hidden="1" x14ac:dyDescent="0.2">
      <c r="G7332" s="401"/>
    </row>
    <row r="7333" spans="7:7" hidden="1" x14ac:dyDescent="0.2">
      <c r="G7333" s="401"/>
    </row>
    <row r="7334" spans="7:7" hidden="1" x14ac:dyDescent="0.2">
      <c r="G7334" s="401"/>
    </row>
    <row r="7335" spans="7:7" hidden="1" x14ac:dyDescent="0.2">
      <c r="G7335" s="401"/>
    </row>
    <row r="7336" spans="7:7" hidden="1" x14ac:dyDescent="0.2">
      <c r="G7336" s="401"/>
    </row>
    <row r="7337" spans="7:7" hidden="1" x14ac:dyDescent="0.2">
      <c r="G7337" s="401"/>
    </row>
    <row r="7338" spans="7:7" hidden="1" x14ac:dyDescent="0.2">
      <c r="G7338" s="401"/>
    </row>
    <row r="7339" spans="7:7" hidden="1" x14ac:dyDescent="0.2">
      <c r="G7339" s="401"/>
    </row>
    <row r="7340" spans="7:7" hidden="1" x14ac:dyDescent="0.2">
      <c r="G7340" s="401"/>
    </row>
    <row r="7341" spans="7:7" hidden="1" x14ac:dyDescent="0.2">
      <c r="G7341" s="401"/>
    </row>
    <row r="7342" spans="7:7" hidden="1" x14ac:dyDescent="0.2">
      <c r="G7342" s="401"/>
    </row>
    <row r="7343" spans="7:7" hidden="1" x14ac:dyDescent="0.2">
      <c r="G7343" s="401"/>
    </row>
    <row r="7344" spans="7:7" hidden="1" x14ac:dyDescent="0.2">
      <c r="G7344" s="401"/>
    </row>
    <row r="7345" spans="7:7" hidden="1" x14ac:dyDescent="0.2">
      <c r="G7345" s="401"/>
    </row>
    <row r="7346" spans="7:7" hidden="1" x14ac:dyDescent="0.2">
      <c r="G7346" s="401"/>
    </row>
    <row r="7347" spans="7:7" hidden="1" x14ac:dyDescent="0.2">
      <c r="G7347" s="401"/>
    </row>
    <row r="7348" spans="7:7" hidden="1" x14ac:dyDescent="0.2">
      <c r="G7348" s="401"/>
    </row>
    <row r="7349" spans="7:7" hidden="1" x14ac:dyDescent="0.2">
      <c r="G7349" s="401"/>
    </row>
    <row r="7350" spans="7:7" hidden="1" x14ac:dyDescent="0.2">
      <c r="G7350" s="401"/>
    </row>
    <row r="7351" spans="7:7" hidden="1" x14ac:dyDescent="0.2">
      <c r="G7351" s="401"/>
    </row>
    <row r="7352" spans="7:7" hidden="1" x14ac:dyDescent="0.2">
      <c r="G7352" s="401"/>
    </row>
    <row r="7353" spans="7:7" hidden="1" x14ac:dyDescent="0.2">
      <c r="G7353" s="401"/>
    </row>
    <row r="7354" spans="7:7" hidden="1" x14ac:dyDescent="0.2">
      <c r="G7354" s="401"/>
    </row>
    <row r="7355" spans="7:7" hidden="1" x14ac:dyDescent="0.2">
      <c r="G7355" s="401"/>
    </row>
    <row r="7356" spans="7:7" hidden="1" x14ac:dyDescent="0.2">
      <c r="G7356" s="401"/>
    </row>
    <row r="7357" spans="7:7" hidden="1" x14ac:dyDescent="0.2">
      <c r="G7357" s="401"/>
    </row>
    <row r="7358" spans="7:7" hidden="1" x14ac:dyDescent="0.2">
      <c r="G7358" s="401"/>
    </row>
    <row r="7359" spans="7:7" hidden="1" x14ac:dyDescent="0.2">
      <c r="G7359" s="401"/>
    </row>
    <row r="7360" spans="7:7" hidden="1" x14ac:dyDescent="0.2">
      <c r="G7360" s="401"/>
    </row>
    <row r="7361" spans="7:7" hidden="1" x14ac:dyDescent="0.2">
      <c r="G7361" s="401"/>
    </row>
    <row r="7362" spans="7:7" hidden="1" x14ac:dyDescent="0.2">
      <c r="G7362" s="401"/>
    </row>
    <row r="7363" spans="7:7" hidden="1" x14ac:dyDescent="0.2">
      <c r="G7363" s="401"/>
    </row>
    <row r="7364" spans="7:7" hidden="1" x14ac:dyDescent="0.2">
      <c r="G7364" s="401"/>
    </row>
    <row r="7365" spans="7:7" hidden="1" x14ac:dyDescent="0.2">
      <c r="G7365" s="401"/>
    </row>
    <row r="7366" spans="7:7" hidden="1" x14ac:dyDescent="0.2">
      <c r="G7366" s="401"/>
    </row>
    <row r="7367" spans="7:7" hidden="1" x14ac:dyDescent="0.2">
      <c r="G7367" s="401"/>
    </row>
    <row r="7368" spans="7:7" hidden="1" x14ac:dyDescent="0.2">
      <c r="G7368" s="401"/>
    </row>
    <row r="7369" spans="7:7" hidden="1" x14ac:dyDescent="0.2">
      <c r="G7369" s="401"/>
    </row>
    <row r="7370" spans="7:7" hidden="1" x14ac:dyDescent="0.2">
      <c r="G7370" s="401"/>
    </row>
    <row r="7371" spans="7:7" hidden="1" x14ac:dyDescent="0.2">
      <c r="G7371" s="401"/>
    </row>
    <row r="7372" spans="7:7" hidden="1" x14ac:dyDescent="0.2">
      <c r="G7372" s="401"/>
    </row>
    <row r="7373" spans="7:7" hidden="1" x14ac:dyDescent="0.2">
      <c r="G7373" s="401"/>
    </row>
    <row r="7374" spans="7:7" hidden="1" x14ac:dyDescent="0.2">
      <c r="G7374" s="401"/>
    </row>
    <row r="7375" spans="7:7" hidden="1" x14ac:dyDescent="0.2">
      <c r="G7375" s="401"/>
    </row>
    <row r="7376" spans="7:7" hidden="1" x14ac:dyDescent="0.2">
      <c r="G7376" s="401"/>
    </row>
    <row r="7377" spans="7:7" hidden="1" x14ac:dyDescent="0.2">
      <c r="G7377" s="401"/>
    </row>
    <row r="7378" spans="7:7" hidden="1" x14ac:dyDescent="0.2">
      <c r="G7378" s="401"/>
    </row>
    <row r="7379" spans="7:7" hidden="1" x14ac:dyDescent="0.2">
      <c r="G7379" s="401"/>
    </row>
    <row r="7380" spans="7:7" hidden="1" x14ac:dyDescent="0.2">
      <c r="G7380" s="401"/>
    </row>
    <row r="7381" spans="7:7" hidden="1" x14ac:dyDescent="0.2">
      <c r="G7381" s="401"/>
    </row>
    <row r="7382" spans="7:7" hidden="1" x14ac:dyDescent="0.2">
      <c r="G7382" s="401"/>
    </row>
    <row r="7383" spans="7:7" hidden="1" x14ac:dyDescent="0.2">
      <c r="G7383" s="401"/>
    </row>
    <row r="7384" spans="7:7" hidden="1" x14ac:dyDescent="0.2">
      <c r="G7384" s="401"/>
    </row>
    <row r="7385" spans="7:7" hidden="1" x14ac:dyDescent="0.2">
      <c r="G7385" s="401"/>
    </row>
    <row r="7386" spans="7:7" hidden="1" x14ac:dyDescent="0.2">
      <c r="G7386" s="401"/>
    </row>
    <row r="7387" spans="7:7" hidden="1" x14ac:dyDescent="0.2">
      <c r="G7387" s="401"/>
    </row>
    <row r="7388" spans="7:7" hidden="1" x14ac:dyDescent="0.2">
      <c r="G7388" s="401"/>
    </row>
    <row r="7389" spans="7:7" hidden="1" x14ac:dyDescent="0.2">
      <c r="G7389" s="401"/>
    </row>
    <row r="7390" spans="7:7" hidden="1" x14ac:dyDescent="0.2">
      <c r="G7390" s="401"/>
    </row>
    <row r="7391" spans="7:7" hidden="1" x14ac:dyDescent="0.2">
      <c r="G7391" s="401"/>
    </row>
    <row r="7392" spans="7:7" hidden="1" x14ac:dyDescent="0.2">
      <c r="G7392" s="401"/>
    </row>
    <row r="7393" spans="7:7" hidden="1" x14ac:dyDescent="0.2">
      <c r="G7393" s="401"/>
    </row>
    <row r="7394" spans="7:7" hidden="1" x14ac:dyDescent="0.2">
      <c r="G7394" s="401"/>
    </row>
    <row r="7395" spans="7:7" hidden="1" x14ac:dyDescent="0.2">
      <c r="G7395" s="401"/>
    </row>
    <row r="7396" spans="7:7" hidden="1" x14ac:dyDescent="0.2">
      <c r="G7396" s="401"/>
    </row>
    <row r="7397" spans="7:7" hidden="1" x14ac:dyDescent="0.2">
      <c r="G7397" s="401"/>
    </row>
    <row r="7398" spans="7:7" hidden="1" x14ac:dyDescent="0.2">
      <c r="G7398" s="401"/>
    </row>
    <row r="7399" spans="7:7" hidden="1" x14ac:dyDescent="0.2">
      <c r="G7399" s="401"/>
    </row>
    <row r="7400" spans="7:7" hidden="1" x14ac:dyDescent="0.2">
      <c r="G7400" s="401"/>
    </row>
    <row r="7401" spans="7:7" hidden="1" x14ac:dyDescent="0.2">
      <c r="G7401" s="401"/>
    </row>
    <row r="7402" spans="7:7" hidden="1" x14ac:dyDescent="0.2">
      <c r="G7402" s="401"/>
    </row>
    <row r="7403" spans="7:7" hidden="1" x14ac:dyDescent="0.2">
      <c r="G7403" s="401"/>
    </row>
    <row r="7404" spans="7:7" hidden="1" x14ac:dyDescent="0.2">
      <c r="G7404" s="401"/>
    </row>
    <row r="7405" spans="7:7" hidden="1" x14ac:dyDescent="0.2">
      <c r="G7405" s="401"/>
    </row>
    <row r="7406" spans="7:7" hidden="1" x14ac:dyDescent="0.2">
      <c r="G7406" s="401"/>
    </row>
    <row r="7407" spans="7:7" hidden="1" x14ac:dyDescent="0.2">
      <c r="G7407" s="401"/>
    </row>
    <row r="7408" spans="7:7" hidden="1" x14ac:dyDescent="0.2">
      <c r="G7408" s="401"/>
    </row>
    <row r="7409" spans="7:7" hidden="1" x14ac:dyDescent="0.2">
      <c r="G7409" s="401"/>
    </row>
    <row r="7410" spans="7:7" hidden="1" x14ac:dyDescent="0.2">
      <c r="G7410" s="401"/>
    </row>
    <row r="7411" spans="7:7" hidden="1" x14ac:dyDescent="0.2">
      <c r="G7411" s="401"/>
    </row>
    <row r="7412" spans="7:7" hidden="1" x14ac:dyDescent="0.2">
      <c r="G7412" s="401"/>
    </row>
    <row r="7413" spans="7:7" hidden="1" x14ac:dyDescent="0.2">
      <c r="G7413" s="401"/>
    </row>
    <row r="7414" spans="7:7" hidden="1" x14ac:dyDescent="0.2">
      <c r="G7414" s="401"/>
    </row>
    <row r="7415" spans="7:7" hidden="1" x14ac:dyDescent="0.2">
      <c r="G7415" s="401"/>
    </row>
    <row r="7416" spans="7:7" hidden="1" x14ac:dyDescent="0.2">
      <c r="G7416" s="401"/>
    </row>
    <row r="7417" spans="7:7" hidden="1" x14ac:dyDescent="0.2">
      <c r="G7417" s="401"/>
    </row>
    <row r="7418" spans="7:7" hidden="1" x14ac:dyDescent="0.2">
      <c r="G7418" s="401"/>
    </row>
    <row r="7419" spans="7:7" hidden="1" x14ac:dyDescent="0.2">
      <c r="G7419" s="401"/>
    </row>
    <row r="7420" spans="7:7" hidden="1" x14ac:dyDescent="0.2">
      <c r="G7420" s="401"/>
    </row>
    <row r="7421" spans="7:7" hidden="1" x14ac:dyDescent="0.2">
      <c r="G7421" s="401"/>
    </row>
    <row r="7422" spans="7:7" hidden="1" x14ac:dyDescent="0.2">
      <c r="G7422" s="401"/>
    </row>
    <row r="7423" spans="7:7" hidden="1" x14ac:dyDescent="0.2">
      <c r="G7423" s="401"/>
    </row>
    <row r="7424" spans="7:7" hidden="1" x14ac:dyDescent="0.2">
      <c r="G7424" s="401"/>
    </row>
    <row r="7425" spans="7:7" hidden="1" x14ac:dyDescent="0.2">
      <c r="G7425" s="401"/>
    </row>
    <row r="7426" spans="7:7" hidden="1" x14ac:dyDescent="0.2">
      <c r="G7426" s="401"/>
    </row>
    <row r="7427" spans="7:7" hidden="1" x14ac:dyDescent="0.2">
      <c r="G7427" s="401"/>
    </row>
    <row r="7428" spans="7:7" hidden="1" x14ac:dyDescent="0.2">
      <c r="G7428" s="401"/>
    </row>
    <row r="7429" spans="7:7" hidden="1" x14ac:dyDescent="0.2">
      <c r="G7429" s="401"/>
    </row>
    <row r="7430" spans="7:7" hidden="1" x14ac:dyDescent="0.2">
      <c r="G7430" s="401"/>
    </row>
    <row r="7431" spans="7:7" hidden="1" x14ac:dyDescent="0.2">
      <c r="G7431" s="401"/>
    </row>
    <row r="7432" spans="7:7" hidden="1" x14ac:dyDescent="0.2">
      <c r="G7432" s="401"/>
    </row>
    <row r="7433" spans="7:7" hidden="1" x14ac:dyDescent="0.2">
      <c r="G7433" s="401"/>
    </row>
    <row r="7434" spans="7:7" hidden="1" x14ac:dyDescent="0.2">
      <c r="G7434" s="401"/>
    </row>
    <row r="7435" spans="7:7" hidden="1" x14ac:dyDescent="0.2">
      <c r="G7435" s="401"/>
    </row>
    <row r="7436" spans="7:7" hidden="1" x14ac:dyDescent="0.2">
      <c r="G7436" s="401"/>
    </row>
    <row r="7437" spans="7:7" hidden="1" x14ac:dyDescent="0.2">
      <c r="G7437" s="401"/>
    </row>
    <row r="7438" spans="7:7" hidden="1" x14ac:dyDescent="0.2">
      <c r="G7438" s="401"/>
    </row>
    <row r="7439" spans="7:7" hidden="1" x14ac:dyDescent="0.2">
      <c r="G7439" s="401"/>
    </row>
    <row r="7440" spans="7:7" hidden="1" x14ac:dyDescent="0.2">
      <c r="G7440" s="401"/>
    </row>
    <row r="7441" spans="7:7" hidden="1" x14ac:dyDescent="0.2">
      <c r="G7441" s="401"/>
    </row>
    <row r="7442" spans="7:7" hidden="1" x14ac:dyDescent="0.2">
      <c r="G7442" s="401"/>
    </row>
    <row r="7443" spans="7:7" hidden="1" x14ac:dyDescent="0.2">
      <c r="G7443" s="401"/>
    </row>
    <row r="7444" spans="7:7" hidden="1" x14ac:dyDescent="0.2">
      <c r="G7444" s="401"/>
    </row>
    <row r="7445" spans="7:7" hidden="1" x14ac:dyDescent="0.2">
      <c r="G7445" s="401"/>
    </row>
    <row r="7446" spans="7:7" hidden="1" x14ac:dyDescent="0.2">
      <c r="G7446" s="401"/>
    </row>
    <row r="7447" spans="7:7" hidden="1" x14ac:dyDescent="0.2">
      <c r="G7447" s="401"/>
    </row>
    <row r="7448" spans="7:7" hidden="1" x14ac:dyDescent="0.2">
      <c r="G7448" s="401"/>
    </row>
    <row r="7449" spans="7:7" hidden="1" x14ac:dyDescent="0.2">
      <c r="G7449" s="401"/>
    </row>
    <row r="7450" spans="7:7" hidden="1" x14ac:dyDescent="0.2">
      <c r="G7450" s="401"/>
    </row>
    <row r="7451" spans="7:7" hidden="1" x14ac:dyDescent="0.2">
      <c r="G7451" s="401"/>
    </row>
    <row r="7452" spans="7:7" hidden="1" x14ac:dyDescent="0.2">
      <c r="G7452" s="401"/>
    </row>
    <row r="7453" spans="7:7" hidden="1" x14ac:dyDescent="0.2">
      <c r="G7453" s="401"/>
    </row>
    <row r="7454" spans="7:7" hidden="1" x14ac:dyDescent="0.2">
      <c r="G7454" s="401"/>
    </row>
    <row r="7455" spans="7:7" hidden="1" x14ac:dyDescent="0.2">
      <c r="G7455" s="401"/>
    </row>
    <row r="7456" spans="7:7" hidden="1" x14ac:dyDescent="0.2">
      <c r="G7456" s="401"/>
    </row>
    <row r="7457" spans="7:7" hidden="1" x14ac:dyDescent="0.2">
      <c r="G7457" s="401"/>
    </row>
    <row r="7458" spans="7:7" hidden="1" x14ac:dyDescent="0.2">
      <c r="G7458" s="401"/>
    </row>
    <row r="7459" spans="7:7" hidden="1" x14ac:dyDescent="0.2">
      <c r="G7459" s="401"/>
    </row>
    <row r="7460" spans="7:7" hidden="1" x14ac:dyDescent="0.2">
      <c r="G7460" s="401"/>
    </row>
    <row r="7461" spans="7:7" hidden="1" x14ac:dyDescent="0.2">
      <c r="G7461" s="401"/>
    </row>
    <row r="7462" spans="7:7" hidden="1" x14ac:dyDescent="0.2">
      <c r="G7462" s="401"/>
    </row>
    <row r="7463" spans="7:7" hidden="1" x14ac:dyDescent="0.2">
      <c r="G7463" s="401"/>
    </row>
    <row r="7464" spans="7:7" hidden="1" x14ac:dyDescent="0.2">
      <c r="G7464" s="401"/>
    </row>
    <row r="7465" spans="7:7" hidden="1" x14ac:dyDescent="0.2">
      <c r="G7465" s="401"/>
    </row>
    <row r="7466" spans="7:7" hidden="1" x14ac:dyDescent="0.2">
      <c r="G7466" s="401"/>
    </row>
    <row r="7467" spans="7:7" hidden="1" x14ac:dyDescent="0.2">
      <c r="G7467" s="401"/>
    </row>
    <row r="7468" spans="7:7" hidden="1" x14ac:dyDescent="0.2">
      <c r="G7468" s="401"/>
    </row>
    <row r="7469" spans="7:7" hidden="1" x14ac:dyDescent="0.2">
      <c r="G7469" s="401"/>
    </row>
    <row r="7470" spans="7:7" hidden="1" x14ac:dyDescent="0.2">
      <c r="G7470" s="401"/>
    </row>
    <row r="7471" spans="7:7" hidden="1" x14ac:dyDescent="0.2">
      <c r="G7471" s="401"/>
    </row>
    <row r="7472" spans="7:7" hidden="1" x14ac:dyDescent="0.2">
      <c r="G7472" s="401"/>
    </row>
    <row r="7473" spans="7:7" hidden="1" x14ac:dyDescent="0.2">
      <c r="G7473" s="401"/>
    </row>
    <row r="7474" spans="7:7" hidden="1" x14ac:dyDescent="0.2">
      <c r="G7474" s="401"/>
    </row>
    <row r="7475" spans="7:7" hidden="1" x14ac:dyDescent="0.2">
      <c r="G7475" s="401"/>
    </row>
    <row r="7476" spans="7:7" hidden="1" x14ac:dyDescent="0.2">
      <c r="G7476" s="401"/>
    </row>
    <row r="7477" spans="7:7" hidden="1" x14ac:dyDescent="0.2">
      <c r="G7477" s="401"/>
    </row>
    <row r="7478" spans="7:7" hidden="1" x14ac:dyDescent="0.2">
      <c r="G7478" s="401"/>
    </row>
    <row r="7479" spans="7:7" hidden="1" x14ac:dyDescent="0.2">
      <c r="G7479" s="401"/>
    </row>
    <row r="7480" spans="7:7" hidden="1" x14ac:dyDescent="0.2">
      <c r="G7480" s="401"/>
    </row>
    <row r="7481" spans="7:7" hidden="1" x14ac:dyDescent="0.2">
      <c r="G7481" s="401"/>
    </row>
    <row r="7482" spans="7:7" hidden="1" x14ac:dyDescent="0.2">
      <c r="G7482" s="401"/>
    </row>
    <row r="7483" spans="7:7" hidden="1" x14ac:dyDescent="0.2">
      <c r="G7483" s="401"/>
    </row>
    <row r="7484" spans="7:7" hidden="1" x14ac:dyDescent="0.2">
      <c r="G7484" s="401"/>
    </row>
    <row r="7485" spans="7:7" hidden="1" x14ac:dyDescent="0.2">
      <c r="G7485" s="401"/>
    </row>
    <row r="7486" spans="7:7" hidden="1" x14ac:dyDescent="0.2">
      <c r="G7486" s="401"/>
    </row>
    <row r="7487" spans="7:7" hidden="1" x14ac:dyDescent="0.2">
      <c r="G7487" s="401"/>
    </row>
    <row r="7488" spans="7:7" hidden="1" x14ac:dyDescent="0.2">
      <c r="G7488" s="401"/>
    </row>
    <row r="7489" spans="7:7" hidden="1" x14ac:dyDescent="0.2">
      <c r="G7489" s="401"/>
    </row>
    <row r="7490" spans="7:7" hidden="1" x14ac:dyDescent="0.2">
      <c r="G7490" s="401"/>
    </row>
    <row r="7491" spans="7:7" hidden="1" x14ac:dyDescent="0.2">
      <c r="G7491" s="401"/>
    </row>
    <row r="7492" spans="7:7" hidden="1" x14ac:dyDescent="0.2">
      <c r="G7492" s="401"/>
    </row>
    <row r="7493" spans="7:7" hidden="1" x14ac:dyDescent="0.2">
      <c r="G7493" s="401"/>
    </row>
    <row r="7494" spans="7:7" hidden="1" x14ac:dyDescent="0.2">
      <c r="G7494" s="401"/>
    </row>
    <row r="7495" spans="7:7" hidden="1" x14ac:dyDescent="0.2">
      <c r="G7495" s="401"/>
    </row>
    <row r="7496" spans="7:7" hidden="1" x14ac:dyDescent="0.2">
      <c r="G7496" s="401"/>
    </row>
    <row r="7497" spans="7:7" hidden="1" x14ac:dyDescent="0.2">
      <c r="G7497" s="401"/>
    </row>
    <row r="7498" spans="7:7" hidden="1" x14ac:dyDescent="0.2">
      <c r="G7498" s="401"/>
    </row>
    <row r="7499" spans="7:7" hidden="1" x14ac:dyDescent="0.2">
      <c r="G7499" s="401"/>
    </row>
    <row r="7500" spans="7:7" hidden="1" x14ac:dyDescent="0.2">
      <c r="G7500" s="401"/>
    </row>
    <row r="7501" spans="7:7" hidden="1" x14ac:dyDescent="0.2">
      <c r="G7501" s="401"/>
    </row>
    <row r="7502" spans="7:7" hidden="1" x14ac:dyDescent="0.2">
      <c r="G7502" s="401"/>
    </row>
    <row r="7503" spans="7:7" hidden="1" x14ac:dyDescent="0.2">
      <c r="G7503" s="401"/>
    </row>
    <row r="7504" spans="7:7" hidden="1" x14ac:dyDescent="0.2">
      <c r="G7504" s="401"/>
    </row>
    <row r="7505" spans="7:7" hidden="1" x14ac:dyDescent="0.2">
      <c r="G7505" s="401"/>
    </row>
    <row r="7506" spans="7:7" hidden="1" x14ac:dyDescent="0.2">
      <c r="G7506" s="401"/>
    </row>
    <row r="7507" spans="7:7" hidden="1" x14ac:dyDescent="0.2">
      <c r="G7507" s="401"/>
    </row>
    <row r="7508" spans="7:7" hidden="1" x14ac:dyDescent="0.2">
      <c r="G7508" s="401"/>
    </row>
    <row r="7509" spans="7:7" hidden="1" x14ac:dyDescent="0.2">
      <c r="G7509" s="401"/>
    </row>
    <row r="7510" spans="7:7" hidden="1" x14ac:dyDescent="0.2">
      <c r="G7510" s="401"/>
    </row>
    <row r="7511" spans="7:7" hidden="1" x14ac:dyDescent="0.2">
      <c r="G7511" s="401"/>
    </row>
    <row r="7512" spans="7:7" hidden="1" x14ac:dyDescent="0.2">
      <c r="G7512" s="401"/>
    </row>
    <row r="7513" spans="7:7" hidden="1" x14ac:dyDescent="0.2">
      <c r="G7513" s="401"/>
    </row>
    <row r="7514" spans="7:7" hidden="1" x14ac:dyDescent="0.2">
      <c r="G7514" s="401"/>
    </row>
    <row r="7515" spans="7:7" hidden="1" x14ac:dyDescent="0.2">
      <c r="G7515" s="401"/>
    </row>
    <row r="7516" spans="7:7" hidden="1" x14ac:dyDescent="0.2">
      <c r="G7516" s="401"/>
    </row>
    <row r="7517" spans="7:7" hidden="1" x14ac:dyDescent="0.2">
      <c r="G7517" s="401"/>
    </row>
    <row r="7518" spans="7:7" hidden="1" x14ac:dyDescent="0.2">
      <c r="G7518" s="401"/>
    </row>
    <row r="7519" spans="7:7" hidden="1" x14ac:dyDescent="0.2">
      <c r="G7519" s="401"/>
    </row>
    <row r="7520" spans="7:7" hidden="1" x14ac:dyDescent="0.2">
      <c r="G7520" s="401"/>
    </row>
    <row r="7521" spans="7:7" hidden="1" x14ac:dyDescent="0.2">
      <c r="G7521" s="401"/>
    </row>
    <row r="7522" spans="7:7" hidden="1" x14ac:dyDescent="0.2">
      <c r="G7522" s="401"/>
    </row>
    <row r="7523" spans="7:7" hidden="1" x14ac:dyDescent="0.2">
      <c r="G7523" s="401"/>
    </row>
    <row r="7524" spans="7:7" hidden="1" x14ac:dyDescent="0.2">
      <c r="G7524" s="401"/>
    </row>
    <row r="7525" spans="7:7" hidden="1" x14ac:dyDescent="0.2">
      <c r="G7525" s="401"/>
    </row>
    <row r="7526" spans="7:7" hidden="1" x14ac:dyDescent="0.2">
      <c r="G7526" s="401"/>
    </row>
    <row r="7527" spans="7:7" hidden="1" x14ac:dyDescent="0.2">
      <c r="G7527" s="401"/>
    </row>
    <row r="7528" spans="7:7" hidden="1" x14ac:dyDescent="0.2">
      <c r="G7528" s="401"/>
    </row>
    <row r="7529" spans="7:7" hidden="1" x14ac:dyDescent="0.2">
      <c r="G7529" s="401"/>
    </row>
    <row r="7530" spans="7:7" hidden="1" x14ac:dyDescent="0.2">
      <c r="G7530" s="401"/>
    </row>
    <row r="7531" spans="7:7" hidden="1" x14ac:dyDescent="0.2">
      <c r="G7531" s="401"/>
    </row>
    <row r="7532" spans="7:7" hidden="1" x14ac:dyDescent="0.2">
      <c r="G7532" s="401"/>
    </row>
    <row r="7533" spans="7:7" hidden="1" x14ac:dyDescent="0.2">
      <c r="G7533" s="401"/>
    </row>
    <row r="7534" spans="7:7" hidden="1" x14ac:dyDescent="0.2">
      <c r="G7534" s="401"/>
    </row>
    <row r="7535" spans="7:7" hidden="1" x14ac:dyDescent="0.2">
      <c r="G7535" s="401"/>
    </row>
    <row r="7536" spans="7:7" hidden="1" x14ac:dyDescent="0.2">
      <c r="G7536" s="401"/>
    </row>
    <row r="7537" spans="7:7" hidden="1" x14ac:dyDescent="0.2">
      <c r="G7537" s="401"/>
    </row>
    <row r="7538" spans="7:7" hidden="1" x14ac:dyDescent="0.2">
      <c r="G7538" s="401"/>
    </row>
    <row r="7539" spans="7:7" hidden="1" x14ac:dyDescent="0.2">
      <c r="G7539" s="401"/>
    </row>
    <row r="7540" spans="7:7" hidden="1" x14ac:dyDescent="0.2">
      <c r="G7540" s="401"/>
    </row>
    <row r="7541" spans="7:7" hidden="1" x14ac:dyDescent="0.2">
      <c r="G7541" s="401"/>
    </row>
    <row r="7542" spans="7:7" hidden="1" x14ac:dyDescent="0.2">
      <c r="G7542" s="401"/>
    </row>
    <row r="7543" spans="7:7" hidden="1" x14ac:dyDescent="0.2">
      <c r="G7543" s="401"/>
    </row>
    <row r="7544" spans="7:7" hidden="1" x14ac:dyDescent="0.2">
      <c r="G7544" s="401"/>
    </row>
    <row r="7545" spans="7:7" hidden="1" x14ac:dyDescent="0.2">
      <c r="G7545" s="401"/>
    </row>
    <row r="7546" spans="7:7" hidden="1" x14ac:dyDescent="0.2">
      <c r="G7546" s="401"/>
    </row>
    <row r="7547" spans="7:7" hidden="1" x14ac:dyDescent="0.2">
      <c r="G7547" s="401"/>
    </row>
    <row r="7548" spans="7:7" hidden="1" x14ac:dyDescent="0.2">
      <c r="G7548" s="401"/>
    </row>
    <row r="7549" spans="7:7" hidden="1" x14ac:dyDescent="0.2">
      <c r="G7549" s="401"/>
    </row>
    <row r="7550" spans="7:7" hidden="1" x14ac:dyDescent="0.2">
      <c r="G7550" s="401"/>
    </row>
    <row r="7551" spans="7:7" hidden="1" x14ac:dyDescent="0.2">
      <c r="G7551" s="401"/>
    </row>
    <row r="7552" spans="7:7" hidden="1" x14ac:dyDescent="0.2">
      <c r="G7552" s="401"/>
    </row>
    <row r="7553" spans="7:7" hidden="1" x14ac:dyDescent="0.2">
      <c r="G7553" s="401"/>
    </row>
    <row r="7554" spans="7:7" hidden="1" x14ac:dyDescent="0.2">
      <c r="G7554" s="401"/>
    </row>
    <row r="7555" spans="7:7" hidden="1" x14ac:dyDescent="0.2">
      <c r="G7555" s="401"/>
    </row>
    <row r="7556" spans="7:7" hidden="1" x14ac:dyDescent="0.2">
      <c r="G7556" s="401"/>
    </row>
    <row r="7557" spans="7:7" hidden="1" x14ac:dyDescent="0.2">
      <c r="G7557" s="401"/>
    </row>
    <row r="7558" spans="7:7" hidden="1" x14ac:dyDescent="0.2">
      <c r="G7558" s="401"/>
    </row>
    <row r="7559" spans="7:7" hidden="1" x14ac:dyDescent="0.2">
      <c r="G7559" s="401"/>
    </row>
    <row r="7560" spans="7:7" hidden="1" x14ac:dyDescent="0.2">
      <c r="G7560" s="401"/>
    </row>
    <row r="7561" spans="7:7" hidden="1" x14ac:dyDescent="0.2">
      <c r="G7561" s="401"/>
    </row>
    <row r="7562" spans="7:7" hidden="1" x14ac:dyDescent="0.2">
      <c r="G7562" s="401"/>
    </row>
    <row r="7563" spans="7:7" hidden="1" x14ac:dyDescent="0.2">
      <c r="G7563" s="401"/>
    </row>
    <row r="7564" spans="7:7" hidden="1" x14ac:dyDescent="0.2">
      <c r="G7564" s="401"/>
    </row>
    <row r="7565" spans="7:7" hidden="1" x14ac:dyDescent="0.2">
      <c r="G7565" s="401"/>
    </row>
    <row r="7566" spans="7:7" hidden="1" x14ac:dyDescent="0.2">
      <c r="G7566" s="401"/>
    </row>
    <row r="7567" spans="7:7" hidden="1" x14ac:dyDescent="0.2">
      <c r="G7567" s="401"/>
    </row>
    <row r="7568" spans="7:7" hidden="1" x14ac:dyDescent="0.2">
      <c r="G7568" s="401"/>
    </row>
    <row r="7569" spans="7:7" hidden="1" x14ac:dyDescent="0.2">
      <c r="G7569" s="401"/>
    </row>
    <row r="7570" spans="7:7" hidden="1" x14ac:dyDescent="0.2">
      <c r="G7570" s="401"/>
    </row>
    <row r="7571" spans="7:7" hidden="1" x14ac:dyDescent="0.2">
      <c r="G7571" s="401"/>
    </row>
    <row r="7572" spans="7:7" hidden="1" x14ac:dyDescent="0.2">
      <c r="G7572" s="401"/>
    </row>
    <row r="7573" spans="7:7" hidden="1" x14ac:dyDescent="0.2">
      <c r="G7573" s="401"/>
    </row>
    <row r="7574" spans="7:7" hidden="1" x14ac:dyDescent="0.2">
      <c r="G7574" s="401"/>
    </row>
    <row r="7575" spans="7:7" hidden="1" x14ac:dyDescent="0.2">
      <c r="G7575" s="401"/>
    </row>
    <row r="7576" spans="7:7" hidden="1" x14ac:dyDescent="0.2">
      <c r="G7576" s="401"/>
    </row>
    <row r="7577" spans="7:7" hidden="1" x14ac:dyDescent="0.2">
      <c r="G7577" s="401"/>
    </row>
    <row r="7578" spans="7:7" hidden="1" x14ac:dyDescent="0.2">
      <c r="G7578" s="401"/>
    </row>
    <row r="7579" spans="7:7" hidden="1" x14ac:dyDescent="0.2">
      <c r="G7579" s="401"/>
    </row>
    <row r="7580" spans="7:7" hidden="1" x14ac:dyDescent="0.2">
      <c r="G7580" s="401"/>
    </row>
    <row r="7581" spans="7:7" hidden="1" x14ac:dyDescent="0.2">
      <c r="G7581" s="401"/>
    </row>
    <row r="7582" spans="7:7" hidden="1" x14ac:dyDescent="0.2">
      <c r="G7582" s="401"/>
    </row>
    <row r="7583" spans="7:7" hidden="1" x14ac:dyDescent="0.2">
      <c r="G7583" s="401"/>
    </row>
    <row r="7584" spans="7:7" hidden="1" x14ac:dyDescent="0.2">
      <c r="G7584" s="401"/>
    </row>
    <row r="7585" spans="7:7" hidden="1" x14ac:dyDescent="0.2">
      <c r="G7585" s="401"/>
    </row>
    <row r="7586" spans="7:7" hidden="1" x14ac:dyDescent="0.2">
      <c r="G7586" s="401"/>
    </row>
    <row r="7587" spans="7:7" hidden="1" x14ac:dyDescent="0.2">
      <c r="G7587" s="401"/>
    </row>
    <row r="7588" spans="7:7" hidden="1" x14ac:dyDescent="0.2">
      <c r="G7588" s="401"/>
    </row>
    <row r="7589" spans="7:7" hidden="1" x14ac:dyDescent="0.2">
      <c r="G7589" s="401"/>
    </row>
    <row r="7590" spans="7:7" hidden="1" x14ac:dyDescent="0.2">
      <c r="G7590" s="401"/>
    </row>
    <row r="7591" spans="7:7" hidden="1" x14ac:dyDescent="0.2">
      <c r="G7591" s="401"/>
    </row>
    <row r="7592" spans="7:7" hidden="1" x14ac:dyDescent="0.2">
      <c r="G7592" s="401"/>
    </row>
    <row r="7593" spans="7:7" hidden="1" x14ac:dyDescent="0.2">
      <c r="G7593" s="401"/>
    </row>
    <row r="7594" spans="7:7" hidden="1" x14ac:dyDescent="0.2">
      <c r="G7594" s="401"/>
    </row>
    <row r="7595" spans="7:7" hidden="1" x14ac:dyDescent="0.2">
      <c r="G7595" s="401"/>
    </row>
    <row r="7596" spans="7:7" hidden="1" x14ac:dyDescent="0.2">
      <c r="G7596" s="401"/>
    </row>
    <row r="7597" spans="7:7" hidden="1" x14ac:dyDescent="0.2">
      <c r="G7597" s="401"/>
    </row>
    <row r="7598" spans="7:7" hidden="1" x14ac:dyDescent="0.2">
      <c r="G7598" s="401"/>
    </row>
    <row r="7599" spans="7:7" hidden="1" x14ac:dyDescent="0.2">
      <c r="G7599" s="401"/>
    </row>
    <row r="7600" spans="7:7" hidden="1" x14ac:dyDescent="0.2">
      <c r="G7600" s="401"/>
    </row>
    <row r="7601" spans="7:7" hidden="1" x14ac:dyDescent="0.2">
      <c r="G7601" s="401"/>
    </row>
    <row r="7602" spans="7:7" hidden="1" x14ac:dyDescent="0.2">
      <c r="G7602" s="401"/>
    </row>
    <row r="7603" spans="7:7" hidden="1" x14ac:dyDescent="0.2">
      <c r="G7603" s="401"/>
    </row>
    <row r="7604" spans="7:7" hidden="1" x14ac:dyDescent="0.2">
      <c r="G7604" s="401"/>
    </row>
    <row r="7605" spans="7:7" hidden="1" x14ac:dyDescent="0.2">
      <c r="G7605" s="401"/>
    </row>
    <row r="7606" spans="7:7" hidden="1" x14ac:dyDescent="0.2">
      <c r="G7606" s="401"/>
    </row>
    <row r="7607" spans="7:7" hidden="1" x14ac:dyDescent="0.2">
      <c r="G7607" s="401"/>
    </row>
    <row r="7608" spans="7:7" hidden="1" x14ac:dyDescent="0.2">
      <c r="G7608" s="401"/>
    </row>
    <row r="7609" spans="7:7" hidden="1" x14ac:dyDescent="0.2">
      <c r="G7609" s="401"/>
    </row>
    <row r="7610" spans="7:7" hidden="1" x14ac:dyDescent="0.2">
      <c r="G7610" s="401"/>
    </row>
    <row r="7611" spans="7:7" hidden="1" x14ac:dyDescent="0.2">
      <c r="G7611" s="401"/>
    </row>
    <row r="7612" spans="7:7" hidden="1" x14ac:dyDescent="0.2">
      <c r="G7612" s="401"/>
    </row>
    <row r="7613" spans="7:7" hidden="1" x14ac:dyDescent="0.2">
      <c r="G7613" s="401"/>
    </row>
    <row r="7614" spans="7:7" hidden="1" x14ac:dyDescent="0.2">
      <c r="G7614" s="401"/>
    </row>
    <row r="7615" spans="7:7" hidden="1" x14ac:dyDescent="0.2">
      <c r="G7615" s="401"/>
    </row>
    <row r="7616" spans="7:7" hidden="1" x14ac:dyDescent="0.2">
      <c r="G7616" s="401"/>
    </row>
    <row r="7617" spans="7:7" hidden="1" x14ac:dyDescent="0.2">
      <c r="G7617" s="401"/>
    </row>
    <row r="7618" spans="7:7" hidden="1" x14ac:dyDescent="0.2">
      <c r="G7618" s="401"/>
    </row>
    <row r="7619" spans="7:7" hidden="1" x14ac:dyDescent="0.2">
      <c r="G7619" s="401"/>
    </row>
    <row r="7620" spans="7:7" hidden="1" x14ac:dyDescent="0.2">
      <c r="G7620" s="401"/>
    </row>
    <row r="7621" spans="7:7" hidden="1" x14ac:dyDescent="0.2">
      <c r="G7621" s="401"/>
    </row>
    <row r="7622" spans="7:7" hidden="1" x14ac:dyDescent="0.2">
      <c r="G7622" s="401"/>
    </row>
    <row r="7623" spans="7:7" hidden="1" x14ac:dyDescent="0.2">
      <c r="G7623" s="401"/>
    </row>
    <row r="7624" spans="7:7" hidden="1" x14ac:dyDescent="0.2">
      <c r="G7624" s="401"/>
    </row>
    <row r="7625" spans="7:7" hidden="1" x14ac:dyDescent="0.2">
      <c r="G7625" s="401"/>
    </row>
    <row r="7626" spans="7:7" hidden="1" x14ac:dyDescent="0.2">
      <c r="G7626" s="401"/>
    </row>
    <row r="7627" spans="7:7" hidden="1" x14ac:dyDescent="0.2">
      <c r="G7627" s="401"/>
    </row>
    <row r="7628" spans="7:7" hidden="1" x14ac:dyDescent="0.2">
      <c r="G7628" s="401"/>
    </row>
    <row r="7629" spans="7:7" hidden="1" x14ac:dyDescent="0.2">
      <c r="G7629" s="401"/>
    </row>
    <row r="7630" spans="7:7" hidden="1" x14ac:dyDescent="0.2">
      <c r="G7630" s="401"/>
    </row>
    <row r="7631" spans="7:7" hidden="1" x14ac:dyDescent="0.2">
      <c r="G7631" s="401"/>
    </row>
    <row r="7632" spans="7:7" hidden="1" x14ac:dyDescent="0.2">
      <c r="G7632" s="401"/>
    </row>
    <row r="7633" spans="7:7" hidden="1" x14ac:dyDescent="0.2">
      <c r="G7633" s="401"/>
    </row>
    <row r="7634" spans="7:7" hidden="1" x14ac:dyDescent="0.2">
      <c r="G7634" s="401"/>
    </row>
    <row r="7635" spans="7:7" hidden="1" x14ac:dyDescent="0.2">
      <c r="G7635" s="401"/>
    </row>
    <row r="7636" spans="7:7" hidden="1" x14ac:dyDescent="0.2">
      <c r="G7636" s="401"/>
    </row>
    <row r="7637" spans="7:7" hidden="1" x14ac:dyDescent="0.2">
      <c r="G7637" s="401"/>
    </row>
    <row r="7638" spans="7:7" hidden="1" x14ac:dyDescent="0.2">
      <c r="G7638" s="401"/>
    </row>
    <row r="7639" spans="7:7" hidden="1" x14ac:dyDescent="0.2">
      <c r="G7639" s="401"/>
    </row>
    <row r="7640" spans="7:7" hidden="1" x14ac:dyDescent="0.2">
      <c r="G7640" s="401"/>
    </row>
    <row r="7641" spans="7:7" hidden="1" x14ac:dyDescent="0.2">
      <c r="G7641" s="401"/>
    </row>
    <row r="7642" spans="7:7" hidden="1" x14ac:dyDescent="0.2">
      <c r="G7642" s="401"/>
    </row>
    <row r="7643" spans="7:7" hidden="1" x14ac:dyDescent="0.2">
      <c r="G7643" s="401"/>
    </row>
    <row r="7644" spans="7:7" hidden="1" x14ac:dyDescent="0.2">
      <c r="G7644" s="401"/>
    </row>
    <row r="7645" spans="7:7" hidden="1" x14ac:dyDescent="0.2">
      <c r="G7645" s="401"/>
    </row>
    <row r="7646" spans="7:7" hidden="1" x14ac:dyDescent="0.2">
      <c r="G7646" s="401"/>
    </row>
    <row r="7647" spans="7:7" hidden="1" x14ac:dyDescent="0.2">
      <c r="G7647" s="401"/>
    </row>
    <row r="7648" spans="7:7" hidden="1" x14ac:dyDescent="0.2">
      <c r="G7648" s="401"/>
    </row>
    <row r="7649" spans="7:7" hidden="1" x14ac:dyDescent="0.2">
      <c r="G7649" s="401"/>
    </row>
    <row r="7650" spans="7:7" hidden="1" x14ac:dyDescent="0.2">
      <c r="G7650" s="401"/>
    </row>
    <row r="7651" spans="7:7" hidden="1" x14ac:dyDescent="0.2">
      <c r="G7651" s="401"/>
    </row>
    <row r="7652" spans="7:7" hidden="1" x14ac:dyDescent="0.2">
      <c r="G7652" s="401"/>
    </row>
    <row r="7653" spans="7:7" hidden="1" x14ac:dyDescent="0.2">
      <c r="G7653" s="401"/>
    </row>
    <row r="7654" spans="7:7" hidden="1" x14ac:dyDescent="0.2">
      <c r="G7654" s="401"/>
    </row>
    <row r="7655" spans="7:7" hidden="1" x14ac:dyDescent="0.2">
      <c r="G7655" s="401"/>
    </row>
    <row r="7656" spans="7:7" hidden="1" x14ac:dyDescent="0.2">
      <c r="G7656" s="401"/>
    </row>
    <row r="7657" spans="7:7" hidden="1" x14ac:dyDescent="0.2">
      <c r="G7657" s="401"/>
    </row>
    <row r="7658" spans="7:7" hidden="1" x14ac:dyDescent="0.2">
      <c r="G7658" s="401"/>
    </row>
    <row r="7659" spans="7:7" hidden="1" x14ac:dyDescent="0.2">
      <c r="G7659" s="401"/>
    </row>
    <row r="7660" spans="7:7" hidden="1" x14ac:dyDescent="0.2">
      <c r="G7660" s="401"/>
    </row>
    <row r="7661" spans="7:7" hidden="1" x14ac:dyDescent="0.2">
      <c r="G7661" s="401"/>
    </row>
    <row r="7662" spans="7:7" hidden="1" x14ac:dyDescent="0.2">
      <c r="G7662" s="401"/>
    </row>
    <row r="7663" spans="7:7" hidden="1" x14ac:dyDescent="0.2">
      <c r="G7663" s="401"/>
    </row>
    <row r="7664" spans="7:7" hidden="1" x14ac:dyDescent="0.2">
      <c r="G7664" s="401"/>
    </row>
    <row r="7665" spans="7:7" hidden="1" x14ac:dyDescent="0.2">
      <c r="G7665" s="401"/>
    </row>
    <row r="7666" spans="7:7" hidden="1" x14ac:dyDescent="0.2">
      <c r="G7666" s="401"/>
    </row>
    <row r="7667" spans="7:7" hidden="1" x14ac:dyDescent="0.2">
      <c r="G7667" s="401"/>
    </row>
    <row r="7668" spans="7:7" hidden="1" x14ac:dyDescent="0.2">
      <c r="G7668" s="401"/>
    </row>
    <row r="7669" spans="7:7" hidden="1" x14ac:dyDescent="0.2">
      <c r="G7669" s="401"/>
    </row>
    <row r="7670" spans="7:7" hidden="1" x14ac:dyDescent="0.2">
      <c r="G7670" s="401"/>
    </row>
    <row r="7671" spans="7:7" hidden="1" x14ac:dyDescent="0.2">
      <c r="G7671" s="401"/>
    </row>
    <row r="7672" spans="7:7" hidden="1" x14ac:dyDescent="0.2">
      <c r="G7672" s="401"/>
    </row>
    <row r="7673" spans="7:7" hidden="1" x14ac:dyDescent="0.2">
      <c r="G7673" s="401"/>
    </row>
    <row r="7674" spans="7:7" hidden="1" x14ac:dyDescent="0.2">
      <c r="G7674" s="401"/>
    </row>
    <row r="7675" spans="7:7" hidden="1" x14ac:dyDescent="0.2">
      <c r="G7675" s="401"/>
    </row>
    <row r="7676" spans="7:7" hidden="1" x14ac:dyDescent="0.2">
      <c r="G7676" s="401"/>
    </row>
    <row r="7677" spans="7:7" hidden="1" x14ac:dyDescent="0.2">
      <c r="G7677" s="401"/>
    </row>
    <row r="7678" spans="7:7" hidden="1" x14ac:dyDescent="0.2">
      <c r="G7678" s="401"/>
    </row>
    <row r="7679" spans="7:7" hidden="1" x14ac:dyDescent="0.2">
      <c r="G7679" s="401"/>
    </row>
    <row r="7680" spans="7:7" hidden="1" x14ac:dyDescent="0.2">
      <c r="G7680" s="401"/>
    </row>
    <row r="7681" spans="7:7" hidden="1" x14ac:dyDescent="0.2">
      <c r="G7681" s="401"/>
    </row>
    <row r="7682" spans="7:7" hidden="1" x14ac:dyDescent="0.2">
      <c r="G7682" s="401"/>
    </row>
    <row r="7683" spans="7:7" hidden="1" x14ac:dyDescent="0.2">
      <c r="G7683" s="401"/>
    </row>
    <row r="7684" spans="7:7" hidden="1" x14ac:dyDescent="0.2">
      <c r="G7684" s="401"/>
    </row>
    <row r="7685" spans="7:7" hidden="1" x14ac:dyDescent="0.2">
      <c r="G7685" s="401"/>
    </row>
    <row r="7686" spans="7:7" hidden="1" x14ac:dyDescent="0.2">
      <c r="G7686" s="401"/>
    </row>
    <row r="7687" spans="7:7" hidden="1" x14ac:dyDescent="0.2">
      <c r="G7687" s="401"/>
    </row>
    <row r="7688" spans="7:7" hidden="1" x14ac:dyDescent="0.2">
      <c r="G7688" s="401"/>
    </row>
    <row r="7689" spans="7:7" hidden="1" x14ac:dyDescent="0.2">
      <c r="G7689" s="401"/>
    </row>
    <row r="7690" spans="7:7" hidden="1" x14ac:dyDescent="0.2">
      <c r="G7690" s="401"/>
    </row>
    <row r="7691" spans="7:7" hidden="1" x14ac:dyDescent="0.2">
      <c r="G7691" s="401"/>
    </row>
    <row r="7692" spans="7:7" hidden="1" x14ac:dyDescent="0.2">
      <c r="G7692" s="401"/>
    </row>
    <row r="7693" spans="7:7" hidden="1" x14ac:dyDescent="0.2">
      <c r="G7693" s="401"/>
    </row>
    <row r="7694" spans="7:7" hidden="1" x14ac:dyDescent="0.2">
      <c r="G7694" s="401"/>
    </row>
    <row r="7695" spans="7:7" hidden="1" x14ac:dyDescent="0.2">
      <c r="G7695" s="401"/>
    </row>
    <row r="7696" spans="7:7" hidden="1" x14ac:dyDescent="0.2">
      <c r="G7696" s="401"/>
    </row>
    <row r="7697" spans="7:7" hidden="1" x14ac:dyDescent="0.2">
      <c r="G7697" s="401"/>
    </row>
    <row r="7698" spans="7:7" hidden="1" x14ac:dyDescent="0.2">
      <c r="G7698" s="401"/>
    </row>
    <row r="7699" spans="7:7" hidden="1" x14ac:dyDescent="0.2">
      <c r="G7699" s="401"/>
    </row>
    <row r="7700" spans="7:7" hidden="1" x14ac:dyDescent="0.2">
      <c r="G7700" s="401"/>
    </row>
    <row r="7701" spans="7:7" hidden="1" x14ac:dyDescent="0.2">
      <c r="G7701" s="401"/>
    </row>
    <row r="7702" spans="7:7" hidden="1" x14ac:dyDescent="0.2">
      <c r="G7702" s="401"/>
    </row>
    <row r="7703" spans="7:7" hidden="1" x14ac:dyDescent="0.2">
      <c r="G7703" s="401"/>
    </row>
    <row r="7704" spans="7:7" hidden="1" x14ac:dyDescent="0.2">
      <c r="G7704" s="401"/>
    </row>
    <row r="7705" spans="7:7" hidden="1" x14ac:dyDescent="0.2">
      <c r="G7705" s="401"/>
    </row>
    <row r="7706" spans="7:7" hidden="1" x14ac:dyDescent="0.2">
      <c r="G7706" s="401"/>
    </row>
    <row r="7707" spans="7:7" hidden="1" x14ac:dyDescent="0.2">
      <c r="G7707" s="401"/>
    </row>
    <row r="7708" spans="7:7" hidden="1" x14ac:dyDescent="0.2">
      <c r="G7708" s="401"/>
    </row>
    <row r="7709" spans="7:7" hidden="1" x14ac:dyDescent="0.2">
      <c r="G7709" s="401"/>
    </row>
    <row r="7710" spans="7:7" hidden="1" x14ac:dyDescent="0.2">
      <c r="G7710" s="401"/>
    </row>
    <row r="7711" spans="7:7" hidden="1" x14ac:dyDescent="0.2">
      <c r="G7711" s="401"/>
    </row>
    <row r="7712" spans="7:7" hidden="1" x14ac:dyDescent="0.2">
      <c r="G7712" s="401"/>
    </row>
    <row r="7713" spans="7:7" hidden="1" x14ac:dyDescent="0.2">
      <c r="G7713" s="401"/>
    </row>
    <row r="7714" spans="7:7" hidden="1" x14ac:dyDescent="0.2">
      <c r="G7714" s="401"/>
    </row>
    <row r="7715" spans="7:7" hidden="1" x14ac:dyDescent="0.2">
      <c r="G7715" s="401"/>
    </row>
    <row r="7716" spans="7:7" hidden="1" x14ac:dyDescent="0.2">
      <c r="G7716" s="401"/>
    </row>
    <row r="7717" spans="7:7" hidden="1" x14ac:dyDescent="0.2">
      <c r="G7717" s="401"/>
    </row>
    <row r="7718" spans="7:7" hidden="1" x14ac:dyDescent="0.2">
      <c r="G7718" s="401"/>
    </row>
    <row r="7719" spans="7:7" hidden="1" x14ac:dyDescent="0.2">
      <c r="G7719" s="401"/>
    </row>
    <row r="7720" spans="7:7" hidden="1" x14ac:dyDescent="0.2">
      <c r="G7720" s="401"/>
    </row>
    <row r="7721" spans="7:7" hidden="1" x14ac:dyDescent="0.2">
      <c r="G7721" s="401"/>
    </row>
    <row r="7722" spans="7:7" hidden="1" x14ac:dyDescent="0.2">
      <c r="G7722" s="401"/>
    </row>
    <row r="7723" spans="7:7" hidden="1" x14ac:dyDescent="0.2">
      <c r="G7723" s="401"/>
    </row>
    <row r="7724" spans="7:7" hidden="1" x14ac:dyDescent="0.2">
      <c r="G7724" s="401"/>
    </row>
    <row r="7725" spans="7:7" hidden="1" x14ac:dyDescent="0.2">
      <c r="G7725" s="401"/>
    </row>
    <row r="7726" spans="7:7" hidden="1" x14ac:dyDescent="0.2">
      <c r="G7726" s="401"/>
    </row>
    <row r="7727" spans="7:7" hidden="1" x14ac:dyDescent="0.2">
      <c r="G7727" s="401"/>
    </row>
    <row r="7728" spans="7:7" hidden="1" x14ac:dyDescent="0.2">
      <c r="G7728" s="401"/>
    </row>
    <row r="7729" spans="7:7" hidden="1" x14ac:dyDescent="0.2">
      <c r="G7729" s="401"/>
    </row>
    <row r="7730" spans="7:7" hidden="1" x14ac:dyDescent="0.2">
      <c r="G7730" s="401"/>
    </row>
    <row r="7731" spans="7:7" hidden="1" x14ac:dyDescent="0.2">
      <c r="G7731" s="401"/>
    </row>
    <row r="7732" spans="7:7" hidden="1" x14ac:dyDescent="0.2">
      <c r="G7732" s="401"/>
    </row>
    <row r="7733" spans="7:7" hidden="1" x14ac:dyDescent="0.2">
      <c r="G7733" s="401"/>
    </row>
    <row r="7734" spans="7:7" hidden="1" x14ac:dyDescent="0.2">
      <c r="G7734" s="401"/>
    </row>
    <row r="7735" spans="7:7" hidden="1" x14ac:dyDescent="0.2">
      <c r="G7735" s="401"/>
    </row>
    <row r="7736" spans="7:7" hidden="1" x14ac:dyDescent="0.2">
      <c r="G7736" s="401"/>
    </row>
    <row r="7737" spans="7:7" hidden="1" x14ac:dyDescent="0.2">
      <c r="G7737" s="401"/>
    </row>
    <row r="7738" spans="7:7" hidden="1" x14ac:dyDescent="0.2">
      <c r="G7738" s="401"/>
    </row>
    <row r="7739" spans="7:7" hidden="1" x14ac:dyDescent="0.2">
      <c r="G7739" s="401"/>
    </row>
    <row r="7740" spans="7:7" hidden="1" x14ac:dyDescent="0.2">
      <c r="G7740" s="401"/>
    </row>
    <row r="7741" spans="7:7" hidden="1" x14ac:dyDescent="0.2">
      <c r="G7741" s="401"/>
    </row>
    <row r="7742" spans="7:7" hidden="1" x14ac:dyDescent="0.2">
      <c r="G7742" s="401"/>
    </row>
    <row r="7743" spans="7:7" hidden="1" x14ac:dyDescent="0.2">
      <c r="G7743" s="401"/>
    </row>
    <row r="7744" spans="7:7" hidden="1" x14ac:dyDescent="0.2">
      <c r="G7744" s="401"/>
    </row>
    <row r="7745" spans="7:7" hidden="1" x14ac:dyDescent="0.2">
      <c r="G7745" s="401"/>
    </row>
    <row r="7746" spans="7:7" hidden="1" x14ac:dyDescent="0.2">
      <c r="G7746" s="401"/>
    </row>
    <row r="7747" spans="7:7" hidden="1" x14ac:dyDescent="0.2">
      <c r="G7747" s="401"/>
    </row>
    <row r="7748" spans="7:7" hidden="1" x14ac:dyDescent="0.2">
      <c r="G7748" s="401"/>
    </row>
    <row r="7749" spans="7:7" hidden="1" x14ac:dyDescent="0.2">
      <c r="G7749" s="401"/>
    </row>
    <row r="7750" spans="7:7" hidden="1" x14ac:dyDescent="0.2">
      <c r="G7750" s="401"/>
    </row>
    <row r="7751" spans="7:7" hidden="1" x14ac:dyDescent="0.2">
      <c r="G7751" s="401"/>
    </row>
    <row r="7752" spans="7:7" hidden="1" x14ac:dyDescent="0.2">
      <c r="G7752" s="401"/>
    </row>
    <row r="7753" spans="7:7" hidden="1" x14ac:dyDescent="0.2">
      <c r="G7753" s="401"/>
    </row>
    <row r="7754" spans="7:7" hidden="1" x14ac:dyDescent="0.2">
      <c r="G7754" s="401"/>
    </row>
    <row r="7755" spans="7:7" hidden="1" x14ac:dyDescent="0.2">
      <c r="G7755" s="401"/>
    </row>
    <row r="7756" spans="7:7" hidden="1" x14ac:dyDescent="0.2">
      <c r="G7756" s="401"/>
    </row>
    <row r="7757" spans="7:7" hidden="1" x14ac:dyDescent="0.2">
      <c r="G7757" s="401"/>
    </row>
    <row r="7758" spans="7:7" hidden="1" x14ac:dyDescent="0.2">
      <c r="G7758" s="401"/>
    </row>
    <row r="7759" spans="7:7" hidden="1" x14ac:dyDescent="0.2">
      <c r="G7759" s="401"/>
    </row>
    <row r="7760" spans="7:7" hidden="1" x14ac:dyDescent="0.2">
      <c r="G7760" s="401"/>
    </row>
    <row r="7761" spans="7:7" hidden="1" x14ac:dyDescent="0.2">
      <c r="G7761" s="401"/>
    </row>
    <row r="7762" spans="7:7" hidden="1" x14ac:dyDescent="0.2">
      <c r="G7762" s="401"/>
    </row>
    <row r="7763" spans="7:7" hidden="1" x14ac:dyDescent="0.2">
      <c r="G7763" s="401"/>
    </row>
    <row r="7764" spans="7:7" hidden="1" x14ac:dyDescent="0.2">
      <c r="G7764" s="401"/>
    </row>
    <row r="7765" spans="7:7" hidden="1" x14ac:dyDescent="0.2">
      <c r="G7765" s="401"/>
    </row>
    <row r="7766" spans="7:7" hidden="1" x14ac:dyDescent="0.2">
      <c r="G7766" s="401"/>
    </row>
    <row r="7767" spans="7:7" hidden="1" x14ac:dyDescent="0.2">
      <c r="G7767" s="401"/>
    </row>
    <row r="7768" spans="7:7" hidden="1" x14ac:dyDescent="0.2">
      <c r="G7768" s="401"/>
    </row>
    <row r="7769" spans="7:7" hidden="1" x14ac:dyDescent="0.2">
      <c r="G7769" s="401"/>
    </row>
    <row r="7770" spans="7:7" hidden="1" x14ac:dyDescent="0.2">
      <c r="G7770" s="401"/>
    </row>
    <row r="7771" spans="7:7" hidden="1" x14ac:dyDescent="0.2">
      <c r="G7771" s="401"/>
    </row>
    <row r="7772" spans="7:7" hidden="1" x14ac:dyDescent="0.2">
      <c r="G7772" s="401"/>
    </row>
    <row r="7773" spans="7:7" hidden="1" x14ac:dyDescent="0.2">
      <c r="G7773" s="401"/>
    </row>
    <row r="7774" spans="7:7" hidden="1" x14ac:dyDescent="0.2">
      <c r="G7774" s="401"/>
    </row>
    <row r="7775" spans="7:7" hidden="1" x14ac:dyDescent="0.2">
      <c r="G7775" s="401"/>
    </row>
    <row r="7776" spans="7:7" hidden="1" x14ac:dyDescent="0.2">
      <c r="G7776" s="401"/>
    </row>
    <row r="7777" spans="7:7" hidden="1" x14ac:dyDescent="0.2">
      <c r="G7777" s="401"/>
    </row>
    <row r="7778" spans="7:7" hidden="1" x14ac:dyDescent="0.2">
      <c r="G7778" s="401"/>
    </row>
    <row r="7779" spans="7:7" hidden="1" x14ac:dyDescent="0.2">
      <c r="G7779" s="401"/>
    </row>
    <row r="7780" spans="7:7" hidden="1" x14ac:dyDescent="0.2">
      <c r="G7780" s="401"/>
    </row>
    <row r="7781" spans="7:7" hidden="1" x14ac:dyDescent="0.2">
      <c r="G7781" s="401"/>
    </row>
    <row r="7782" spans="7:7" hidden="1" x14ac:dyDescent="0.2">
      <c r="G7782" s="401"/>
    </row>
    <row r="7783" spans="7:7" hidden="1" x14ac:dyDescent="0.2">
      <c r="G7783" s="401"/>
    </row>
    <row r="7784" spans="7:7" hidden="1" x14ac:dyDescent="0.2">
      <c r="G7784" s="401"/>
    </row>
    <row r="7785" spans="7:7" hidden="1" x14ac:dyDescent="0.2">
      <c r="G7785" s="401"/>
    </row>
    <row r="7786" spans="7:7" hidden="1" x14ac:dyDescent="0.2">
      <c r="G7786" s="401"/>
    </row>
    <row r="7787" spans="7:7" hidden="1" x14ac:dyDescent="0.2">
      <c r="G7787" s="401"/>
    </row>
    <row r="7788" spans="7:7" hidden="1" x14ac:dyDescent="0.2">
      <c r="G7788" s="401"/>
    </row>
    <row r="7789" spans="7:7" hidden="1" x14ac:dyDescent="0.2">
      <c r="G7789" s="401"/>
    </row>
    <row r="7790" spans="7:7" hidden="1" x14ac:dyDescent="0.2">
      <c r="G7790" s="401"/>
    </row>
    <row r="7791" spans="7:7" hidden="1" x14ac:dyDescent="0.2">
      <c r="G7791" s="401"/>
    </row>
    <row r="7792" spans="7:7" hidden="1" x14ac:dyDescent="0.2">
      <c r="G7792" s="401"/>
    </row>
    <row r="7793" spans="7:7" hidden="1" x14ac:dyDescent="0.2">
      <c r="G7793" s="401"/>
    </row>
    <row r="7794" spans="7:7" hidden="1" x14ac:dyDescent="0.2">
      <c r="G7794" s="401"/>
    </row>
    <row r="7795" spans="7:7" hidden="1" x14ac:dyDescent="0.2">
      <c r="G7795" s="401"/>
    </row>
    <row r="7796" spans="7:7" hidden="1" x14ac:dyDescent="0.2">
      <c r="G7796" s="401"/>
    </row>
    <row r="7797" spans="7:7" hidden="1" x14ac:dyDescent="0.2">
      <c r="G7797" s="401"/>
    </row>
    <row r="7798" spans="7:7" hidden="1" x14ac:dyDescent="0.2">
      <c r="G7798" s="401"/>
    </row>
    <row r="7799" spans="7:7" hidden="1" x14ac:dyDescent="0.2">
      <c r="G7799" s="401"/>
    </row>
    <row r="7800" spans="7:7" hidden="1" x14ac:dyDescent="0.2">
      <c r="G7800" s="401"/>
    </row>
    <row r="7801" spans="7:7" hidden="1" x14ac:dyDescent="0.2">
      <c r="G7801" s="401"/>
    </row>
    <row r="7802" spans="7:7" hidden="1" x14ac:dyDescent="0.2">
      <c r="G7802" s="401"/>
    </row>
    <row r="7803" spans="7:7" hidden="1" x14ac:dyDescent="0.2">
      <c r="G7803" s="401"/>
    </row>
    <row r="7804" spans="7:7" hidden="1" x14ac:dyDescent="0.2">
      <c r="G7804" s="401"/>
    </row>
    <row r="7805" spans="7:7" hidden="1" x14ac:dyDescent="0.2">
      <c r="G7805" s="401"/>
    </row>
    <row r="7806" spans="7:7" hidden="1" x14ac:dyDescent="0.2">
      <c r="G7806" s="401"/>
    </row>
    <row r="7807" spans="7:7" hidden="1" x14ac:dyDescent="0.2">
      <c r="G7807" s="401"/>
    </row>
    <row r="7808" spans="7:7" hidden="1" x14ac:dyDescent="0.2">
      <c r="G7808" s="401"/>
    </row>
    <row r="7809" spans="7:7" hidden="1" x14ac:dyDescent="0.2">
      <c r="G7809" s="401"/>
    </row>
    <row r="7810" spans="7:7" hidden="1" x14ac:dyDescent="0.2">
      <c r="G7810" s="401"/>
    </row>
    <row r="7811" spans="7:7" hidden="1" x14ac:dyDescent="0.2">
      <c r="G7811" s="401"/>
    </row>
    <row r="7812" spans="7:7" hidden="1" x14ac:dyDescent="0.2">
      <c r="G7812" s="401"/>
    </row>
    <row r="7813" spans="7:7" hidden="1" x14ac:dyDescent="0.2">
      <c r="G7813" s="401"/>
    </row>
    <row r="7814" spans="7:7" hidden="1" x14ac:dyDescent="0.2">
      <c r="G7814" s="401"/>
    </row>
    <row r="7815" spans="7:7" hidden="1" x14ac:dyDescent="0.2">
      <c r="G7815" s="401"/>
    </row>
    <row r="7816" spans="7:7" hidden="1" x14ac:dyDescent="0.2">
      <c r="G7816" s="401"/>
    </row>
    <row r="7817" spans="7:7" hidden="1" x14ac:dyDescent="0.2">
      <c r="G7817" s="401"/>
    </row>
    <row r="7818" spans="7:7" hidden="1" x14ac:dyDescent="0.2">
      <c r="G7818" s="401"/>
    </row>
    <row r="7819" spans="7:7" hidden="1" x14ac:dyDescent="0.2">
      <c r="G7819" s="401"/>
    </row>
    <row r="7820" spans="7:7" hidden="1" x14ac:dyDescent="0.2">
      <c r="G7820" s="401"/>
    </row>
    <row r="7821" spans="7:7" hidden="1" x14ac:dyDescent="0.2">
      <c r="G7821" s="401"/>
    </row>
    <row r="7822" spans="7:7" hidden="1" x14ac:dyDescent="0.2">
      <c r="G7822" s="401"/>
    </row>
    <row r="7823" spans="7:7" hidden="1" x14ac:dyDescent="0.2">
      <c r="G7823" s="401"/>
    </row>
    <row r="7824" spans="7:7" hidden="1" x14ac:dyDescent="0.2">
      <c r="G7824" s="401"/>
    </row>
    <row r="7825" spans="7:7" hidden="1" x14ac:dyDescent="0.2">
      <c r="G7825" s="401"/>
    </row>
    <row r="7826" spans="7:7" hidden="1" x14ac:dyDescent="0.2">
      <c r="G7826" s="401"/>
    </row>
    <row r="7827" spans="7:7" hidden="1" x14ac:dyDescent="0.2">
      <c r="G7827" s="401"/>
    </row>
    <row r="7828" spans="7:7" hidden="1" x14ac:dyDescent="0.2">
      <c r="G7828" s="401"/>
    </row>
    <row r="7829" spans="7:7" hidden="1" x14ac:dyDescent="0.2">
      <c r="G7829" s="401"/>
    </row>
    <row r="7830" spans="7:7" hidden="1" x14ac:dyDescent="0.2">
      <c r="G7830" s="401"/>
    </row>
    <row r="7831" spans="7:7" hidden="1" x14ac:dyDescent="0.2">
      <c r="G7831" s="401"/>
    </row>
    <row r="7832" spans="7:7" hidden="1" x14ac:dyDescent="0.2">
      <c r="G7832" s="401"/>
    </row>
    <row r="7833" spans="7:7" hidden="1" x14ac:dyDescent="0.2">
      <c r="G7833" s="401"/>
    </row>
    <row r="7834" spans="7:7" hidden="1" x14ac:dyDescent="0.2">
      <c r="G7834" s="401"/>
    </row>
    <row r="7835" spans="7:7" hidden="1" x14ac:dyDescent="0.2">
      <c r="G7835" s="401"/>
    </row>
    <row r="7836" spans="7:7" hidden="1" x14ac:dyDescent="0.2">
      <c r="G7836" s="401"/>
    </row>
    <row r="7837" spans="7:7" hidden="1" x14ac:dyDescent="0.2">
      <c r="G7837" s="401"/>
    </row>
    <row r="7838" spans="7:7" hidden="1" x14ac:dyDescent="0.2">
      <c r="G7838" s="401"/>
    </row>
    <row r="7839" spans="7:7" hidden="1" x14ac:dyDescent="0.2">
      <c r="G7839" s="401"/>
    </row>
    <row r="7840" spans="7:7" hidden="1" x14ac:dyDescent="0.2">
      <c r="G7840" s="401"/>
    </row>
    <row r="7841" spans="7:7" hidden="1" x14ac:dyDescent="0.2">
      <c r="G7841" s="401"/>
    </row>
    <row r="7842" spans="7:7" hidden="1" x14ac:dyDescent="0.2">
      <c r="G7842" s="401"/>
    </row>
    <row r="7843" spans="7:7" hidden="1" x14ac:dyDescent="0.2">
      <c r="G7843" s="401"/>
    </row>
    <row r="7844" spans="7:7" hidden="1" x14ac:dyDescent="0.2">
      <c r="G7844" s="401"/>
    </row>
    <row r="7845" spans="7:7" hidden="1" x14ac:dyDescent="0.2">
      <c r="G7845" s="401"/>
    </row>
    <row r="7846" spans="7:7" hidden="1" x14ac:dyDescent="0.2">
      <c r="G7846" s="401"/>
    </row>
    <row r="7847" spans="7:7" hidden="1" x14ac:dyDescent="0.2">
      <c r="G7847" s="401"/>
    </row>
    <row r="7848" spans="7:7" hidden="1" x14ac:dyDescent="0.2">
      <c r="G7848" s="401"/>
    </row>
    <row r="7849" spans="7:7" hidden="1" x14ac:dyDescent="0.2">
      <c r="G7849" s="401"/>
    </row>
    <row r="7850" spans="7:7" hidden="1" x14ac:dyDescent="0.2">
      <c r="G7850" s="401"/>
    </row>
    <row r="7851" spans="7:7" hidden="1" x14ac:dyDescent="0.2">
      <c r="G7851" s="401"/>
    </row>
    <row r="7852" spans="7:7" hidden="1" x14ac:dyDescent="0.2">
      <c r="G7852" s="401"/>
    </row>
    <row r="7853" spans="7:7" hidden="1" x14ac:dyDescent="0.2">
      <c r="G7853" s="401"/>
    </row>
    <row r="7854" spans="7:7" hidden="1" x14ac:dyDescent="0.2">
      <c r="G7854" s="401"/>
    </row>
    <row r="7855" spans="7:7" hidden="1" x14ac:dyDescent="0.2">
      <c r="G7855" s="401"/>
    </row>
    <row r="7856" spans="7:7" hidden="1" x14ac:dyDescent="0.2">
      <c r="G7856" s="401"/>
    </row>
    <row r="7857" spans="7:7" hidden="1" x14ac:dyDescent="0.2">
      <c r="G7857" s="401"/>
    </row>
    <row r="7858" spans="7:7" hidden="1" x14ac:dyDescent="0.2">
      <c r="G7858" s="401"/>
    </row>
    <row r="7859" spans="7:7" hidden="1" x14ac:dyDescent="0.2">
      <c r="G7859" s="401"/>
    </row>
    <row r="7860" spans="7:7" hidden="1" x14ac:dyDescent="0.2">
      <c r="G7860" s="401"/>
    </row>
    <row r="7861" spans="7:7" hidden="1" x14ac:dyDescent="0.2">
      <c r="G7861" s="401"/>
    </row>
    <row r="7862" spans="7:7" hidden="1" x14ac:dyDescent="0.2">
      <c r="G7862" s="401"/>
    </row>
    <row r="7863" spans="7:7" hidden="1" x14ac:dyDescent="0.2">
      <c r="G7863" s="401"/>
    </row>
    <row r="7864" spans="7:7" hidden="1" x14ac:dyDescent="0.2">
      <c r="G7864" s="401"/>
    </row>
    <row r="7865" spans="7:7" hidden="1" x14ac:dyDescent="0.2">
      <c r="G7865" s="401"/>
    </row>
    <row r="7866" spans="7:7" hidden="1" x14ac:dyDescent="0.2">
      <c r="G7866" s="401"/>
    </row>
    <row r="7867" spans="7:7" hidden="1" x14ac:dyDescent="0.2">
      <c r="G7867" s="401"/>
    </row>
    <row r="7868" spans="7:7" hidden="1" x14ac:dyDescent="0.2">
      <c r="G7868" s="401"/>
    </row>
    <row r="7869" spans="7:7" hidden="1" x14ac:dyDescent="0.2">
      <c r="G7869" s="401"/>
    </row>
    <row r="7870" spans="7:7" hidden="1" x14ac:dyDescent="0.2">
      <c r="G7870" s="401"/>
    </row>
    <row r="7871" spans="7:7" hidden="1" x14ac:dyDescent="0.2">
      <c r="G7871" s="401"/>
    </row>
    <row r="7872" spans="7:7" hidden="1" x14ac:dyDescent="0.2">
      <c r="G7872" s="401"/>
    </row>
    <row r="7873" spans="7:7" hidden="1" x14ac:dyDescent="0.2">
      <c r="G7873" s="401"/>
    </row>
    <row r="7874" spans="7:7" hidden="1" x14ac:dyDescent="0.2">
      <c r="G7874" s="401"/>
    </row>
    <row r="7875" spans="7:7" hidden="1" x14ac:dyDescent="0.2">
      <c r="G7875" s="401"/>
    </row>
    <row r="7876" spans="7:7" hidden="1" x14ac:dyDescent="0.2">
      <c r="G7876" s="401"/>
    </row>
    <row r="7877" spans="7:7" hidden="1" x14ac:dyDescent="0.2">
      <c r="G7877" s="401"/>
    </row>
    <row r="7878" spans="7:7" hidden="1" x14ac:dyDescent="0.2">
      <c r="G7878" s="401"/>
    </row>
    <row r="7879" spans="7:7" hidden="1" x14ac:dyDescent="0.2">
      <c r="G7879" s="401"/>
    </row>
    <row r="7880" spans="7:7" hidden="1" x14ac:dyDescent="0.2">
      <c r="G7880" s="401"/>
    </row>
    <row r="7881" spans="7:7" hidden="1" x14ac:dyDescent="0.2">
      <c r="G7881" s="401"/>
    </row>
    <row r="7882" spans="7:7" hidden="1" x14ac:dyDescent="0.2">
      <c r="G7882" s="401"/>
    </row>
    <row r="7883" spans="7:7" hidden="1" x14ac:dyDescent="0.2">
      <c r="G7883" s="401"/>
    </row>
    <row r="7884" spans="7:7" hidden="1" x14ac:dyDescent="0.2">
      <c r="G7884" s="401"/>
    </row>
    <row r="7885" spans="7:7" hidden="1" x14ac:dyDescent="0.2">
      <c r="G7885" s="401"/>
    </row>
    <row r="7886" spans="7:7" hidden="1" x14ac:dyDescent="0.2">
      <c r="G7886" s="401"/>
    </row>
    <row r="7887" spans="7:7" hidden="1" x14ac:dyDescent="0.2">
      <c r="G7887" s="401"/>
    </row>
    <row r="7888" spans="7:7" hidden="1" x14ac:dyDescent="0.2">
      <c r="G7888" s="401"/>
    </row>
    <row r="7889" spans="7:7" hidden="1" x14ac:dyDescent="0.2">
      <c r="G7889" s="401"/>
    </row>
    <row r="7890" spans="7:7" hidden="1" x14ac:dyDescent="0.2">
      <c r="G7890" s="401"/>
    </row>
    <row r="7891" spans="7:7" hidden="1" x14ac:dyDescent="0.2">
      <c r="G7891" s="401"/>
    </row>
    <row r="7892" spans="7:7" hidden="1" x14ac:dyDescent="0.2">
      <c r="G7892" s="401"/>
    </row>
    <row r="7893" spans="7:7" hidden="1" x14ac:dyDescent="0.2">
      <c r="G7893" s="401"/>
    </row>
    <row r="7894" spans="7:7" hidden="1" x14ac:dyDescent="0.2">
      <c r="G7894" s="401"/>
    </row>
    <row r="7895" spans="7:7" hidden="1" x14ac:dyDescent="0.2">
      <c r="G7895" s="401"/>
    </row>
    <row r="7896" spans="7:7" hidden="1" x14ac:dyDescent="0.2">
      <c r="G7896" s="401"/>
    </row>
    <row r="7897" spans="7:7" hidden="1" x14ac:dyDescent="0.2">
      <c r="G7897" s="401"/>
    </row>
    <row r="7898" spans="7:7" hidden="1" x14ac:dyDescent="0.2">
      <c r="G7898" s="401"/>
    </row>
    <row r="7899" spans="7:7" hidden="1" x14ac:dyDescent="0.2">
      <c r="G7899" s="401"/>
    </row>
    <row r="7900" spans="7:7" hidden="1" x14ac:dyDescent="0.2">
      <c r="G7900" s="401"/>
    </row>
    <row r="7901" spans="7:7" hidden="1" x14ac:dyDescent="0.2">
      <c r="G7901" s="401"/>
    </row>
    <row r="7902" spans="7:7" hidden="1" x14ac:dyDescent="0.2">
      <c r="G7902" s="401"/>
    </row>
    <row r="7903" spans="7:7" hidden="1" x14ac:dyDescent="0.2">
      <c r="G7903" s="401"/>
    </row>
    <row r="7904" spans="7:7" hidden="1" x14ac:dyDescent="0.2">
      <c r="G7904" s="401"/>
    </row>
    <row r="7905" spans="7:7" hidden="1" x14ac:dyDescent="0.2">
      <c r="G7905" s="401"/>
    </row>
    <row r="7906" spans="7:7" hidden="1" x14ac:dyDescent="0.2">
      <c r="G7906" s="401"/>
    </row>
    <row r="7907" spans="7:7" hidden="1" x14ac:dyDescent="0.2">
      <c r="G7907" s="401"/>
    </row>
    <row r="7908" spans="7:7" hidden="1" x14ac:dyDescent="0.2">
      <c r="G7908" s="401"/>
    </row>
    <row r="7909" spans="7:7" hidden="1" x14ac:dyDescent="0.2">
      <c r="G7909" s="401"/>
    </row>
    <row r="7910" spans="7:7" hidden="1" x14ac:dyDescent="0.2">
      <c r="G7910" s="401"/>
    </row>
    <row r="7911" spans="7:7" hidden="1" x14ac:dyDescent="0.2">
      <c r="G7911" s="401"/>
    </row>
    <row r="7912" spans="7:7" hidden="1" x14ac:dyDescent="0.2">
      <c r="G7912" s="401"/>
    </row>
    <row r="7913" spans="7:7" hidden="1" x14ac:dyDescent="0.2">
      <c r="G7913" s="401"/>
    </row>
    <row r="7914" spans="7:7" hidden="1" x14ac:dyDescent="0.2">
      <c r="G7914" s="401"/>
    </row>
    <row r="7915" spans="7:7" hidden="1" x14ac:dyDescent="0.2">
      <c r="G7915" s="401"/>
    </row>
    <row r="7916" spans="7:7" hidden="1" x14ac:dyDescent="0.2">
      <c r="G7916" s="401"/>
    </row>
    <row r="7917" spans="7:7" hidden="1" x14ac:dyDescent="0.2">
      <c r="G7917" s="401"/>
    </row>
    <row r="7918" spans="7:7" hidden="1" x14ac:dyDescent="0.2">
      <c r="G7918" s="401"/>
    </row>
    <row r="7919" spans="7:7" hidden="1" x14ac:dyDescent="0.2">
      <c r="G7919" s="401"/>
    </row>
    <row r="7920" spans="7:7" hidden="1" x14ac:dyDescent="0.2">
      <c r="G7920" s="401"/>
    </row>
    <row r="7921" spans="7:7" hidden="1" x14ac:dyDescent="0.2">
      <c r="G7921" s="401"/>
    </row>
    <row r="7922" spans="7:7" hidden="1" x14ac:dyDescent="0.2">
      <c r="G7922" s="401"/>
    </row>
    <row r="7923" spans="7:7" hidden="1" x14ac:dyDescent="0.2">
      <c r="G7923" s="401"/>
    </row>
    <row r="7924" spans="7:7" hidden="1" x14ac:dyDescent="0.2">
      <c r="G7924" s="401"/>
    </row>
    <row r="7925" spans="7:7" hidden="1" x14ac:dyDescent="0.2">
      <c r="G7925" s="401"/>
    </row>
    <row r="7926" spans="7:7" hidden="1" x14ac:dyDescent="0.2">
      <c r="G7926" s="401"/>
    </row>
    <row r="7927" spans="7:7" hidden="1" x14ac:dyDescent="0.2">
      <c r="G7927" s="401"/>
    </row>
    <row r="7928" spans="7:7" hidden="1" x14ac:dyDescent="0.2">
      <c r="G7928" s="401"/>
    </row>
    <row r="7929" spans="7:7" hidden="1" x14ac:dyDescent="0.2">
      <c r="G7929" s="401"/>
    </row>
    <row r="7930" spans="7:7" hidden="1" x14ac:dyDescent="0.2">
      <c r="G7930" s="401"/>
    </row>
    <row r="7931" spans="7:7" hidden="1" x14ac:dyDescent="0.2">
      <c r="G7931" s="401"/>
    </row>
    <row r="7932" spans="7:7" hidden="1" x14ac:dyDescent="0.2">
      <c r="G7932" s="401"/>
    </row>
    <row r="7933" spans="7:7" hidden="1" x14ac:dyDescent="0.2">
      <c r="G7933" s="401"/>
    </row>
    <row r="7934" spans="7:7" hidden="1" x14ac:dyDescent="0.2">
      <c r="G7934" s="401"/>
    </row>
    <row r="7935" spans="7:7" hidden="1" x14ac:dyDescent="0.2">
      <c r="G7935" s="401"/>
    </row>
    <row r="7936" spans="7:7" hidden="1" x14ac:dyDescent="0.2">
      <c r="G7936" s="401"/>
    </row>
    <row r="7937" spans="7:7" hidden="1" x14ac:dyDescent="0.2">
      <c r="G7937" s="401"/>
    </row>
    <row r="7938" spans="7:7" hidden="1" x14ac:dyDescent="0.2">
      <c r="G7938" s="401"/>
    </row>
    <row r="7939" spans="7:7" hidden="1" x14ac:dyDescent="0.2">
      <c r="G7939" s="401"/>
    </row>
    <row r="7940" spans="7:7" hidden="1" x14ac:dyDescent="0.2">
      <c r="G7940" s="401"/>
    </row>
    <row r="7941" spans="7:7" hidden="1" x14ac:dyDescent="0.2">
      <c r="G7941" s="401"/>
    </row>
    <row r="7942" spans="7:7" hidden="1" x14ac:dyDescent="0.2">
      <c r="G7942" s="401"/>
    </row>
    <row r="7943" spans="7:7" hidden="1" x14ac:dyDescent="0.2">
      <c r="G7943" s="401"/>
    </row>
    <row r="7944" spans="7:7" hidden="1" x14ac:dyDescent="0.2">
      <c r="G7944" s="401"/>
    </row>
    <row r="7945" spans="7:7" hidden="1" x14ac:dyDescent="0.2">
      <c r="G7945" s="401"/>
    </row>
    <row r="7946" spans="7:7" hidden="1" x14ac:dyDescent="0.2">
      <c r="G7946" s="401"/>
    </row>
    <row r="7947" spans="7:7" hidden="1" x14ac:dyDescent="0.2">
      <c r="G7947" s="401"/>
    </row>
    <row r="7948" spans="7:7" hidden="1" x14ac:dyDescent="0.2">
      <c r="G7948" s="401"/>
    </row>
    <row r="7949" spans="7:7" hidden="1" x14ac:dyDescent="0.2">
      <c r="G7949" s="401"/>
    </row>
    <row r="7950" spans="7:7" hidden="1" x14ac:dyDescent="0.2">
      <c r="G7950" s="401"/>
    </row>
    <row r="7951" spans="7:7" hidden="1" x14ac:dyDescent="0.2">
      <c r="G7951" s="401"/>
    </row>
    <row r="7952" spans="7:7" hidden="1" x14ac:dyDescent="0.2">
      <c r="G7952" s="401"/>
    </row>
    <row r="7953" spans="7:7" hidden="1" x14ac:dyDescent="0.2">
      <c r="G7953" s="401"/>
    </row>
    <row r="7954" spans="7:7" hidden="1" x14ac:dyDescent="0.2">
      <c r="G7954" s="401"/>
    </row>
    <row r="7955" spans="7:7" hidden="1" x14ac:dyDescent="0.2">
      <c r="G7955" s="401"/>
    </row>
    <row r="7956" spans="7:7" hidden="1" x14ac:dyDescent="0.2">
      <c r="G7956" s="401"/>
    </row>
    <row r="7957" spans="7:7" hidden="1" x14ac:dyDescent="0.2">
      <c r="G7957" s="401"/>
    </row>
    <row r="7958" spans="7:7" hidden="1" x14ac:dyDescent="0.2">
      <c r="G7958" s="401"/>
    </row>
    <row r="7959" spans="7:7" hidden="1" x14ac:dyDescent="0.2">
      <c r="G7959" s="401"/>
    </row>
    <row r="7960" spans="7:7" hidden="1" x14ac:dyDescent="0.2">
      <c r="G7960" s="401"/>
    </row>
    <row r="7961" spans="7:7" hidden="1" x14ac:dyDescent="0.2">
      <c r="G7961" s="401"/>
    </row>
    <row r="7962" spans="7:7" hidden="1" x14ac:dyDescent="0.2">
      <c r="G7962" s="401"/>
    </row>
    <row r="7963" spans="7:7" hidden="1" x14ac:dyDescent="0.2">
      <c r="G7963" s="401"/>
    </row>
    <row r="7964" spans="7:7" hidden="1" x14ac:dyDescent="0.2">
      <c r="G7964" s="401"/>
    </row>
    <row r="7965" spans="7:7" hidden="1" x14ac:dyDescent="0.2">
      <c r="G7965" s="401"/>
    </row>
    <row r="7966" spans="7:7" hidden="1" x14ac:dyDescent="0.2">
      <c r="G7966" s="401"/>
    </row>
    <row r="7967" spans="7:7" hidden="1" x14ac:dyDescent="0.2">
      <c r="G7967" s="401"/>
    </row>
    <row r="7968" spans="7:7" hidden="1" x14ac:dyDescent="0.2">
      <c r="G7968" s="401"/>
    </row>
    <row r="7969" spans="7:7" hidden="1" x14ac:dyDescent="0.2">
      <c r="G7969" s="401"/>
    </row>
    <row r="7970" spans="7:7" hidden="1" x14ac:dyDescent="0.2">
      <c r="G7970" s="401"/>
    </row>
    <row r="7971" spans="7:7" hidden="1" x14ac:dyDescent="0.2">
      <c r="G7971" s="401"/>
    </row>
    <row r="7972" spans="7:7" hidden="1" x14ac:dyDescent="0.2">
      <c r="G7972" s="401"/>
    </row>
    <row r="7973" spans="7:7" hidden="1" x14ac:dyDescent="0.2">
      <c r="G7973" s="401"/>
    </row>
    <row r="7974" spans="7:7" hidden="1" x14ac:dyDescent="0.2">
      <c r="G7974" s="401"/>
    </row>
    <row r="7975" spans="7:7" hidden="1" x14ac:dyDescent="0.2">
      <c r="G7975" s="401"/>
    </row>
    <row r="7976" spans="7:7" hidden="1" x14ac:dyDescent="0.2">
      <c r="G7976" s="401"/>
    </row>
    <row r="7977" spans="7:7" hidden="1" x14ac:dyDescent="0.2">
      <c r="G7977" s="401"/>
    </row>
    <row r="7978" spans="7:7" hidden="1" x14ac:dyDescent="0.2">
      <c r="G7978" s="401"/>
    </row>
    <row r="7979" spans="7:7" hidden="1" x14ac:dyDescent="0.2">
      <c r="G7979" s="401"/>
    </row>
    <row r="7980" spans="7:7" hidden="1" x14ac:dyDescent="0.2">
      <c r="G7980" s="401"/>
    </row>
    <row r="7981" spans="7:7" hidden="1" x14ac:dyDescent="0.2">
      <c r="G7981" s="401"/>
    </row>
    <row r="7982" spans="7:7" hidden="1" x14ac:dyDescent="0.2">
      <c r="G7982" s="401"/>
    </row>
    <row r="7983" spans="7:7" hidden="1" x14ac:dyDescent="0.2">
      <c r="G7983" s="401"/>
    </row>
    <row r="7984" spans="7:7" hidden="1" x14ac:dyDescent="0.2">
      <c r="G7984" s="401"/>
    </row>
    <row r="7985" spans="7:7" hidden="1" x14ac:dyDescent="0.2">
      <c r="G7985" s="401"/>
    </row>
    <row r="7986" spans="7:7" hidden="1" x14ac:dyDescent="0.2">
      <c r="G7986" s="401"/>
    </row>
    <row r="7987" spans="7:7" hidden="1" x14ac:dyDescent="0.2">
      <c r="G7987" s="401"/>
    </row>
    <row r="7988" spans="7:7" hidden="1" x14ac:dyDescent="0.2">
      <c r="G7988" s="401"/>
    </row>
    <row r="7989" spans="7:7" hidden="1" x14ac:dyDescent="0.2">
      <c r="G7989" s="401"/>
    </row>
    <row r="7990" spans="7:7" hidden="1" x14ac:dyDescent="0.2">
      <c r="G7990" s="401"/>
    </row>
    <row r="7991" spans="7:7" hidden="1" x14ac:dyDescent="0.2">
      <c r="G7991" s="401"/>
    </row>
    <row r="7992" spans="7:7" hidden="1" x14ac:dyDescent="0.2">
      <c r="G7992" s="401"/>
    </row>
    <row r="7993" spans="7:7" hidden="1" x14ac:dyDescent="0.2">
      <c r="G7993" s="401"/>
    </row>
    <row r="7994" spans="7:7" hidden="1" x14ac:dyDescent="0.2">
      <c r="G7994" s="401"/>
    </row>
    <row r="7995" spans="7:7" hidden="1" x14ac:dyDescent="0.2">
      <c r="G7995" s="401"/>
    </row>
    <row r="7996" spans="7:7" hidden="1" x14ac:dyDescent="0.2">
      <c r="G7996" s="401"/>
    </row>
    <row r="7997" spans="7:7" hidden="1" x14ac:dyDescent="0.2">
      <c r="G7997" s="401"/>
    </row>
    <row r="7998" spans="7:7" hidden="1" x14ac:dyDescent="0.2">
      <c r="G7998" s="401"/>
    </row>
    <row r="7999" spans="7:7" hidden="1" x14ac:dyDescent="0.2">
      <c r="G7999" s="401"/>
    </row>
    <row r="8000" spans="7:7" hidden="1" x14ac:dyDescent="0.2">
      <c r="G8000" s="401"/>
    </row>
    <row r="8001" spans="7:7" hidden="1" x14ac:dyDescent="0.2">
      <c r="G8001" s="401"/>
    </row>
    <row r="8002" spans="7:7" hidden="1" x14ac:dyDescent="0.2">
      <c r="G8002" s="401"/>
    </row>
    <row r="8003" spans="7:7" hidden="1" x14ac:dyDescent="0.2">
      <c r="G8003" s="401"/>
    </row>
    <row r="8004" spans="7:7" hidden="1" x14ac:dyDescent="0.2">
      <c r="G8004" s="401"/>
    </row>
    <row r="8005" spans="7:7" hidden="1" x14ac:dyDescent="0.2">
      <c r="G8005" s="401"/>
    </row>
    <row r="8006" spans="7:7" hidden="1" x14ac:dyDescent="0.2">
      <c r="G8006" s="401"/>
    </row>
    <row r="8007" spans="7:7" hidden="1" x14ac:dyDescent="0.2">
      <c r="G8007" s="401"/>
    </row>
    <row r="8008" spans="7:7" hidden="1" x14ac:dyDescent="0.2">
      <c r="G8008" s="401"/>
    </row>
    <row r="8009" spans="7:7" hidden="1" x14ac:dyDescent="0.2">
      <c r="G8009" s="401"/>
    </row>
    <row r="8010" spans="7:7" hidden="1" x14ac:dyDescent="0.2">
      <c r="G8010" s="401"/>
    </row>
    <row r="8011" spans="7:7" hidden="1" x14ac:dyDescent="0.2">
      <c r="G8011" s="401"/>
    </row>
    <row r="8012" spans="7:7" hidden="1" x14ac:dyDescent="0.2">
      <c r="G8012" s="401"/>
    </row>
    <row r="8013" spans="7:7" hidden="1" x14ac:dyDescent="0.2">
      <c r="G8013" s="401"/>
    </row>
    <row r="8014" spans="7:7" hidden="1" x14ac:dyDescent="0.2">
      <c r="G8014" s="401"/>
    </row>
    <row r="8015" spans="7:7" hidden="1" x14ac:dyDescent="0.2">
      <c r="G8015" s="401"/>
    </row>
    <row r="8016" spans="7:7" hidden="1" x14ac:dyDescent="0.2">
      <c r="G8016" s="401"/>
    </row>
    <row r="8017" spans="7:7" hidden="1" x14ac:dyDescent="0.2">
      <c r="G8017" s="401"/>
    </row>
    <row r="8018" spans="7:7" hidden="1" x14ac:dyDescent="0.2">
      <c r="G8018" s="401"/>
    </row>
    <row r="8019" spans="7:7" hidden="1" x14ac:dyDescent="0.2">
      <c r="G8019" s="401"/>
    </row>
    <row r="8020" spans="7:7" hidden="1" x14ac:dyDescent="0.2">
      <c r="G8020" s="401"/>
    </row>
    <row r="8021" spans="7:7" hidden="1" x14ac:dyDescent="0.2">
      <c r="G8021" s="401"/>
    </row>
    <row r="8022" spans="7:7" hidden="1" x14ac:dyDescent="0.2">
      <c r="G8022" s="401"/>
    </row>
    <row r="8023" spans="7:7" hidden="1" x14ac:dyDescent="0.2">
      <c r="G8023" s="401"/>
    </row>
    <row r="8024" spans="7:7" hidden="1" x14ac:dyDescent="0.2">
      <c r="G8024" s="401"/>
    </row>
    <row r="8025" spans="7:7" hidden="1" x14ac:dyDescent="0.2">
      <c r="G8025" s="401"/>
    </row>
    <row r="8026" spans="7:7" hidden="1" x14ac:dyDescent="0.2">
      <c r="G8026" s="401"/>
    </row>
    <row r="8027" spans="7:7" hidden="1" x14ac:dyDescent="0.2">
      <c r="G8027" s="401"/>
    </row>
    <row r="8028" spans="7:7" hidden="1" x14ac:dyDescent="0.2">
      <c r="G8028" s="401"/>
    </row>
    <row r="8029" spans="7:7" hidden="1" x14ac:dyDescent="0.2">
      <c r="G8029" s="401"/>
    </row>
    <row r="8030" spans="7:7" hidden="1" x14ac:dyDescent="0.2">
      <c r="G8030" s="401"/>
    </row>
    <row r="8031" spans="7:7" hidden="1" x14ac:dyDescent="0.2">
      <c r="G8031" s="401"/>
    </row>
    <row r="8032" spans="7:7" hidden="1" x14ac:dyDescent="0.2">
      <c r="G8032" s="401"/>
    </row>
    <row r="8033" spans="7:7" hidden="1" x14ac:dyDescent="0.2">
      <c r="G8033" s="401"/>
    </row>
    <row r="8034" spans="7:7" hidden="1" x14ac:dyDescent="0.2">
      <c r="G8034" s="401"/>
    </row>
    <row r="8035" spans="7:7" hidden="1" x14ac:dyDescent="0.2">
      <c r="G8035" s="401"/>
    </row>
    <row r="8036" spans="7:7" hidden="1" x14ac:dyDescent="0.2">
      <c r="G8036" s="401"/>
    </row>
    <row r="8037" spans="7:7" hidden="1" x14ac:dyDescent="0.2">
      <c r="G8037" s="401"/>
    </row>
    <row r="8038" spans="7:7" hidden="1" x14ac:dyDescent="0.2">
      <c r="G8038" s="401"/>
    </row>
    <row r="8039" spans="7:7" hidden="1" x14ac:dyDescent="0.2">
      <c r="G8039" s="401"/>
    </row>
    <row r="8040" spans="7:7" hidden="1" x14ac:dyDescent="0.2">
      <c r="G8040" s="401"/>
    </row>
    <row r="8041" spans="7:7" hidden="1" x14ac:dyDescent="0.2">
      <c r="G8041" s="401"/>
    </row>
    <row r="8042" spans="7:7" hidden="1" x14ac:dyDescent="0.2">
      <c r="G8042" s="401"/>
    </row>
    <row r="8043" spans="7:7" hidden="1" x14ac:dyDescent="0.2">
      <c r="G8043" s="401"/>
    </row>
    <row r="8044" spans="7:7" hidden="1" x14ac:dyDescent="0.2">
      <c r="G8044" s="401"/>
    </row>
    <row r="8045" spans="7:7" hidden="1" x14ac:dyDescent="0.2">
      <c r="G8045" s="401"/>
    </row>
    <row r="8046" spans="7:7" hidden="1" x14ac:dyDescent="0.2">
      <c r="G8046" s="401"/>
    </row>
    <row r="8047" spans="7:7" hidden="1" x14ac:dyDescent="0.2">
      <c r="G8047" s="401"/>
    </row>
    <row r="8048" spans="7:7" hidden="1" x14ac:dyDescent="0.2">
      <c r="G8048" s="401"/>
    </row>
    <row r="8049" spans="7:7" hidden="1" x14ac:dyDescent="0.2">
      <c r="G8049" s="401"/>
    </row>
    <row r="8050" spans="7:7" hidden="1" x14ac:dyDescent="0.2">
      <c r="G8050" s="401"/>
    </row>
    <row r="8051" spans="7:7" hidden="1" x14ac:dyDescent="0.2">
      <c r="G8051" s="401"/>
    </row>
    <row r="8052" spans="7:7" hidden="1" x14ac:dyDescent="0.2">
      <c r="G8052" s="401"/>
    </row>
    <row r="8053" spans="7:7" hidden="1" x14ac:dyDescent="0.2">
      <c r="G8053" s="401"/>
    </row>
    <row r="8054" spans="7:7" hidden="1" x14ac:dyDescent="0.2">
      <c r="G8054" s="401"/>
    </row>
    <row r="8055" spans="7:7" hidden="1" x14ac:dyDescent="0.2">
      <c r="G8055" s="401"/>
    </row>
    <row r="8056" spans="7:7" hidden="1" x14ac:dyDescent="0.2">
      <c r="G8056" s="401"/>
    </row>
    <row r="8057" spans="7:7" hidden="1" x14ac:dyDescent="0.2">
      <c r="G8057" s="401"/>
    </row>
    <row r="8058" spans="7:7" hidden="1" x14ac:dyDescent="0.2">
      <c r="G8058" s="401"/>
    </row>
    <row r="8059" spans="7:7" hidden="1" x14ac:dyDescent="0.2">
      <c r="G8059" s="401"/>
    </row>
    <row r="8060" spans="7:7" hidden="1" x14ac:dyDescent="0.2">
      <c r="G8060" s="401"/>
    </row>
    <row r="8061" spans="7:7" hidden="1" x14ac:dyDescent="0.2">
      <c r="G8061" s="401"/>
    </row>
    <row r="8062" spans="7:7" hidden="1" x14ac:dyDescent="0.2">
      <c r="G8062" s="401"/>
    </row>
    <row r="8063" spans="7:7" hidden="1" x14ac:dyDescent="0.2">
      <c r="G8063" s="401"/>
    </row>
    <row r="8064" spans="7:7" hidden="1" x14ac:dyDescent="0.2">
      <c r="G8064" s="401"/>
    </row>
    <row r="8065" spans="7:7" hidden="1" x14ac:dyDescent="0.2">
      <c r="G8065" s="401"/>
    </row>
    <row r="8066" spans="7:7" hidden="1" x14ac:dyDescent="0.2">
      <c r="G8066" s="401"/>
    </row>
    <row r="8067" spans="7:7" hidden="1" x14ac:dyDescent="0.2">
      <c r="G8067" s="401"/>
    </row>
    <row r="8068" spans="7:7" hidden="1" x14ac:dyDescent="0.2">
      <c r="G8068" s="401"/>
    </row>
    <row r="8069" spans="7:7" hidden="1" x14ac:dyDescent="0.2">
      <c r="G8069" s="401"/>
    </row>
    <row r="8070" spans="7:7" hidden="1" x14ac:dyDescent="0.2">
      <c r="G8070" s="401"/>
    </row>
    <row r="8071" spans="7:7" hidden="1" x14ac:dyDescent="0.2">
      <c r="G8071" s="401"/>
    </row>
    <row r="8072" spans="7:7" hidden="1" x14ac:dyDescent="0.2">
      <c r="G8072" s="401"/>
    </row>
    <row r="8073" spans="7:7" hidden="1" x14ac:dyDescent="0.2">
      <c r="G8073" s="401"/>
    </row>
    <row r="8074" spans="7:7" hidden="1" x14ac:dyDescent="0.2">
      <c r="G8074" s="401"/>
    </row>
    <row r="8075" spans="7:7" hidden="1" x14ac:dyDescent="0.2">
      <c r="G8075" s="401"/>
    </row>
    <row r="8076" spans="7:7" hidden="1" x14ac:dyDescent="0.2">
      <c r="G8076" s="401"/>
    </row>
    <row r="8077" spans="7:7" hidden="1" x14ac:dyDescent="0.2">
      <c r="G8077" s="401"/>
    </row>
    <row r="8078" spans="7:7" hidden="1" x14ac:dyDescent="0.2">
      <c r="G8078" s="401"/>
    </row>
    <row r="8079" spans="7:7" hidden="1" x14ac:dyDescent="0.2">
      <c r="G8079" s="401"/>
    </row>
    <row r="8080" spans="7:7" hidden="1" x14ac:dyDescent="0.2">
      <c r="G8080" s="401"/>
    </row>
    <row r="8081" spans="7:7" hidden="1" x14ac:dyDescent="0.2">
      <c r="G8081" s="401"/>
    </row>
    <row r="8082" spans="7:7" hidden="1" x14ac:dyDescent="0.2">
      <c r="G8082" s="401"/>
    </row>
    <row r="8083" spans="7:7" hidden="1" x14ac:dyDescent="0.2">
      <c r="G8083" s="401"/>
    </row>
    <row r="8084" spans="7:7" hidden="1" x14ac:dyDescent="0.2">
      <c r="G8084" s="401"/>
    </row>
    <row r="8085" spans="7:7" hidden="1" x14ac:dyDescent="0.2">
      <c r="G8085" s="401"/>
    </row>
    <row r="8086" spans="7:7" hidden="1" x14ac:dyDescent="0.2">
      <c r="G8086" s="401"/>
    </row>
    <row r="8087" spans="7:7" hidden="1" x14ac:dyDescent="0.2">
      <c r="G8087" s="401"/>
    </row>
    <row r="8088" spans="7:7" hidden="1" x14ac:dyDescent="0.2">
      <c r="G8088" s="401"/>
    </row>
    <row r="8089" spans="7:7" hidden="1" x14ac:dyDescent="0.2">
      <c r="G8089" s="401"/>
    </row>
    <row r="8090" spans="7:7" hidden="1" x14ac:dyDescent="0.2">
      <c r="G8090" s="401"/>
    </row>
    <row r="8091" spans="7:7" hidden="1" x14ac:dyDescent="0.2">
      <c r="G8091" s="401"/>
    </row>
    <row r="8092" spans="7:7" hidden="1" x14ac:dyDescent="0.2">
      <c r="G8092" s="401"/>
    </row>
    <row r="8093" spans="7:7" hidden="1" x14ac:dyDescent="0.2">
      <c r="G8093" s="401"/>
    </row>
    <row r="8094" spans="7:7" hidden="1" x14ac:dyDescent="0.2">
      <c r="G8094" s="401"/>
    </row>
    <row r="8095" spans="7:7" hidden="1" x14ac:dyDescent="0.2">
      <c r="G8095" s="401"/>
    </row>
    <row r="8096" spans="7:7" hidden="1" x14ac:dyDescent="0.2">
      <c r="G8096" s="401"/>
    </row>
    <row r="8097" spans="7:7" hidden="1" x14ac:dyDescent="0.2">
      <c r="G8097" s="401"/>
    </row>
    <row r="8098" spans="7:7" hidden="1" x14ac:dyDescent="0.2">
      <c r="G8098" s="401"/>
    </row>
    <row r="8099" spans="7:7" hidden="1" x14ac:dyDescent="0.2">
      <c r="G8099" s="401"/>
    </row>
    <row r="8100" spans="7:7" hidden="1" x14ac:dyDescent="0.2">
      <c r="G8100" s="401"/>
    </row>
    <row r="8101" spans="7:7" hidden="1" x14ac:dyDescent="0.2">
      <c r="G8101" s="401"/>
    </row>
    <row r="8102" spans="7:7" hidden="1" x14ac:dyDescent="0.2">
      <c r="G8102" s="401"/>
    </row>
    <row r="8103" spans="7:7" hidden="1" x14ac:dyDescent="0.2">
      <c r="G8103" s="401"/>
    </row>
    <row r="8104" spans="7:7" hidden="1" x14ac:dyDescent="0.2">
      <c r="G8104" s="401"/>
    </row>
    <row r="8105" spans="7:7" hidden="1" x14ac:dyDescent="0.2">
      <c r="G8105" s="401"/>
    </row>
    <row r="8106" spans="7:7" hidden="1" x14ac:dyDescent="0.2">
      <c r="G8106" s="401"/>
    </row>
    <row r="8107" spans="7:7" hidden="1" x14ac:dyDescent="0.2">
      <c r="G8107" s="401"/>
    </row>
    <row r="8108" spans="7:7" hidden="1" x14ac:dyDescent="0.2">
      <c r="G8108" s="401"/>
    </row>
    <row r="8109" spans="7:7" hidden="1" x14ac:dyDescent="0.2">
      <c r="G8109" s="401"/>
    </row>
    <row r="8110" spans="7:7" hidden="1" x14ac:dyDescent="0.2">
      <c r="G8110" s="401"/>
    </row>
    <row r="8111" spans="7:7" hidden="1" x14ac:dyDescent="0.2">
      <c r="G8111" s="401"/>
    </row>
    <row r="8112" spans="7:7" hidden="1" x14ac:dyDescent="0.2">
      <c r="G8112" s="401"/>
    </row>
    <row r="8113" spans="7:7" hidden="1" x14ac:dyDescent="0.2">
      <c r="G8113" s="401"/>
    </row>
    <row r="8114" spans="7:7" hidden="1" x14ac:dyDescent="0.2">
      <c r="G8114" s="401"/>
    </row>
    <row r="8115" spans="7:7" hidden="1" x14ac:dyDescent="0.2">
      <c r="G8115" s="401"/>
    </row>
    <row r="8116" spans="7:7" hidden="1" x14ac:dyDescent="0.2">
      <c r="G8116" s="401"/>
    </row>
    <row r="8117" spans="7:7" hidden="1" x14ac:dyDescent="0.2">
      <c r="G8117" s="401"/>
    </row>
    <row r="8118" spans="7:7" hidden="1" x14ac:dyDescent="0.2">
      <c r="G8118" s="401"/>
    </row>
    <row r="8119" spans="7:7" hidden="1" x14ac:dyDescent="0.2">
      <c r="G8119" s="401"/>
    </row>
    <row r="8120" spans="7:7" hidden="1" x14ac:dyDescent="0.2">
      <c r="G8120" s="401"/>
    </row>
    <row r="8121" spans="7:7" hidden="1" x14ac:dyDescent="0.2">
      <c r="G8121" s="401"/>
    </row>
    <row r="8122" spans="7:7" hidden="1" x14ac:dyDescent="0.2">
      <c r="G8122" s="401"/>
    </row>
    <row r="8123" spans="7:7" hidden="1" x14ac:dyDescent="0.2">
      <c r="G8123" s="401"/>
    </row>
    <row r="8124" spans="7:7" hidden="1" x14ac:dyDescent="0.2">
      <c r="G8124" s="401"/>
    </row>
    <row r="8125" spans="7:7" hidden="1" x14ac:dyDescent="0.2">
      <c r="G8125" s="401"/>
    </row>
    <row r="8126" spans="7:7" hidden="1" x14ac:dyDescent="0.2">
      <c r="G8126" s="401"/>
    </row>
    <row r="8127" spans="7:7" hidden="1" x14ac:dyDescent="0.2">
      <c r="G8127" s="401"/>
    </row>
    <row r="8128" spans="7:7" hidden="1" x14ac:dyDescent="0.2">
      <c r="G8128" s="401"/>
    </row>
    <row r="8129" spans="7:7" hidden="1" x14ac:dyDescent="0.2">
      <c r="G8129" s="401"/>
    </row>
    <row r="8130" spans="7:7" hidden="1" x14ac:dyDescent="0.2">
      <c r="G8130" s="401"/>
    </row>
    <row r="8131" spans="7:7" hidden="1" x14ac:dyDescent="0.2">
      <c r="G8131" s="401"/>
    </row>
    <row r="8132" spans="7:7" hidden="1" x14ac:dyDescent="0.2">
      <c r="G8132" s="401"/>
    </row>
    <row r="8133" spans="7:7" hidden="1" x14ac:dyDescent="0.2">
      <c r="G8133" s="401"/>
    </row>
    <row r="8134" spans="7:7" hidden="1" x14ac:dyDescent="0.2">
      <c r="G8134" s="401"/>
    </row>
    <row r="8135" spans="7:7" hidden="1" x14ac:dyDescent="0.2">
      <c r="G8135" s="401"/>
    </row>
    <row r="8136" spans="7:7" hidden="1" x14ac:dyDescent="0.2">
      <c r="G8136" s="401"/>
    </row>
    <row r="8137" spans="7:7" hidden="1" x14ac:dyDescent="0.2">
      <c r="G8137" s="401"/>
    </row>
    <row r="8138" spans="7:7" hidden="1" x14ac:dyDescent="0.2">
      <c r="G8138" s="401"/>
    </row>
    <row r="8139" spans="7:7" hidden="1" x14ac:dyDescent="0.2">
      <c r="G8139" s="401"/>
    </row>
    <row r="8140" spans="7:7" hidden="1" x14ac:dyDescent="0.2">
      <c r="G8140" s="401"/>
    </row>
    <row r="8141" spans="7:7" hidden="1" x14ac:dyDescent="0.2">
      <c r="G8141" s="401"/>
    </row>
    <row r="8142" spans="7:7" hidden="1" x14ac:dyDescent="0.2">
      <c r="G8142" s="401"/>
    </row>
    <row r="8143" spans="7:7" hidden="1" x14ac:dyDescent="0.2">
      <c r="G8143" s="401"/>
    </row>
    <row r="8144" spans="7:7" hidden="1" x14ac:dyDescent="0.2">
      <c r="G8144" s="401"/>
    </row>
    <row r="8145" spans="7:7" hidden="1" x14ac:dyDescent="0.2">
      <c r="G8145" s="401"/>
    </row>
    <row r="8146" spans="7:7" hidden="1" x14ac:dyDescent="0.2">
      <c r="G8146" s="401"/>
    </row>
    <row r="8147" spans="7:7" hidden="1" x14ac:dyDescent="0.2">
      <c r="G8147" s="401"/>
    </row>
    <row r="8148" spans="7:7" hidden="1" x14ac:dyDescent="0.2">
      <c r="G8148" s="401"/>
    </row>
    <row r="8149" spans="7:7" hidden="1" x14ac:dyDescent="0.2">
      <c r="G8149" s="401"/>
    </row>
    <row r="8150" spans="7:7" hidden="1" x14ac:dyDescent="0.2">
      <c r="G8150" s="401"/>
    </row>
    <row r="8151" spans="7:7" hidden="1" x14ac:dyDescent="0.2">
      <c r="G8151" s="401"/>
    </row>
    <row r="8152" spans="7:7" hidden="1" x14ac:dyDescent="0.2">
      <c r="G8152" s="401"/>
    </row>
    <row r="8153" spans="7:7" hidden="1" x14ac:dyDescent="0.2">
      <c r="G8153" s="401"/>
    </row>
    <row r="8154" spans="7:7" hidden="1" x14ac:dyDescent="0.2">
      <c r="G8154" s="401"/>
    </row>
    <row r="8155" spans="7:7" hidden="1" x14ac:dyDescent="0.2">
      <c r="G8155" s="401"/>
    </row>
    <row r="8156" spans="7:7" hidden="1" x14ac:dyDescent="0.2">
      <c r="G8156" s="401"/>
    </row>
    <row r="8157" spans="7:7" hidden="1" x14ac:dyDescent="0.2">
      <c r="G8157" s="401"/>
    </row>
    <row r="8158" spans="7:7" hidden="1" x14ac:dyDescent="0.2">
      <c r="G8158" s="401"/>
    </row>
    <row r="8159" spans="7:7" hidden="1" x14ac:dyDescent="0.2">
      <c r="G8159" s="401"/>
    </row>
    <row r="8160" spans="7:7" hidden="1" x14ac:dyDescent="0.2">
      <c r="G8160" s="401"/>
    </row>
    <row r="8161" spans="7:7" hidden="1" x14ac:dyDescent="0.2">
      <c r="G8161" s="401"/>
    </row>
    <row r="8162" spans="7:7" hidden="1" x14ac:dyDescent="0.2">
      <c r="G8162" s="401"/>
    </row>
    <row r="8163" spans="7:7" hidden="1" x14ac:dyDescent="0.2">
      <c r="G8163" s="401"/>
    </row>
    <row r="8164" spans="7:7" hidden="1" x14ac:dyDescent="0.2">
      <c r="G8164" s="401"/>
    </row>
    <row r="8165" spans="7:7" hidden="1" x14ac:dyDescent="0.2">
      <c r="G8165" s="401"/>
    </row>
    <row r="8166" spans="7:7" hidden="1" x14ac:dyDescent="0.2">
      <c r="G8166" s="401"/>
    </row>
    <row r="8167" spans="7:7" hidden="1" x14ac:dyDescent="0.2">
      <c r="G8167" s="401"/>
    </row>
    <row r="8168" spans="7:7" hidden="1" x14ac:dyDescent="0.2">
      <c r="G8168" s="401"/>
    </row>
    <row r="8169" spans="7:7" hidden="1" x14ac:dyDescent="0.2">
      <c r="G8169" s="401"/>
    </row>
    <row r="8170" spans="7:7" hidden="1" x14ac:dyDescent="0.2">
      <c r="G8170" s="401"/>
    </row>
    <row r="8171" spans="7:7" hidden="1" x14ac:dyDescent="0.2">
      <c r="G8171" s="401"/>
    </row>
    <row r="8172" spans="7:7" hidden="1" x14ac:dyDescent="0.2">
      <c r="G8172" s="401"/>
    </row>
    <row r="8173" spans="7:7" hidden="1" x14ac:dyDescent="0.2">
      <c r="G8173" s="401"/>
    </row>
    <row r="8174" spans="7:7" hidden="1" x14ac:dyDescent="0.2">
      <c r="G8174" s="401"/>
    </row>
    <row r="8175" spans="7:7" hidden="1" x14ac:dyDescent="0.2">
      <c r="G8175" s="401"/>
    </row>
    <row r="8176" spans="7:7" hidden="1" x14ac:dyDescent="0.2">
      <c r="G8176" s="401"/>
    </row>
    <row r="8177" spans="7:7" hidden="1" x14ac:dyDescent="0.2">
      <c r="G8177" s="401"/>
    </row>
    <row r="8178" spans="7:7" hidden="1" x14ac:dyDescent="0.2">
      <c r="G8178" s="401"/>
    </row>
    <row r="8179" spans="7:7" hidden="1" x14ac:dyDescent="0.2">
      <c r="G8179" s="401"/>
    </row>
    <row r="8180" spans="7:7" hidden="1" x14ac:dyDescent="0.2">
      <c r="G8180" s="401"/>
    </row>
    <row r="8181" spans="7:7" hidden="1" x14ac:dyDescent="0.2">
      <c r="G8181" s="401"/>
    </row>
    <row r="8182" spans="7:7" hidden="1" x14ac:dyDescent="0.2">
      <c r="G8182" s="401"/>
    </row>
    <row r="8183" spans="7:7" hidden="1" x14ac:dyDescent="0.2">
      <c r="G8183" s="401"/>
    </row>
    <row r="8184" spans="7:7" hidden="1" x14ac:dyDescent="0.2">
      <c r="G8184" s="401"/>
    </row>
    <row r="8185" spans="7:7" hidden="1" x14ac:dyDescent="0.2">
      <c r="G8185" s="401"/>
    </row>
    <row r="8186" spans="7:7" hidden="1" x14ac:dyDescent="0.2">
      <c r="G8186" s="401"/>
    </row>
    <row r="8187" spans="7:7" hidden="1" x14ac:dyDescent="0.2">
      <c r="G8187" s="401"/>
    </row>
    <row r="8188" spans="7:7" hidden="1" x14ac:dyDescent="0.2">
      <c r="G8188" s="401"/>
    </row>
    <row r="8189" spans="7:7" hidden="1" x14ac:dyDescent="0.2">
      <c r="G8189" s="401"/>
    </row>
    <row r="8190" spans="7:7" hidden="1" x14ac:dyDescent="0.2">
      <c r="G8190" s="401"/>
    </row>
    <row r="8191" spans="7:7" hidden="1" x14ac:dyDescent="0.2">
      <c r="G8191" s="401"/>
    </row>
    <row r="8192" spans="7:7" hidden="1" x14ac:dyDescent="0.2">
      <c r="G8192" s="401"/>
    </row>
    <row r="8193" spans="7:7" hidden="1" x14ac:dyDescent="0.2">
      <c r="G8193" s="401"/>
    </row>
    <row r="8194" spans="7:7" hidden="1" x14ac:dyDescent="0.2">
      <c r="G8194" s="401"/>
    </row>
    <row r="8195" spans="7:7" hidden="1" x14ac:dyDescent="0.2">
      <c r="G8195" s="401"/>
    </row>
    <row r="8196" spans="7:7" hidden="1" x14ac:dyDescent="0.2">
      <c r="G8196" s="401"/>
    </row>
    <row r="8197" spans="7:7" hidden="1" x14ac:dyDescent="0.2">
      <c r="G8197" s="401"/>
    </row>
    <row r="8198" spans="7:7" hidden="1" x14ac:dyDescent="0.2">
      <c r="G8198" s="401"/>
    </row>
    <row r="8199" spans="7:7" hidden="1" x14ac:dyDescent="0.2">
      <c r="G8199" s="401"/>
    </row>
    <row r="8200" spans="7:7" hidden="1" x14ac:dyDescent="0.2">
      <c r="G8200" s="401"/>
    </row>
    <row r="8201" spans="7:7" hidden="1" x14ac:dyDescent="0.2">
      <c r="G8201" s="401"/>
    </row>
    <row r="8202" spans="7:7" hidden="1" x14ac:dyDescent="0.2">
      <c r="G8202" s="401"/>
    </row>
    <row r="8203" spans="7:7" hidden="1" x14ac:dyDescent="0.2">
      <c r="G8203" s="401"/>
    </row>
    <row r="8204" spans="7:7" hidden="1" x14ac:dyDescent="0.2">
      <c r="G8204" s="401"/>
    </row>
    <row r="8205" spans="7:7" hidden="1" x14ac:dyDescent="0.2">
      <c r="G8205" s="401"/>
    </row>
    <row r="8206" spans="7:7" hidden="1" x14ac:dyDescent="0.2">
      <c r="G8206" s="401"/>
    </row>
    <row r="8207" spans="7:7" hidden="1" x14ac:dyDescent="0.2">
      <c r="G8207" s="401"/>
    </row>
    <row r="8208" spans="7:7" hidden="1" x14ac:dyDescent="0.2">
      <c r="G8208" s="401"/>
    </row>
    <row r="8209" spans="7:7" hidden="1" x14ac:dyDescent="0.2">
      <c r="G8209" s="401"/>
    </row>
    <row r="8210" spans="7:7" hidden="1" x14ac:dyDescent="0.2">
      <c r="G8210" s="401"/>
    </row>
    <row r="8211" spans="7:7" hidden="1" x14ac:dyDescent="0.2">
      <c r="G8211" s="401"/>
    </row>
    <row r="8212" spans="7:7" hidden="1" x14ac:dyDescent="0.2">
      <c r="G8212" s="401"/>
    </row>
    <row r="8213" spans="7:7" hidden="1" x14ac:dyDescent="0.2">
      <c r="G8213" s="401"/>
    </row>
    <row r="8214" spans="7:7" hidden="1" x14ac:dyDescent="0.2">
      <c r="G8214" s="401"/>
    </row>
    <row r="8215" spans="7:7" hidden="1" x14ac:dyDescent="0.2">
      <c r="G8215" s="401"/>
    </row>
    <row r="8216" spans="7:7" hidden="1" x14ac:dyDescent="0.2">
      <c r="G8216" s="401"/>
    </row>
    <row r="8217" spans="7:7" hidden="1" x14ac:dyDescent="0.2">
      <c r="G8217" s="401"/>
    </row>
    <row r="8218" spans="7:7" hidden="1" x14ac:dyDescent="0.2">
      <c r="G8218" s="401"/>
    </row>
    <row r="8219" spans="7:7" hidden="1" x14ac:dyDescent="0.2">
      <c r="G8219" s="401"/>
    </row>
    <row r="8220" spans="7:7" hidden="1" x14ac:dyDescent="0.2">
      <c r="G8220" s="401"/>
    </row>
    <row r="8221" spans="7:7" hidden="1" x14ac:dyDescent="0.2">
      <c r="G8221" s="401"/>
    </row>
    <row r="8222" spans="7:7" hidden="1" x14ac:dyDescent="0.2">
      <c r="G8222" s="401"/>
    </row>
    <row r="8223" spans="7:7" hidden="1" x14ac:dyDescent="0.2">
      <c r="G8223" s="401"/>
    </row>
    <row r="8224" spans="7:7" hidden="1" x14ac:dyDescent="0.2">
      <c r="G8224" s="401"/>
    </row>
    <row r="8225" spans="7:7" hidden="1" x14ac:dyDescent="0.2">
      <c r="G8225" s="401"/>
    </row>
    <row r="8226" spans="7:7" hidden="1" x14ac:dyDescent="0.2">
      <c r="G8226" s="401"/>
    </row>
    <row r="8227" spans="7:7" hidden="1" x14ac:dyDescent="0.2">
      <c r="G8227" s="401"/>
    </row>
    <row r="8228" spans="7:7" hidden="1" x14ac:dyDescent="0.2">
      <c r="G8228" s="401"/>
    </row>
    <row r="8229" spans="7:7" hidden="1" x14ac:dyDescent="0.2">
      <c r="G8229" s="401"/>
    </row>
    <row r="8230" spans="7:7" hidden="1" x14ac:dyDescent="0.2">
      <c r="G8230" s="401"/>
    </row>
    <row r="8231" spans="7:7" hidden="1" x14ac:dyDescent="0.2">
      <c r="G8231" s="401"/>
    </row>
    <row r="8232" spans="7:7" hidden="1" x14ac:dyDescent="0.2">
      <c r="G8232" s="401"/>
    </row>
    <row r="8233" spans="7:7" hidden="1" x14ac:dyDescent="0.2">
      <c r="G8233" s="401"/>
    </row>
    <row r="8234" spans="7:7" hidden="1" x14ac:dyDescent="0.2">
      <c r="G8234" s="401"/>
    </row>
    <row r="8235" spans="7:7" hidden="1" x14ac:dyDescent="0.2">
      <c r="G8235" s="401"/>
    </row>
    <row r="8236" spans="7:7" hidden="1" x14ac:dyDescent="0.2">
      <c r="G8236" s="401"/>
    </row>
    <row r="8237" spans="7:7" hidden="1" x14ac:dyDescent="0.2">
      <c r="G8237" s="401"/>
    </row>
    <row r="8238" spans="7:7" hidden="1" x14ac:dyDescent="0.2">
      <c r="G8238" s="401"/>
    </row>
    <row r="8239" spans="7:7" hidden="1" x14ac:dyDescent="0.2">
      <c r="G8239" s="401"/>
    </row>
    <row r="8240" spans="7:7" hidden="1" x14ac:dyDescent="0.2">
      <c r="G8240" s="401"/>
    </row>
    <row r="8241" spans="7:7" hidden="1" x14ac:dyDescent="0.2">
      <c r="G8241" s="401"/>
    </row>
    <row r="8242" spans="7:7" hidden="1" x14ac:dyDescent="0.2">
      <c r="G8242" s="401"/>
    </row>
    <row r="8243" spans="7:7" hidden="1" x14ac:dyDescent="0.2">
      <c r="G8243" s="401"/>
    </row>
    <row r="8244" spans="7:7" hidden="1" x14ac:dyDescent="0.2">
      <c r="G8244" s="401"/>
    </row>
    <row r="8245" spans="7:7" hidden="1" x14ac:dyDescent="0.2">
      <c r="G8245" s="401"/>
    </row>
    <row r="8246" spans="7:7" hidden="1" x14ac:dyDescent="0.2">
      <c r="G8246" s="401"/>
    </row>
    <row r="8247" spans="7:7" hidden="1" x14ac:dyDescent="0.2">
      <c r="G8247" s="401"/>
    </row>
    <row r="8248" spans="7:7" hidden="1" x14ac:dyDescent="0.2">
      <c r="G8248" s="401"/>
    </row>
    <row r="8249" spans="7:7" hidden="1" x14ac:dyDescent="0.2">
      <c r="G8249" s="401"/>
    </row>
    <row r="8250" spans="7:7" hidden="1" x14ac:dyDescent="0.2">
      <c r="G8250" s="401"/>
    </row>
    <row r="8251" spans="7:7" hidden="1" x14ac:dyDescent="0.2">
      <c r="G8251" s="401"/>
    </row>
    <row r="8252" spans="7:7" hidden="1" x14ac:dyDescent="0.2">
      <c r="G8252" s="401"/>
    </row>
    <row r="8253" spans="7:7" hidden="1" x14ac:dyDescent="0.2">
      <c r="G8253" s="401"/>
    </row>
    <row r="8254" spans="7:7" hidden="1" x14ac:dyDescent="0.2">
      <c r="G8254" s="401"/>
    </row>
    <row r="8255" spans="7:7" hidden="1" x14ac:dyDescent="0.2">
      <c r="G8255" s="401"/>
    </row>
    <row r="8256" spans="7:7" hidden="1" x14ac:dyDescent="0.2">
      <c r="G8256" s="401"/>
    </row>
    <row r="8257" spans="7:7" hidden="1" x14ac:dyDescent="0.2">
      <c r="G8257" s="401"/>
    </row>
    <row r="8258" spans="7:7" hidden="1" x14ac:dyDescent="0.2">
      <c r="G8258" s="401"/>
    </row>
    <row r="8259" spans="7:7" hidden="1" x14ac:dyDescent="0.2">
      <c r="G8259" s="401"/>
    </row>
    <row r="8260" spans="7:7" hidden="1" x14ac:dyDescent="0.2">
      <c r="G8260" s="401"/>
    </row>
    <row r="8261" spans="7:7" hidden="1" x14ac:dyDescent="0.2">
      <c r="G8261" s="401"/>
    </row>
    <row r="8262" spans="7:7" hidden="1" x14ac:dyDescent="0.2">
      <c r="G8262" s="401"/>
    </row>
    <row r="8263" spans="7:7" hidden="1" x14ac:dyDescent="0.2">
      <c r="G8263" s="401"/>
    </row>
    <row r="8264" spans="7:7" hidden="1" x14ac:dyDescent="0.2">
      <c r="G8264" s="401"/>
    </row>
    <row r="8265" spans="7:7" hidden="1" x14ac:dyDescent="0.2">
      <c r="G8265" s="401"/>
    </row>
    <row r="8266" spans="7:7" hidden="1" x14ac:dyDescent="0.2">
      <c r="G8266" s="401"/>
    </row>
    <row r="8267" spans="7:7" hidden="1" x14ac:dyDescent="0.2">
      <c r="G8267" s="401"/>
    </row>
    <row r="8268" spans="7:7" hidden="1" x14ac:dyDescent="0.2">
      <c r="G8268" s="401"/>
    </row>
    <row r="8269" spans="7:7" hidden="1" x14ac:dyDescent="0.2">
      <c r="G8269" s="401"/>
    </row>
    <row r="8270" spans="7:7" hidden="1" x14ac:dyDescent="0.2">
      <c r="G8270" s="401"/>
    </row>
    <row r="8271" spans="7:7" hidden="1" x14ac:dyDescent="0.2">
      <c r="G8271" s="401"/>
    </row>
    <row r="8272" spans="7:7" hidden="1" x14ac:dyDescent="0.2">
      <c r="G8272" s="401"/>
    </row>
    <row r="8273" spans="7:7" hidden="1" x14ac:dyDescent="0.2">
      <c r="G8273" s="401"/>
    </row>
    <row r="8274" spans="7:7" hidden="1" x14ac:dyDescent="0.2">
      <c r="G8274" s="401"/>
    </row>
    <row r="8275" spans="7:7" hidden="1" x14ac:dyDescent="0.2">
      <c r="G8275" s="401"/>
    </row>
    <row r="8276" spans="7:7" hidden="1" x14ac:dyDescent="0.2">
      <c r="G8276" s="401"/>
    </row>
    <row r="8277" spans="7:7" hidden="1" x14ac:dyDescent="0.2">
      <c r="G8277" s="401"/>
    </row>
    <row r="8278" spans="7:7" hidden="1" x14ac:dyDescent="0.2">
      <c r="G8278" s="401"/>
    </row>
    <row r="8279" spans="7:7" hidden="1" x14ac:dyDescent="0.2">
      <c r="G8279" s="401"/>
    </row>
    <row r="8280" spans="7:7" hidden="1" x14ac:dyDescent="0.2">
      <c r="G8280" s="401"/>
    </row>
    <row r="8281" spans="7:7" hidden="1" x14ac:dyDescent="0.2">
      <c r="G8281" s="401"/>
    </row>
    <row r="8282" spans="7:7" hidden="1" x14ac:dyDescent="0.2">
      <c r="G8282" s="401"/>
    </row>
    <row r="8283" spans="7:7" hidden="1" x14ac:dyDescent="0.2">
      <c r="G8283" s="401"/>
    </row>
    <row r="8284" spans="7:7" hidden="1" x14ac:dyDescent="0.2">
      <c r="G8284" s="401"/>
    </row>
    <row r="8285" spans="7:7" hidden="1" x14ac:dyDescent="0.2">
      <c r="G8285" s="401"/>
    </row>
    <row r="8286" spans="7:7" hidden="1" x14ac:dyDescent="0.2">
      <c r="G8286" s="401"/>
    </row>
    <row r="8287" spans="7:7" hidden="1" x14ac:dyDescent="0.2">
      <c r="G8287" s="401"/>
    </row>
    <row r="8288" spans="7:7" hidden="1" x14ac:dyDescent="0.2">
      <c r="G8288" s="401"/>
    </row>
    <row r="8289" spans="7:7" hidden="1" x14ac:dyDescent="0.2">
      <c r="G8289" s="401"/>
    </row>
    <row r="8290" spans="7:7" hidden="1" x14ac:dyDescent="0.2">
      <c r="G8290" s="401"/>
    </row>
    <row r="8291" spans="7:7" hidden="1" x14ac:dyDescent="0.2">
      <c r="G8291" s="401"/>
    </row>
    <row r="8292" spans="7:7" hidden="1" x14ac:dyDescent="0.2">
      <c r="G8292" s="401"/>
    </row>
    <row r="8293" spans="7:7" hidden="1" x14ac:dyDescent="0.2">
      <c r="G8293" s="401"/>
    </row>
    <row r="8294" spans="7:7" hidden="1" x14ac:dyDescent="0.2">
      <c r="G8294" s="401"/>
    </row>
    <row r="8295" spans="7:7" hidden="1" x14ac:dyDescent="0.2">
      <c r="G8295" s="401"/>
    </row>
    <row r="8296" spans="7:7" hidden="1" x14ac:dyDescent="0.2">
      <c r="G8296" s="401"/>
    </row>
    <row r="8297" spans="7:7" hidden="1" x14ac:dyDescent="0.2">
      <c r="G8297" s="401"/>
    </row>
    <row r="8298" spans="7:7" hidden="1" x14ac:dyDescent="0.2">
      <c r="G8298" s="401"/>
    </row>
    <row r="8299" spans="7:7" hidden="1" x14ac:dyDescent="0.2">
      <c r="G8299" s="401"/>
    </row>
    <row r="8300" spans="7:7" hidden="1" x14ac:dyDescent="0.2">
      <c r="G8300" s="401"/>
    </row>
    <row r="8301" spans="7:7" hidden="1" x14ac:dyDescent="0.2">
      <c r="G8301" s="401"/>
    </row>
    <row r="8302" spans="7:7" hidden="1" x14ac:dyDescent="0.2">
      <c r="G8302" s="401"/>
    </row>
    <row r="8303" spans="7:7" hidden="1" x14ac:dyDescent="0.2">
      <c r="G8303" s="401"/>
    </row>
    <row r="8304" spans="7:7" hidden="1" x14ac:dyDescent="0.2">
      <c r="G8304" s="401"/>
    </row>
    <row r="8305" spans="7:7" hidden="1" x14ac:dyDescent="0.2">
      <c r="G8305" s="401"/>
    </row>
    <row r="8306" spans="7:7" hidden="1" x14ac:dyDescent="0.2">
      <c r="G8306" s="401"/>
    </row>
    <row r="8307" spans="7:7" hidden="1" x14ac:dyDescent="0.2">
      <c r="G8307" s="401"/>
    </row>
    <row r="8308" spans="7:7" hidden="1" x14ac:dyDescent="0.2">
      <c r="G8308" s="401"/>
    </row>
    <row r="8309" spans="7:7" hidden="1" x14ac:dyDescent="0.2">
      <c r="G8309" s="401"/>
    </row>
    <row r="8310" spans="7:7" hidden="1" x14ac:dyDescent="0.2">
      <c r="G8310" s="401"/>
    </row>
    <row r="8311" spans="7:7" hidden="1" x14ac:dyDescent="0.2">
      <c r="G8311" s="401"/>
    </row>
    <row r="8312" spans="7:7" hidden="1" x14ac:dyDescent="0.2">
      <c r="G8312" s="401"/>
    </row>
    <row r="8313" spans="7:7" hidden="1" x14ac:dyDescent="0.2">
      <c r="G8313" s="401"/>
    </row>
    <row r="8314" spans="7:7" hidden="1" x14ac:dyDescent="0.2">
      <c r="G8314" s="401"/>
    </row>
    <row r="8315" spans="7:7" hidden="1" x14ac:dyDescent="0.2">
      <c r="G8315" s="401"/>
    </row>
    <row r="8316" spans="7:7" hidden="1" x14ac:dyDescent="0.2">
      <c r="G8316" s="401"/>
    </row>
    <row r="8317" spans="7:7" hidden="1" x14ac:dyDescent="0.2">
      <c r="G8317" s="401"/>
    </row>
    <row r="8318" spans="7:7" hidden="1" x14ac:dyDescent="0.2">
      <c r="G8318" s="401"/>
    </row>
    <row r="8319" spans="7:7" hidden="1" x14ac:dyDescent="0.2">
      <c r="G8319" s="401"/>
    </row>
    <row r="8320" spans="7:7" hidden="1" x14ac:dyDescent="0.2">
      <c r="G8320" s="401"/>
    </row>
    <row r="8321" spans="7:7" hidden="1" x14ac:dyDescent="0.2">
      <c r="G8321" s="401"/>
    </row>
    <row r="8322" spans="7:7" hidden="1" x14ac:dyDescent="0.2">
      <c r="G8322" s="401"/>
    </row>
    <row r="8323" spans="7:7" hidden="1" x14ac:dyDescent="0.2">
      <c r="G8323" s="401"/>
    </row>
    <row r="8324" spans="7:7" hidden="1" x14ac:dyDescent="0.2">
      <c r="G8324" s="401"/>
    </row>
    <row r="8325" spans="7:7" hidden="1" x14ac:dyDescent="0.2">
      <c r="G8325" s="401"/>
    </row>
    <row r="8326" spans="7:7" hidden="1" x14ac:dyDescent="0.2">
      <c r="G8326" s="401"/>
    </row>
    <row r="8327" spans="7:7" hidden="1" x14ac:dyDescent="0.2">
      <c r="G8327" s="401"/>
    </row>
    <row r="8328" spans="7:7" hidden="1" x14ac:dyDescent="0.2">
      <c r="G8328" s="401"/>
    </row>
    <row r="8329" spans="7:7" hidden="1" x14ac:dyDescent="0.2">
      <c r="G8329" s="401"/>
    </row>
    <row r="8330" spans="7:7" hidden="1" x14ac:dyDescent="0.2">
      <c r="G8330" s="401"/>
    </row>
    <row r="8331" spans="7:7" hidden="1" x14ac:dyDescent="0.2">
      <c r="G8331" s="401"/>
    </row>
    <row r="8332" spans="7:7" hidden="1" x14ac:dyDescent="0.2">
      <c r="G8332" s="401"/>
    </row>
    <row r="8333" spans="7:7" hidden="1" x14ac:dyDescent="0.2">
      <c r="G8333" s="401"/>
    </row>
    <row r="8334" spans="7:7" hidden="1" x14ac:dyDescent="0.2">
      <c r="G8334" s="401"/>
    </row>
    <row r="8335" spans="7:7" hidden="1" x14ac:dyDescent="0.2">
      <c r="G8335" s="401"/>
    </row>
    <row r="8336" spans="7:7" hidden="1" x14ac:dyDescent="0.2">
      <c r="G8336" s="401"/>
    </row>
    <row r="8337" spans="7:7" hidden="1" x14ac:dyDescent="0.2">
      <c r="G8337" s="401"/>
    </row>
    <row r="8338" spans="7:7" hidden="1" x14ac:dyDescent="0.2">
      <c r="G8338" s="401"/>
    </row>
    <row r="8339" spans="7:7" hidden="1" x14ac:dyDescent="0.2">
      <c r="G8339" s="401"/>
    </row>
    <row r="8340" spans="7:7" hidden="1" x14ac:dyDescent="0.2">
      <c r="G8340" s="401"/>
    </row>
    <row r="8341" spans="7:7" hidden="1" x14ac:dyDescent="0.2">
      <c r="G8341" s="401"/>
    </row>
    <row r="8342" spans="7:7" hidden="1" x14ac:dyDescent="0.2">
      <c r="G8342" s="401"/>
    </row>
    <row r="8343" spans="7:7" hidden="1" x14ac:dyDescent="0.2">
      <c r="G8343" s="401"/>
    </row>
    <row r="8344" spans="7:7" hidden="1" x14ac:dyDescent="0.2">
      <c r="G8344" s="401"/>
    </row>
    <row r="8345" spans="7:7" hidden="1" x14ac:dyDescent="0.2">
      <c r="G8345" s="401"/>
    </row>
    <row r="8346" spans="7:7" hidden="1" x14ac:dyDescent="0.2">
      <c r="G8346" s="401"/>
    </row>
    <row r="8347" spans="7:7" hidden="1" x14ac:dyDescent="0.2">
      <c r="G8347" s="401"/>
    </row>
    <row r="8348" spans="7:7" hidden="1" x14ac:dyDescent="0.2">
      <c r="G8348" s="401"/>
    </row>
    <row r="8349" spans="7:7" hidden="1" x14ac:dyDescent="0.2">
      <c r="G8349" s="401"/>
    </row>
    <row r="8350" spans="7:7" hidden="1" x14ac:dyDescent="0.2">
      <c r="G8350" s="401"/>
    </row>
    <row r="8351" spans="7:7" hidden="1" x14ac:dyDescent="0.2">
      <c r="G8351" s="401"/>
    </row>
    <row r="8352" spans="7:7" hidden="1" x14ac:dyDescent="0.2">
      <c r="G8352" s="401"/>
    </row>
    <row r="8353" spans="7:7" hidden="1" x14ac:dyDescent="0.2">
      <c r="G8353" s="401"/>
    </row>
    <row r="8354" spans="7:7" hidden="1" x14ac:dyDescent="0.2">
      <c r="G8354" s="401"/>
    </row>
    <row r="8355" spans="7:7" hidden="1" x14ac:dyDescent="0.2">
      <c r="G8355" s="401"/>
    </row>
    <row r="8356" spans="7:7" hidden="1" x14ac:dyDescent="0.2">
      <c r="G8356" s="401"/>
    </row>
    <row r="8357" spans="7:7" hidden="1" x14ac:dyDescent="0.2">
      <c r="G8357" s="401"/>
    </row>
    <row r="8358" spans="7:7" hidden="1" x14ac:dyDescent="0.2">
      <c r="G8358" s="401"/>
    </row>
    <row r="8359" spans="7:7" hidden="1" x14ac:dyDescent="0.2">
      <c r="G8359" s="401"/>
    </row>
    <row r="8360" spans="7:7" hidden="1" x14ac:dyDescent="0.2">
      <c r="G8360" s="401"/>
    </row>
    <row r="8361" spans="7:7" hidden="1" x14ac:dyDescent="0.2">
      <c r="G8361" s="401"/>
    </row>
    <row r="8362" spans="7:7" hidden="1" x14ac:dyDescent="0.2">
      <c r="G8362" s="401"/>
    </row>
    <row r="8363" spans="7:7" hidden="1" x14ac:dyDescent="0.2">
      <c r="G8363" s="401"/>
    </row>
    <row r="8364" spans="7:7" hidden="1" x14ac:dyDescent="0.2">
      <c r="G8364" s="401"/>
    </row>
    <row r="8365" spans="7:7" hidden="1" x14ac:dyDescent="0.2">
      <c r="G8365" s="401"/>
    </row>
    <row r="8366" spans="7:7" hidden="1" x14ac:dyDescent="0.2">
      <c r="G8366" s="401"/>
    </row>
    <row r="8367" spans="7:7" hidden="1" x14ac:dyDescent="0.2">
      <c r="G8367" s="401"/>
    </row>
    <row r="8368" spans="7:7" hidden="1" x14ac:dyDescent="0.2">
      <c r="G8368" s="401"/>
    </row>
    <row r="8369" spans="7:7" hidden="1" x14ac:dyDescent="0.2">
      <c r="G8369" s="401"/>
    </row>
    <row r="8370" spans="7:7" hidden="1" x14ac:dyDescent="0.2">
      <c r="G8370" s="401"/>
    </row>
    <row r="8371" spans="7:7" hidden="1" x14ac:dyDescent="0.2">
      <c r="G8371" s="401"/>
    </row>
    <row r="8372" spans="7:7" hidden="1" x14ac:dyDescent="0.2">
      <c r="G8372" s="401"/>
    </row>
    <row r="8373" spans="7:7" hidden="1" x14ac:dyDescent="0.2">
      <c r="G8373" s="401"/>
    </row>
    <row r="8374" spans="7:7" hidden="1" x14ac:dyDescent="0.2">
      <c r="G8374" s="401"/>
    </row>
    <row r="8375" spans="7:7" hidden="1" x14ac:dyDescent="0.2">
      <c r="G8375" s="401"/>
    </row>
    <row r="8376" spans="7:7" hidden="1" x14ac:dyDescent="0.2">
      <c r="G8376" s="401"/>
    </row>
    <row r="8377" spans="7:7" hidden="1" x14ac:dyDescent="0.2">
      <c r="G8377" s="401"/>
    </row>
    <row r="8378" spans="7:7" hidden="1" x14ac:dyDescent="0.2">
      <c r="G8378" s="401"/>
    </row>
    <row r="8379" spans="7:7" hidden="1" x14ac:dyDescent="0.2">
      <c r="G8379" s="401"/>
    </row>
    <row r="8380" spans="7:7" hidden="1" x14ac:dyDescent="0.2">
      <c r="G8380" s="401"/>
    </row>
    <row r="8381" spans="7:7" hidden="1" x14ac:dyDescent="0.2">
      <c r="G8381" s="401"/>
    </row>
    <row r="8382" spans="7:7" hidden="1" x14ac:dyDescent="0.2">
      <c r="G8382" s="401"/>
    </row>
    <row r="8383" spans="7:7" hidden="1" x14ac:dyDescent="0.2">
      <c r="G8383" s="401"/>
    </row>
    <row r="8384" spans="7:7" hidden="1" x14ac:dyDescent="0.2">
      <c r="G8384" s="401"/>
    </row>
    <row r="8385" spans="7:7" hidden="1" x14ac:dyDescent="0.2">
      <c r="G8385" s="401"/>
    </row>
    <row r="8386" spans="7:7" hidden="1" x14ac:dyDescent="0.2">
      <c r="G8386" s="401"/>
    </row>
    <row r="8387" spans="7:7" hidden="1" x14ac:dyDescent="0.2">
      <c r="G8387" s="401"/>
    </row>
    <row r="8388" spans="7:7" hidden="1" x14ac:dyDescent="0.2">
      <c r="G8388" s="401"/>
    </row>
    <row r="8389" spans="7:7" hidden="1" x14ac:dyDescent="0.2">
      <c r="G8389" s="401"/>
    </row>
    <row r="8390" spans="7:7" hidden="1" x14ac:dyDescent="0.2">
      <c r="G8390" s="401"/>
    </row>
    <row r="8391" spans="7:7" hidden="1" x14ac:dyDescent="0.2">
      <c r="G8391" s="401"/>
    </row>
    <row r="8392" spans="7:7" hidden="1" x14ac:dyDescent="0.2">
      <c r="G8392" s="401"/>
    </row>
    <row r="8393" spans="7:7" hidden="1" x14ac:dyDescent="0.2">
      <c r="G8393" s="401"/>
    </row>
    <row r="8394" spans="7:7" hidden="1" x14ac:dyDescent="0.2">
      <c r="G8394" s="401"/>
    </row>
    <row r="8395" spans="7:7" hidden="1" x14ac:dyDescent="0.2">
      <c r="G8395" s="401"/>
    </row>
    <row r="8396" spans="7:7" hidden="1" x14ac:dyDescent="0.2">
      <c r="G8396" s="401"/>
    </row>
    <row r="8397" spans="7:7" hidden="1" x14ac:dyDescent="0.2">
      <c r="G8397" s="401"/>
    </row>
    <row r="8398" spans="7:7" hidden="1" x14ac:dyDescent="0.2">
      <c r="G8398" s="401"/>
    </row>
    <row r="8399" spans="7:7" hidden="1" x14ac:dyDescent="0.2">
      <c r="G8399" s="401"/>
    </row>
    <row r="8400" spans="7:7" hidden="1" x14ac:dyDescent="0.2">
      <c r="G8400" s="401"/>
    </row>
    <row r="8401" spans="7:7" hidden="1" x14ac:dyDescent="0.2">
      <c r="G8401" s="401"/>
    </row>
    <row r="8402" spans="7:7" hidden="1" x14ac:dyDescent="0.2">
      <c r="G8402" s="401"/>
    </row>
    <row r="8403" spans="7:7" hidden="1" x14ac:dyDescent="0.2">
      <c r="G8403" s="401"/>
    </row>
    <row r="8404" spans="7:7" hidden="1" x14ac:dyDescent="0.2">
      <c r="G8404" s="401"/>
    </row>
    <row r="8405" spans="7:7" hidden="1" x14ac:dyDescent="0.2">
      <c r="G8405" s="401"/>
    </row>
    <row r="8406" spans="7:7" hidden="1" x14ac:dyDescent="0.2">
      <c r="G8406" s="401"/>
    </row>
    <row r="8407" spans="7:7" hidden="1" x14ac:dyDescent="0.2">
      <c r="G8407" s="401"/>
    </row>
    <row r="8408" spans="7:7" hidden="1" x14ac:dyDescent="0.2">
      <c r="G8408" s="401"/>
    </row>
    <row r="8409" spans="7:7" hidden="1" x14ac:dyDescent="0.2">
      <c r="G8409" s="401"/>
    </row>
    <row r="8410" spans="7:7" hidden="1" x14ac:dyDescent="0.2">
      <c r="G8410" s="401"/>
    </row>
    <row r="8411" spans="7:7" hidden="1" x14ac:dyDescent="0.2">
      <c r="G8411" s="401"/>
    </row>
    <row r="8412" spans="7:7" hidden="1" x14ac:dyDescent="0.2">
      <c r="G8412" s="401"/>
    </row>
    <row r="8413" spans="7:7" hidden="1" x14ac:dyDescent="0.2">
      <c r="G8413" s="401"/>
    </row>
    <row r="8414" spans="7:7" hidden="1" x14ac:dyDescent="0.2">
      <c r="G8414" s="401"/>
    </row>
    <row r="8415" spans="7:7" hidden="1" x14ac:dyDescent="0.2">
      <c r="G8415" s="401"/>
    </row>
    <row r="8416" spans="7:7" hidden="1" x14ac:dyDescent="0.2">
      <c r="G8416" s="401"/>
    </row>
    <row r="8417" spans="7:7" hidden="1" x14ac:dyDescent="0.2">
      <c r="G8417" s="401"/>
    </row>
    <row r="8418" spans="7:7" hidden="1" x14ac:dyDescent="0.2">
      <c r="G8418" s="401"/>
    </row>
    <row r="8419" spans="7:7" hidden="1" x14ac:dyDescent="0.2">
      <c r="G8419" s="401"/>
    </row>
    <row r="8420" spans="7:7" hidden="1" x14ac:dyDescent="0.2">
      <c r="G8420" s="401"/>
    </row>
    <row r="8421" spans="7:7" hidden="1" x14ac:dyDescent="0.2">
      <c r="G8421" s="401"/>
    </row>
    <row r="8422" spans="7:7" hidden="1" x14ac:dyDescent="0.2">
      <c r="G8422" s="401"/>
    </row>
    <row r="8423" spans="7:7" hidden="1" x14ac:dyDescent="0.2">
      <c r="G8423" s="401"/>
    </row>
    <row r="8424" spans="7:7" hidden="1" x14ac:dyDescent="0.2">
      <c r="G8424" s="401"/>
    </row>
    <row r="8425" spans="7:7" hidden="1" x14ac:dyDescent="0.2">
      <c r="G8425" s="401"/>
    </row>
    <row r="8426" spans="7:7" hidden="1" x14ac:dyDescent="0.2">
      <c r="G8426" s="401"/>
    </row>
    <row r="8427" spans="7:7" hidden="1" x14ac:dyDescent="0.2">
      <c r="G8427" s="401"/>
    </row>
    <row r="8428" spans="7:7" hidden="1" x14ac:dyDescent="0.2">
      <c r="G8428" s="401"/>
    </row>
    <row r="8429" spans="7:7" hidden="1" x14ac:dyDescent="0.2">
      <c r="G8429" s="401"/>
    </row>
    <row r="8430" spans="7:7" hidden="1" x14ac:dyDescent="0.2">
      <c r="G8430" s="401"/>
    </row>
    <row r="8431" spans="7:7" hidden="1" x14ac:dyDescent="0.2">
      <c r="G8431" s="401"/>
    </row>
    <row r="8432" spans="7:7" hidden="1" x14ac:dyDescent="0.2">
      <c r="G8432" s="401"/>
    </row>
    <row r="8433" spans="7:7" hidden="1" x14ac:dyDescent="0.2">
      <c r="G8433" s="401"/>
    </row>
    <row r="8434" spans="7:7" hidden="1" x14ac:dyDescent="0.2">
      <c r="G8434" s="401"/>
    </row>
    <row r="8435" spans="7:7" hidden="1" x14ac:dyDescent="0.2">
      <c r="G8435" s="401"/>
    </row>
    <row r="8436" spans="7:7" hidden="1" x14ac:dyDescent="0.2">
      <c r="G8436" s="401"/>
    </row>
    <row r="8437" spans="7:7" hidden="1" x14ac:dyDescent="0.2">
      <c r="G8437" s="401"/>
    </row>
    <row r="8438" spans="7:7" hidden="1" x14ac:dyDescent="0.2">
      <c r="G8438" s="401"/>
    </row>
    <row r="8439" spans="7:7" hidden="1" x14ac:dyDescent="0.2">
      <c r="G8439" s="401"/>
    </row>
    <row r="8440" spans="7:7" hidden="1" x14ac:dyDescent="0.2">
      <c r="G8440" s="401"/>
    </row>
    <row r="8441" spans="7:7" hidden="1" x14ac:dyDescent="0.2">
      <c r="G8441" s="401"/>
    </row>
    <row r="8442" spans="7:7" hidden="1" x14ac:dyDescent="0.2">
      <c r="G8442" s="401"/>
    </row>
    <row r="8443" spans="7:7" hidden="1" x14ac:dyDescent="0.2">
      <c r="G8443" s="401"/>
    </row>
    <row r="8444" spans="7:7" hidden="1" x14ac:dyDescent="0.2">
      <c r="G8444" s="401"/>
    </row>
    <row r="8445" spans="7:7" hidden="1" x14ac:dyDescent="0.2">
      <c r="G8445" s="401"/>
    </row>
    <row r="8446" spans="7:7" hidden="1" x14ac:dyDescent="0.2">
      <c r="G8446" s="401"/>
    </row>
    <row r="8447" spans="7:7" hidden="1" x14ac:dyDescent="0.2">
      <c r="G8447" s="401"/>
    </row>
    <row r="8448" spans="7:7" hidden="1" x14ac:dyDescent="0.2">
      <c r="G8448" s="401"/>
    </row>
    <row r="8449" spans="7:7" hidden="1" x14ac:dyDescent="0.2">
      <c r="G8449" s="401"/>
    </row>
    <row r="8450" spans="7:7" hidden="1" x14ac:dyDescent="0.2">
      <c r="G8450" s="401"/>
    </row>
    <row r="8451" spans="7:7" hidden="1" x14ac:dyDescent="0.2">
      <c r="G8451" s="401"/>
    </row>
    <row r="8452" spans="7:7" hidden="1" x14ac:dyDescent="0.2">
      <c r="G8452" s="401"/>
    </row>
    <row r="8453" spans="7:7" hidden="1" x14ac:dyDescent="0.2">
      <c r="G8453" s="401"/>
    </row>
    <row r="8454" spans="7:7" hidden="1" x14ac:dyDescent="0.2">
      <c r="G8454" s="401"/>
    </row>
    <row r="8455" spans="7:7" hidden="1" x14ac:dyDescent="0.2">
      <c r="G8455" s="401"/>
    </row>
    <row r="8456" spans="7:7" hidden="1" x14ac:dyDescent="0.2">
      <c r="G8456" s="401"/>
    </row>
    <row r="8457" spans="7:7" hidden="1" x14ac:dyDescent="0.2">
      <c r="G8457" s="401"/>
    </row>
    <row r="8458" spans="7:7" hidden="1" x14ac:dyDescent="0.2">
      <c r="G8458" s="401"/>
    </row>
    <row r="8459" spans="7:7" hidden="1" x14ac:dyDescent="0.2">
      <c r="G8459" s="401"/>
    </row>
    <row r="8460" spans="7:7" hidden="1" x14ac:dyDescent="0.2">
      <c r="G8460" s="401"/>
    </row>
    <row r="8461" spans="7:7" hidden="1" x14ac:dyDescent="0.2">
      <c r="G8461" s="401"/>
    </row>
    <row r="8462" spans="7:7" hidden="1" x14ac:dyDescent="0.2">
      <c r="G8462" s="401"/>
    </row>
    <row r="8463" spans="7:7" hidden="1" x14ac:dyDescent="0.2">
      <c r="G8463" s="401"/>
    </row>
    <row r="8464" spans="7:7" hidden="1" x14ac:dyDescent="0.2">
      <c r="G8464" s="401"/>
    </row>
    <row r="8465" spans="7:7" hidden="1" x14ac:dyDescent="0.2">
      <c r="G8465" s="401"/>
    </row>
    <row r="8466" spans="7:7" hidden="1" x14ac:dyDescent="0.2">
      <c r="G8466" s="401"/>
    </row>
    <row r="8467" spans="7:7" hidden="1" x14ac:dyDescent="0.2">
      <c r="G8467" s="401"/>
    </row>
    <row r="8468" spans="7:7" hidden="1" x14ac:dyDescent="0.2">
      <c r="G8468" s="401"/>
    </row>
    <row r="8469" spans="7:7" hidden="1" x14ac:dyDescent="0.2">
      <c r="G8469" s="401"/>
    </row>
    <row r="8470" spans="7:7" hidden="1" x14ac:dyDescent="0.2">
      <c r="G8470" s="401"/>
    </row>
    <row r="8471" spans="7:7" hidden="1" x14ac:dyDescent="0.2">
      <c r="G8471" s="401"/>
    </row>
    <row r="8472" spans="7:7" hidden="1" x14ac:dyDescent="0.2">
      <c r="G8472" s="401"/>
    </row>
    <row r="8473" spans="7:7" hidden="1" x14ac:dyDescent="0.2">
      <c r="G8473" s="401"/>
    </row>
    <row r="8474" spans="7:7" hidden="1" x14ac:dyDescent="0.2">
      <c r="G8474" s="401"/>
    </row>
    <row r="8475" spans="7:7" hidden="1" x14ac:dyDescent="0.2">
      <c r="G8475" s="401"/>
    </row>
    <row r="8476" spans="7:7" hidden="1" x14ac:dyDescent="0.2">
      <c r="G8476" s="401"/>
    </row>
    <row r="8477" spans="7:7" hidden="1" x14ac:dyDescent="0.2">
      <c r="G8477" s="401"/>
    </row>
    <row r="8478" spans="7:7" hidden="1" x14ac:dyDescent="0.2">
      <c r="G8478" s="401"/>
    </row>
    <row r="8479" spans="7:7" hidden="1" x14ac:dyDescent="0.2">
      <c r="G8479" s="401"/>
    </row>
    <row r="8480" spans="7:7" hidden="1" x14ac:dyDescent="0.2">
      <c r="G8480" s="401"/>
    </row>
    <row r="8481" spans="7:7" hidden="1" x14ac:dyDescent="0.2">
      <c r="G8481" s="401"/>
    </row>
    <row r="8482" spans="7:7" hidden="1" x14ac:dyDescent="0.2">
      <c r="G8482" s="401"/>
    </row>
    <row r="8483" spans="7:7" hidden="1" x14ac:dyDescent="0.2">
      <c r="G8483" s="401"/>
    </row>
    <row r="8484" spans="7:7" hidden="1" x14ac:dyDescent="0.2">
      <c r="G8484" s="401"/>
    </row>
    <row r="8485" spans="7:7" hidden="1" x14ac:dyDescent="0.2">
      <c r="G8485" s="401"/>
    </row>
    <row r="8486" spans="7:7" hidden="1" x14ac:dyDescent="0.2">
      <c r="G8486" s="401"/>
    </row>
    <row r="8487" spans="7:7" hidden="1" x14ac:dyDescent="0.2">
      <c r="G8487" s="401"/>
    </row>
    <row r="8488" spans="7:7" hidden="1" x14ac:dyDescent="0.2">
      <c r="G8488" s="401"/>
    </row>
    <row r="8489" spans="7:7" hidden="1" x14ac:dyDescent="0.2">
      <c r="G8489" s="401"/>
    </row>
    <row r="8490" spans="7:7" hidden="1" x14ac:dyDescent="0.2">
      <c r="G8490" s="401"/>
    </row>
    <row r="8491" spans="7:7" hidden="1" x14ac:dyDescent="0.2">
      <c r="G8491" s="401"/>
    </row>
    <row r="8492" spans="7:7" hidden="1" x14ac:dyDescent="0.2">
      <c r="G8492" s="401"/>
    </row>
    <row r="8493" spans="7:7" hidden="1" x14ac:dyDescent="0.2">
      <c r="G8493" s="401"/>
    </row>
    <row r="8494" spans="7:7" hidden="1" x14ac:dyDescent="0.2">
      <c r="G8494" s="401"/>
    </row>
    <row r="8495" spans="7:7" hidden="1" x14ac:dyDescent="0.2">
      <c r="G8495" s="401"/>
    </row>
    <row r="8496" spans="7:7" hidden="1" x14ac:dyDescent="0.2">
      <c r="G8496" s="401"/>
    </row>
    <row r="8497" spans="7:7" hidden="1" x14ac:dyDescent="0.2">
      <c r="G8497" s="401"/>
    </row>
    <row r="8498" spans="7:7" hidden="1" x14ac:dyDescent="0.2">
      <c r="G8498" s="401"/>
    </row>
    <row r="8499" spans="7:7" hidden="1" x14ac:dyDescent="0.2">
      <c r="G8499" s="401"/>
    </row>
    <row r="8500" spans="7:7" hidden="1" x14ac:dyDescent="0.2">
      <c r="G8500" s="401"/>
    </row>
    <row r="8501" spans="7:7" hidden="1" x14ac:dyDescent="0.2">
      <c r="G8501" s="401"/>
    </row>
    <row r="8502" spans="7:7" hidden="1" x14ac:dyDescent="0.2">
      <c r="G8502" s="401"/>
    </row>
    <row r="8503" spans="7:7" hidden="1" x14ac:dyDescent="0.2">
      <c r="G8503" s="401"/>
    </row>
    <row r="8504" spans="7:7" hidden="1" x14ac:dyDescent="0.2">
      <c r="G8504" s="401"/>
    </row>
    <row r="8505" spans="7:7" hidden="1" x14ac:dyDescent="0.2">
      <c r="G8505" s="401"/>
    </row>
    <row r="8506" spans="7:7" hidden="1" x14ac:dyDescent="0.2">
      <c r="G8506" s="401"/>
    </row>
    <row r="8507" spans="7:7" hidden="1" x14ac:dyDescent="0.2">
      <c r="G8507" s="401"/>
    </row>
    <row r="8508" spans="7:7" hidden="1" x14ac:dyDescent="0.2">
      <c r="G8508" s="401"/>
    </row>
    <row r="8509" spans="7:7" hidden="1" x14ac:dyDescent="0.2">
      <c r="G8509" s="401"/>
    </row>
    <row r="8510" spans="7:7" hidden="1" x14ac:dyDescent="0.2">
      <c r="G8510" s="401"/>
    </row>
    <row r="8511" spans="7:7" hidden="1" x14ac:dyDescent="0.2">
      <c r="G8511" s="401"/>
    </row>
    <row r="8512" spans="7:7" hidden="1" x14ac:dyDescent="0.2">
      <c r="G8512" s="401"/>
    </row>
    <row r="8513" spans="7:7" hidden="1" x14ac:dyDescent="0.2">
      <c r="G8513" s="401"/>
    </row>
    <row r="8514" spans="7:7" hidden="1" x14ac:dyDescent="0.2">
      <c r="G8514" s="401"/>
    </row>
    <row r="8515" spans="7:7" hidden="1" x14ac:dyDescent="0.2">
      <c r="G8515" s="401"/>
    </row>
    <row r="8516" spans="7:7" hidden="1" x14ac:dyDescent="0.2">
      <c r="G8516" s="401"/>
    </row>
    <row r="8517" spans="7:7" hidden="1" x14ac:dyDescent="0.2">
      <c r="G8517" s="401"/>
    </row>
    <row r="8518" spans="7:7" hidden="1" x14ac:dyDescent="0.2">
      <c r="G8518" s="401"/>
    </row>
    <row r="8519" spans="7:7" hidden="1" x14ac:dyDescent="0.2">
      <c r="G8519" s="401"/>
    </row>
    <row r="8520" spans="7:7" hidden="1" x14ac:dyDescent="0.2">
      <c r="G8520" s="401"/>
    </row>
    <row r="8521" spans="7:7" hidden="1" x14ac:dyDescent="0.2">
      <c r="G8521" s="401"/>
    </row>
    <row r="8522" spans="7:7" hidden="1" x14ac:dyDescent="0.2">
      <c r="G8522" s="401"/>
    </row>
    <row r="8523" spans="7:7" hidden="1" x14ac:dyDescent="0.2">
      <c r="G8523" s="401"/>
    </row>
    <row r="8524" spans="7:7" hidden="1" x14ac:dyDescent="0.2">
      <c r="G8524" s="401"/>
    </row>
    <row r="8525" spans="7:7" hidden="1" x14ac:dyDescent="0.2">
      <c r="G8525" s="401"/>
    </row>
    <row r="8526" spans="7:7" hidden="1" x14ac:dyDescent="0.2">
      <c r="G8526" s="401"/>
    </row>
    <row r="8527" spans="7:7" hidden="1" x14ac:dyDescent="0.2">
      <c r="G8527" s="401"/>
    </row>
    <row r="8528" spans="7:7" hidden="1" x14ac:dyDescent="0.2">
      <c r="G8528" s="401"/>
    </row>
    <row r="8529" spans="7:7" hidden="1" x14ac:dyDescent="0.2">
      <c r="G8529" s="401"/>
    </row>
    <row r="8530" spans="7:7" hidden="1" x14ac:dyDescent="0.2">
      <c r="G8530" s="401"/>
    </row>
    <row r="8531" spans="7:7" hidden="1" x14ac:dyDescent="0.2">
      <c r="G8531" s="401"/>
    </row>
    <row r="8532" spans="7:7" hidden="1" x14ac:dyDescent="0.2">
      <c r="G8532" s="401"/>
    </row>
    <row r="8533" spans="7:7" hidden="1" x14ac:dyDescent="0.2">
      <c r="G8533" s="401"/>
    </row>
    <row r="8534" spans="7:7" hidden="1" x14ac:dyDescent="0.2">
      <c r="G8534" s="401"/>
    </row>
    <row r="8535" spans="7:7" hidden="1" x14ac:dyDescent="0.2">
      <c r="G8535" s="401"/>
    </row>
    <row r="8536" spans="7:7" hidden="1" x14ac:dyDescent="0.2">
      <c r="G8536" s="401"/>
    </row>
    <row r="8537" spans="7:7" hidden="1" x14ac:dyDescent="0.2">
      <c r="G8537" s="401"/>
    </row>
    <row r="8538" spans="7:7" hidden="1" x14ac:dyDescent="0.2">
      <c r="G8538" s="401"/>
    </row>
    <row r="8539" spans="7:7" hidden="1" x14ac:dyDescent="0.2">
      <c r="G8539" s="401"/>
    </row>
    <row r="8540" spans="7:7" hidden="1" x14ac:dyDescent="0.2">
      <c r="G8540" s="401"/>
    </row>
    <row r="8541" spans="7:7" hidden="1" x14ac:dyDescent="0.2">
      <c r="G8541" s="401"/>
    </row>
    <row r="8542" spans="7:7" hidden="1" x14ac:dyDescent="0.2">
      <c r="G8542" s="401"/>
    </row>
    <row r="8543" spans="7:7" hidden="1" x14ac:dyDescent="0.2">
      <c r="G8543" s="401"/>
    </row>
    <row r="8544" spans="7:7" hidden="1" x14ac:dyDescent="0.2">
      <c r="G8544" s="401"/>
    </row>
    <row r="8545" spans="7:7" hidden="1" x14ac:dyDescent="0.2">
      <c r="G8545" s="401"/>
    </row>
    <row r="8546" spans="7:7" hidden="1" x14ac:dyDescent="0.2">
      <c r="G8546" s="401"/>
    </row>
    <row r="8547" spans="7:7" hidden="1" x14ac:dyDescent="0.2">
      <c r="G8547" s="401"/>
    </row>
    <row r="8548" spans="7:7" hidden="1" x14ac:dyDescent="0.2">
      <c r="G8548" s="401"/>
    </row>
    <row r="8549" spans="7:7" hidden="1" x14ac:dyDescent="0.2">
      <c r="G8549" s="401"/>
    </row>
    <row r="8550" spans="7:7" hidden="1" x14ac:dyDescent="0.2">
      <c r="G8550" s="401"/>
    </row>
    <row r="8551" spans="7:7" hidden="1" x14ac:dyDescent="0.2">
      <c r="G8551" s="401"/>
    </row>
    <row r="8552" spans="7:7" hidden="1" x14ac:dyDescent="0.2">
      <c r="G8552" s="401"/>
    </row>
    <row r="8553" spans="7:7" hidden="1" x14ac:dyDescent="0.2">
      <c r="G8553" s="401"/>
    </row>
    <row r="8554" spans="7:7" hidden="1" x14ac:dyDescent="0.2">
      <c r="G8554" s="401"/>
    </row>
    <row r="8555" spans="7:7" hidden="1" x14ac:dyDescent="0.2">
      <c r="G8555" s="401"/>
    </row>
    <row r="8556" spans="7:7" hidden="1" x14ac:dyDescent="0.2">
      <c r="G8556" s="401"/>
    </row>
    <row r="8557" spans="7:7" hidden="1" x14ac:dyDescent="0.2">
      <c r="G8557" s="401"/>
    </row>
    <row r="8558" spans="7:7" hidden="1" x14ac:dyDescent="0.2">
      <c r="G8558" s="401"/>
    </row>
    <row r="8559" spans="7:7" hidden="1" x14ac:dyDescent="0.2">
      <c r="G8559" s="401"/>
    </row>
    <row r="8560" spans="7:7" hidden="1" x14ac:dyDescent="0.2">
      <c r="G8560" s="401"/>
    </row>
    <row r="8561" spans="7:7" hidden="1" x14ac:dyDescent="0.2">
      <c r="G8561" s="401"/>
    </row>
    <row r="8562" spans="7:7" hidden="1" x14ac:dyDescent="0.2">
      <c r="G8562" s="401"/>
    </row>
    <row r="8563" spans="7:7" hidden="1" x14ac:dyDescent="0.2">
      <c r="G8563" s="401"/>
    </row>
    <row r="8564" spans="7:7" hidden="1" x14ac:dyDescent="0.2">
      <c r="G8564" s="401"/>
    </row>
    <row r="8565" spans="7:7" hidden="1" x14ac:dyDescent="0.2">
      <c r="G8565" s="401"/>
    </row>
    <row r="8566" spans="7:7" hidden="1" x14ac:dyDescent="0.2">
      <c r="G8566" s="401"/>
    </row>
    <row r="8567" spans="7:7" hidden="1" x14ac:dyDescent="0.2">
      <c r="G8567" s="401"/>
    </row>
    <row r="8568" spans="7:7" hidden="1" x14ac:dyDescent="0.2">
      <c r="G8568" s="401"/>
    </row>
    <row r="8569" spans="7:7" hidden="1" x14ac:dyDescent="0.2">
      <c r="G8569" s="401"/>
    </row>
    <row r="8570" spans="7:7" hidden="1" x14ac:dyDescent="0.2">
      <c r="G8570" s="401"/>
    </row>
    <row r="8571" spans="7:7" hidden="1" x14ac:dyDescent="0.2">
      <c r="G8571" s="401"/>
    </row>
    <row r="8572" spans="7:7" hidden="1" x14ac:dyDescent="0.2">
      <c r="G8572" s="401"/>
    </row>
    <row r="8573" spans="7:7" hidden="1" x14ac:dyDescent="0.2">
      <c r="G8573" s="401"/>
    </row>
    <row r="8574" spans="7:7" hidden="1" x14ac:dyDescent="0.2">
      <c r="G8574" s="401"/>
    </row>
    <row r="8575" spans="7:7" hidden="1" x14ac:dyDescent="0.2">
      <c r="G8575" s="401"/>
    </row>
    <row r="8576" spans="7:7" hidden="1" x14ac:dyDescent="0.2">
      <c r="G8576" s="401"/>
    </row>
    <row r="8577" spans="7:7" hidden="1" x14ac:dyDescent="0.2">
      <c r="G8577" s="401"/>
    </row>
    <row r="8578" spans="7:7" hidden="1" x14ac:dyDescent="0.2">
      <c r="G8578" s="401"/>
    </row>
    <row r="8579" spans="7:7" hidden="1" x14ac:dyDescent="0.2">
      <c r="G8579" s="401"/>
    </row>
    <row r="8580" spans="7:7" hidden="1" x14ac:dyDescent="0.2">
      <c r="G8580" s="401"/>
    </row>
    <row r="8581" spans="7:7" hidden="1" x14ac:dyDescent="0.2">
      <c r="G8581" s="401"/>
    </row>
    <row r="8582" spans="7:7" hidden="1" x14ac:dyDescent="0.2">
      <c r="G8582" s="401"/>
    </row>
    <row r="8583" spans="7:7" hidden="1" x14ac:dyDescent="0.2">
      <c r="G8583" s="401"/>
    </row>
    <row r="8584" spans="7:7" hidden="1" x14ac:dyDescent="0.2">
      <c r="G8584" s="401"/>
    </row>
    <row r="8585" spans="7:7" hidden="1" x14ac:dyDescent="0.2">
      <c r="G8585" s="401"/>
    </row>
    <row r="8586" spans="7:7" hidden="1" x14ac:dyDescent="0.2">
      <c r="G8586" s="401"/>
    </row>
    <row r="8587" spans="7:7" hidden="1" x14ac:dyDescent="0.2">
      <c r="G8587" s="401"/>
    </row>
    <row r="8588" spans="7:7" hidden="1" x14ac:dyDescent="0.2">
      <c r="G8588" s="401"/>
    </row>
    <row r="8589" spans="7:7" hidden="1" x14ac:dyDescent="0.2">
      <c r="G8589" s="401"/>
    </row>
    <row r="8590" spans="7:7" hidden="1" x14ac:dyDescent="0.2">
      <c r="G8590" s="401"/>
    </row>
    <row r="8591" spans="7:7" hidden="1" x14ac:dyDescent="0.2">
      <c r="G8591" s="401"/>
    </row>
    <row r="8592" spans="7:7" hidden="1" x14ac:dyDescent="0.2">
      <c r="G8592" s="401"/>
    </row>
    <row r="8593" spans="7:7" hidden="1" x14ac:dyDescent="0.2">
      <c r="G8593" s="401"/>
    </row>
    <row r="8594" spans="7:7" hidden="1" x14ac:dyDescent="0.2">
      <c r="G8594" s="401"/>
    </row>
    <row r="8595" spans="7:7" hidden="1" x14ac:dyDescent="0.2">
      <c r="G8595" s="401"/>
    </row>
    <row r="8596" spans="7:7" hidden="1" x14ac:dyDescent="0.2">
      <c r="G8596" s="401"/>
    </row>
    <row r="8597" spans="7:7" hidden="1" x14ac:dyDescent="0.2">
      <c r="G8597" s="401"/>
    </row>
    <row r="8598" spans="7:7" hidden="1" x14ac:dyDescent="0.2">
      <c r="G8598" s="401"/>
    </row>
    <row r="8599" spans="7:7" hidden="1" x14ac:dyDescent="0.2">
      <c r="G8599" s="401"/>
    </row>
    <row r="8600" spans="7:7" hidden="1" x14ac:dyDescent="0.2">
      <c r="G8600" s="401"/>
    </row>
    <row r="8601" spans="7:7" hidden="1" x14ac:dyDescent="0.2">
      <c r="G8601" s="401"/>
    </row>
    <row r="8602" spans="7:7" hidden="1" x14ac:dyDescent="0.2">
      <c r="G8602" s="401"/>
    </row>
    <row r="8603" spans="7:7" hidden="1" x14ac:dyDescent="0.2">
      <c r="G8603" s="401"/>
    </row>
    <row r="8604" spans="7:7" hidden="1" x14ac:dyDescent="0.2">
      <c r="G8604" s="401"/>
    </row>
    <row r="8605" spans="7:7" hidden="1" x14ac:dyDescent="0.2">
      <c r="G8605" s="401"/>
    </row>
    <row r="8606" spans="7:7" hidden="1" x14ac:dyDescent="0.2">
      <c r="G8606" s="401"/>
    </row>
    <row r="8607" spans="7:7" hidden="1" x14ac:dyDescent="0.2">
      <c r="G8607" s="401"/>
    </row>
    <row r="8608" spans="7:7" hidden="1" x14ac:dyDescent="0.2">
      <c r="G8608" s="401"/>
    </row>
    <row r="8609" spans="7:7" hidden="1" x14ac:dyDescent="0.2">
      <c r="G8609" s="401"/>
    </row>
    <row r="8610" spans="7:7" hidden="1" x14ac:dyDescent="0.2">
      <c r="G8610" s="401"/>
    </row>
    <row r="8611" spans="7:7" hidden="1" x14ac:dyDescent="0.2">
      <c r="G8611" s="401"/>
    </row>
    <row r="8612" spans="7:7" hidden="1" x14ac:dyDescent="0.2">
      <c r="G8612" s="401"/>
    </row>
    <row r="8613" spans="7:7" hidden="1" x14ac:dyDescent="0.2">
      <c r="G8613" s="401"/>
    </row>
    <row r="8614" spans="7:7" hidden="1" x14ac:dyDescent="0.2">
      <c r="G8614" s="401"/>
    </row>
    <row r="8615" spans="7:7" hidden="1" x14ac:dyDescent="0.2">
      <c r="G8615" s="401"/>
    </row>
    <row r="8616" spans="7:7" hidden="1" x14ac:dyDescent="0.2">
      <c r="G8616" s="401"/>
    </row>
    <row r="8617" spans="7:7" hidden="1" x14ac:dyDescent="0.2">
      <c r="G8617" s="401"/>
    </row>
    <row r="8618" spans="7:7" hidden="1" x14ac:dyDescent="0.2">
      <c r="G8618" s="401"/>
    </row>
    <row r="8619" spans="7:7" hidden="1" x14ac:dyDescent="0.2">
      <c r="G8619" s="401"/>
    </row>
    <row r="8620" spans="7:7" hidden="1" x14ac:dyDescent="0.2">
      <c r="G8620" s="401"/>
    </row>
    <row r="8621" spans="7:7" hidden="1" x14ac:dyDescent="0.2">
      <c r="G8621" s="401"/>
    </row>
    <row r="8622" spans="7:7" hidden="1" x14ac:dyDescent="0.2">
      <c r="G8622" s="401"/>
    </row>
    <row r="8623" spans="7:7" hidden="1" x14ac:dyDescent="0.2">
      <c r="G8623" s="401"/>
    </row>
    <row r="8624" spans="7:7" hidden="1" x14ac:dyDescent="0.2">
      <c r="G8624" s="401"/>
    </row>
    <row r="8625" spans="7:7" hidden="1" x14ac:dyDescent="0.2">
      <c r="G8625" s="401"/>
    </row>
    <row r="8626" spans="7:7" hidden="1" x14ac:dyDescent="0.2">
      <c r="G8626" s="401"/>
    </row>
    <row r="8627" spans="7:7" hidden="1" x14ac:dyDescent="0.2">
      <c r="G8627" s="401"/>
    </row>
    <row r="8628" spans="7:7" hidden="1" x14ac:dyDescent="0.2">
      <c r="G8628" s="401"/>
    </row>
    <row r="8629" spans="7:7" hidden="1" x14ac:dyDescent="0.2">
      <c r="G8629" s="401"/>
    </row>
    <row r="8630" spans="7:7" hidden="1" x14ac:dyDescent="0.2">
      <c r="G8630" s="401"/>
    </row>
    <row r="8631" spans="7:7" hidden="1" x14ac:dyDescent="0.2">
      <c r="G8631" s="401"/>
    </row>
    <row r="8632" spans="7:7" hidden="1" x14ac:dyDescent="0.2">
      <c r="G8632" s="401"/>
    </row>
    <row r="8633" spans="7:7" hidden="1" x14ac:dyDescent="0.2">
      <c r="G8633" s="401"/>
    </row>
    <row r="8634" spans="7:7" hidden="1" x14ac:dyDescent="0.2">
      <c r="G8634" s="401"/>
    </row>
    <row r="8635" spans="7:7" hidden="1" x14ac:dyDescent="0.2">
      <c r="G8635" s="401"/>
    </row>
    <row r="8636" spans="7:7" hidden="1" x14ac:dyDescent="0.2">
      <c r="G8636" s="401"/>
    </row>
    <row r="8637" spans="7:7" hidden="1" x14ac:dyDescent="0.2">
      <c r="G8637" s="401"/>
    </row>
    <row r="8638" spans="7:7" hidden="1" x14ac:dyDescent="0.2">
      <c r="G8638" s="401"/>
    </row>
    <row r="8639" spans="7:7" hidden="1" x14ac:dyDescent="0.2">
      <c r="G8639" s="401"/>
    </row>
    <row r="8640" spans="7:7" hidden="1" x14ac:dyDescent="0.2">
      <c r="G8640" s="401"/>
    </row>
    <row r="8641" spans="7:7" hidden="1" x14ac:dyDescent="0.2">
      <c r="G8641" s="401"/>
    </row>
    <row r="8642" spans="7:7" hidden="1" x14ac:dyDescent="0.2">
      <c r="G8642" s="401"/>
    </row>
    <row r="8643" spans="7:7" hidden="1" x14ac:dyDescent="0.2">
      <c r="G8643" s="401"/>
    </row>
    <row r="8644" spans="7:7" hidden="1" x14ac:dyDescent="0.2">
      <c r="G8644" s="401"/>
    </row>
    <row r="8645" spans="7:7" hidden="1" x14ac:dyDescent="0.2">
      <c r="G8645" s="401"/>
    </row>
    <row r="8646" spans="7:7" hidden="1" x14ac:dyDescent="0.2">
      <c r="G8646" s="401"/>
    </row>
    <row r="8647" spans="7:7" hidden="1" x14ac:dyDescent="0.2">
      <c r="G8647" s="401"/>
    </row>
    <row r="8648" spans="7:7" hidden="1" x14ac:dyDescent="0.2">
      <c r="G8648" s="401"/>
    </row>
    <row r="8649" spans="7:7" hidden="1" x14ac:dyDescent="0.2">
      <c r="G8649" s="401"/>
    </row>
    <row r="8650" spans="7:7" hidden="1" x14ac:dyDescent="0.2">
      <c r="G8650" s="401"/>
    </row>
    <row r="8651" spans="7:7" hidden="1" x14ac:dyDescent="0.2">
      <c r="G8651" s="401"/>
    </row>
    <row r="8652" spans="7:7" hidden="1" x14ac:dyDescent="0.2">
      <c r="G8652" s="401"/>
    </row>
    <row r="8653" spans="7:7" hidden="1" x14ac:dyDescent="0.2">
      <c r="G8653" s="401"/>
    </row>
    <row r="8654" spans="7:7" hidden="1" x14ac:dyDescent="0.2">
      <c r="G8654" s="401"/>
    </row>
    <row r="8655" spans="7:7" hidden="1" x14ac:dyDescent="0.2">
      <c r="G8655" s="401"/>
    </row>
    <row r="8656" spans="7:7" hidden="1" x14ac:dyDescent="0.2">
      <c r="G8656" s="401"/>
    </row>
    <row r="8657" spans="7:7" hidden="1" x14ac:dyDescent="0.2">
      <c r="G8657" s="401"/>
    </row>
    <row r="8658" spans="7:7" hidden="1" x14ac:dyDescent="0.2">
      <c r="G8658" s="401"/>
    </row>
    <row r="8659" spans="7:7" hidden="1" x14ac:dyDescent="0.2">
      <c r="G8659" s="401"/>
    </row>
    <row r="8660" spans="7:7" hidden="1" x14ac:dyDescent="0.2">
      <c r="G8660" s="401"/>
    </row>
    <row r="8661" spans="7:7" hidden="1" x14ac:dyDescent="0.2">
      <c r="G8661" s="401"/>
    </row>
    <row r="8662" spans="7:7" hidden="1" x14ac:dyDescent="0.2">
      <c r="G8662" s="401"/>
    </row>
    <row r="8663" spans="7:7" hidden="1" x14ac:dyDescent="0.2">
      <c r="G8663" s="401"/>
    </row>
    <row r="8664" spans="7:7" hidden="1" x14ac:dyDescent="0.2">
      <c r="G8664" s="401"/>
    </row>
    <row r="8665" spans="7:7" hidden="1" x14ac:dyDescent="0.2">
      <c r="G8665" s="401"/>
    </row>
    <row r="8666" spans="7:7" hidden="1" x14ac:dyDescent="0.2">
      <c r="G8666" s="401"/>
    </row>
    <row r="8667" spans="7:7" hidden="1" x14ac:dyDescent="0.2">
      <c r="G8667" s="401"/>
    </row>
    <row r="8668" spans="7:7" hidden="1" x14ac:dyDescent="0.2">
      <c r="G8668" s="401"/>
    </row>
    <row r="8669" spans="7:7" hidden="1" x14ac:dyDescent="0.2">
      <c r="G8669" s="401"/>
    </row>
    <row r="8670" spans="7:7" hidden="1" x14ac:dyDescent="0.2">
      <c r="G8670" s="401"/>
    </row>
    <row r="8671" spans="7:7" hidden="1" x14ac:dyDescent="0.2">
      <c r="G8671" s="401"/>
    </row>
    <row r="8672" spans="7:7" hidden="1" x14ac:dyDescent="0.2">
      <c r="G8672" s="401"/>
    </row>
    <row r="8673" spans="7:7" hidden="1" x14ac:dyDescent="0.2">
      <c r="G8673" s="401"/>
    </row>
    <row r="8674" spans="7:7" hidden="1" x14ac:dyDescent="0.2">
      <c r="G8674" s="401"/>
    </row>
    <row r="8675" spans="7:7" hidden="1" x14ac:dyDescent="0.2">
      <c r="G8675" s="401"/>
    </row>
    <row r="8676" spans="7:7" hidden="1" x14ac:dyDescent="0.2">
      <c r="G8676" s="401"/>
    </row>
    <row r="8677" spans="7:7" hidden="1" x14ac:dyDescent="0.2">
      <c r="G8677" s="401"/>
    </row>
    <row r="8678" spans="7:7" hidden="1" x14ac:dyDescent="0.2">
      <c r="G8678" s="401"/>
    </row>
    <row r="8679" spans="7:7" hidden="1" x14ac:dyDescent="0.2">
      <c r="G8679" s="401"/>
    </row>
    <row r="8680" spans="7:7" hidden="1" x14ac:dyDescent="0.2">
      <c r="G8680" s="401"/>
    </row>
    <row r="8681" spans="7:7" hidden="1" x14ac:dyDescent="0.2">
      <c r="G8681" s="401"/>
    </row>
    <row r="8682" spans="7:7" hidden="1" x14ac:dyDescent="0.2">
      <c r="G8682" s="401"/>
    </row>
    <row r="8683" spans="7:7" hidden="1" x14ac:dyDescent="0.2">
      <c r="G8683" s="401"/>
    </row>
    <row r="8684" spans="7:7" hidden="1" x14ac:dyDescent="0.2">
      <c r="G8684" s="401"/>
    </row>
    <row r="8685" spans="7:7" hidden="1" x14ac:dyDescent="0.2">
      <c r="G8685" s="401"/>
    </row>
    <row r="8686" spans="7:7" hidden="1" x14ac:dyDescent="0.2">
      <c r="G8686" s="401"/>
    </row>
    <row r="8687" spans="7:7" hidden="1" x14ac:dyDescent="0.2">
      <c r="G8687" s="401"/>
    </row>
    <row r="8688" spans="7:7" hidden="1" x14ac:dyDescent="0.2">
      <c r="G8688" s="401"/>
    </row>
    <row r="8689" spans="7:7" hidden="1" x14ac:dyDescent="0.2">
      <c r="G8689" s="401"/>
    </row>
    <row r="8690" spans="7:7" hidden="1" x14ac:dyDescent="0.2">
      <c r="G8690" s="401"/>
    </row>
    <row r="8691" spans="7:7" hidden="1" x14ac:dyDescent="0.2">
      <c r="G8691" s="401"/>
    </row>
    <row r="8692" spans="7:7" hidden="1" x14ac:dyDescent="0.2">
      <c r="G8692" s="401"/>
    </row>
    <row r="8693" spans="7:7" hidden="1" x14ac:dyDescent="0.2">
      <c r="G8693" s="401"/>
    </row>
    <row r="8694" spans="7:7" hidden="1" x14ac:dyDescent="0.2">
      <c r="G8694" s="401"/>
    </row>
    <row r="8695" spans="7:7" hidden="1" x14ac:dyDescent="0.2">
      <c r="G8695" s="401"/>
    </row>
    <row r="8696" spans="7:7" hidden="1" x14ac:dyDescent="0.2">
      <c r="G8696" s="401"/>
    </row>
    <row r="8697" spans="7:7" hidden="1" x14ac:dyDescent="0.2">
      <c r="G8697" s="401"/>
    </row>
    <row r="8698" spans="7:7" hidden="1" x14ac:dyDescent="0.2">
      <c r="G8698" s="401"/>
    </row>
    <row r="8699" spans="7:7" hidden="1" x14ac:dyDescent="0.2">
      <c r="G8699" s="401"/>
    </row>
    <row r="8700" spans="7:7" hidden="1" x14ac:dyDescent="0.2">
      <c r="G8700" s="401"/>
    </row>
    <row r="8701" spans="7:7" hidden="1" x14ac:dyDescent="0.2">
      <c r="G8701" s="401"/>
    </row>
    <row r="8702" spans="7:7" hidden="1" x14ac:dyDescent="0.2">
      <c r="G8702" s="401"/>
    </row>
    <row r="8703" spans="7:7" hidden="1" x14ac:dyDescent="0.2">
      <c r="G8703" s="401"/>
    </row>
    <row r="8704" spans="7:7" hidden="1" x14ac:dyDescent="0.2">
      <c r="G8704" s="401"/>
    </row>
    <row r="8705" spans="7:7" hidden="1" x14ac:dyDescent="0.2">
      <c r="G8705" s="401"/>
    </row>
    <row r="8706" spans="7:7" hidden="1" x14ac:dyDescent="0.2">
      <c r="G8706" s="401"/>
    </row>
    <row r="8707" spans="7:7" hidden="1" x14ac:dyDescent="0.2">
      <c r="G8707" s="401"/>
    </row>
    <row r="8708" spans="7:7" hidden="1" x14ac:dyDescent="0.2">
      <c r="G8708" s="401"/>
    </row>
    <row r="8709" spans="7:7" hidden="1" x14ac:dyDescent="0.2">
      <c r="G8709" s="401"/>
    </row>
    <row r="8710" spans="7:7" hidden="1" x14ac:dyDescent="0.2">
      <c r="G8710" s="401"/>
    </row>
    <row r="8711" spans="7:7" hidden="1" x14ac:dyDescent="0.2">
      <c r="G8711" s="401"/>
    </row>
    <row r="8712" spans="7:7" hidden="1" x14ac:dyDescent="0.2">
      <c r="G8712" s="401"/>
    </row>
    <row r="8713" spans="7:7" hidden="1" x14ac:dyDescent="0.2">
      <c r="G8713" s="401"/>
    </row>
    <row r="8714" spans="7:7" hidden="1" x14ac:dyDescent="0.2">
      <c r="G8714" s="401"/>
    </row>
    <row r="8715" spans="7:7" hidden="1" x14ac:dyDescent="0.2">
      <c r="G8715" s="401"/>
    </row>
    <row r="8716" spans="7:7" hidden="1" x14ac:dyDescent="0.2">
      <c r="G8716" s="401"/>
    </row>
    <row r="8717" spans="7:7" hidden="1" x14ac:dyDescent="0.2">
      <c r="G8717" s="401"/>
    </row>
    <row r="8718" spans="7:7" hidden="1" x14ac:dyDescent="0.2">
      <c r="G8718" s="401"/>
    </row>
    <row r="8719" spans="7:7" hidden="1" x14ac:dyDescent="0.2">
      <c r="G8719" s="401"/>
    </row>
    <row r="8720" spans="7:7" hidden="1" x14ac:dyDescent="0.2">
      <c r="G8720" s="401"/>
    </row>
    <row r="8721" spans="7:7" hidden="1" x14ac:dyDescent="0.2">
      <c r="G8721" s="401"/>
    </row>
    <row r="8722" spans="7:7" hidden="1" x14ac:dyDescent="0.2">
      <c r="G8722" s="401"/>
    </row>
    <row r="8723" spans="7:7" hidden="1" x14ac:dyDescent="0.2">
      <c r="G8723" s="401"/>
    </row>
    <row r="8724" spans="7:7" hidden="1" x14ac:dyDescent="0.2">
      <c r="G8724" s="401"/>
    </row>
    <row r="8725" spans="7:7" hidden="1" x14ac:dyDescent="0.2">
      <c r="G8725" s="401"/>
    </row>
    <row r="8726" spans="7:7" hidden="1" x14ac:dyDescent="0.2">
      <c r="G8726" s="401"/>
    </row>
    <row r="8727" spans="7:7" hidden="1" x14ac:dyDescent="0.2">
      <c r="G8727" s="401"/>
    </row>
    <row r="8728" spans="7:7" hidden="1" x14ac:dyDescent="0.2">
      <c r="G8728" s="401"/>
    </row>
    <row r="8729" spans="7:7" hidden="1" x14ac:dyDescent="0.2">
      <c r="G8729" s="401"/>
    </row>
    <row r="8730" spans="7:7" hidden="1" x14ac:dyDescent="0.2">
      <c r="G8730" s="401"/>
    </row>
    <row r="8731" spans="7:7" hidden="1" x14ac:dyDescent="0.2">
      <c r="G8731" s="401"/>
    </row>
    <row r="8732" spans="7:7" hidden="1" x14ac:dyDescent="0.2">
      <c r="G8732" s="401"/>
    </row>
    <row r="8733" spans="7:7" hidden="1" x14ac:dyDescent="0.2">
      <c r="G8733" s="401"/>
    </row>
    <row r="8734" spans="7:7" hidden="1" x14ac:dyDescent="0.2">
      <c r="G8734" s="401"/>
    </row>
    <row r="8735" spans="7:7" hidden="1" x14ac:dyDescent="0.2">
      <c r="G8735" s="401"/>
    </row>
    <row r="8736" spans="7:7" hidden="1" x14ac:dyDescent="0.2">
      <c r="G8736" s="401"/>
    </row>
    <row r="8737" spans="7:7" hidden="1" x14ac:dyDescent="0.2">
      <c r="G8737" s="401"/>
    </row>
    <row r="8738" spans="7:7" hidden="1" x14ac:dyDescent="0.2">
      <c r="G8738" s="401"/>
    </row>
    <row r="8739" spans="7:7" hidden="1" x14ac:dyDescent="0.2">
      <c r="G8739" s="401"/>
    </row>
    <row r="8740" spans="7:7" hidden="1" x14ac:dyDescent="0.2">
      <c r="G8740" s="401"/>
    </row>
    <row r="8741" spans="7:7" hidden="1" x14ac:dyDescent="0.2">
      <c r="G8741" s="401"/>
    </row>
    <row r="8742" spans="7:7" hidden="1" x14ac:dyDescent="0.2">
      <c r="G8742" s="401"/>
    </row>
    <row r="8743" spans="7:7" hidden="1" x14ac:dyDescent="0.2">
      <c r="G8743" s="401"/>
    </row>
    <row r="8744" spans="7:7" hidden="1" x14ac:dyDescent="0.2">
      <c r="G8744" s="401"/>
    </row>
    <row r="8745" spans="7:7" hidden="1" x14ac:dyDescent="0.2">
      <c r="G8745" s="401"/>
    </row>
    <row r="8746" spans="7:7" hidden="1" x14ac:dyDescent="0.2">
      <c r="G8746" s="401"/>
    </row>
    <row r="8747" spans="7:7" hidden="1" x14ac:dyDescent="0.2">
      <c r="G8747" s="401"/>
    </row>
    <row r="8748" spans="7:7" hidden="1" x14ac:dyDescent="0.2">
      <c r="G8748" s="401"/>
    </row>
    <row r="8749" spans="7:7" hidden="1" x14ac:dyDescent="0.2">
      <c r="G8749" s="401"/>
    </row>
    <row r="8750" spans="7:7" hidden="1" x14ac:dyDescent="0.2">
      <c r="G8750" s="401"/>
    </row>
    <row r="8751" spans="7:7" hidden="1" x14ac:dyDescent="0.2">
      <c r="G8751" s="401"/>
    </row>
    <row r="8752" spans="7:7" hidden="1" x14ac:dyDescent="0.2">
      <c r="G8752" s="401"/>
    </row>
    <row r="8753" spans="7:7" hidden="1" x14ac:dyDescent="0.2">
      <c r="G8753" s="401"/>
    </row>
    <row r="8754" spans="7:7" hidden="1" x14ac:dyDescent="0.2">
      <c r="G8754" s="401"/>
    </row>
    <row r="8755" spans="7:7" hidden="1" x14ac:dyDescent="0.2">
      <c r="G8755" s="401"/>
    </row>
    <row r="8756" spans="7:7" hidden="1" x14ac:dyDescent="0.2">
      <c r="G8756" s="401"/>
    </row>
    <row r="8757" spans="7:7" hidden="1" x14ac:dyDescent="0.2">
      <c r="G8757" s="401"/>
    </row>
    <row r="8758" spans="7:7" hidden="1" x14ac:dyDescent="0.2">
      <c r="G8758" s="401"/>
    </row>
    <row r="8759" spans="7:7" hidden="1" x14ac:dyDescent="0.2">
      <c r="G8759" s="401"/>
    </row>
    <row r="8760" spans="7:7" hidden="1" x14ac:dyDescent="0.2">
      <c r="G8760" s="401"/>
    </row>
    <row r="8761" spans="7:7" hidden="1" x14ac:dyDescent="0.2">
      <c r="G8761" s="401"/>
    </row>
    <row r="8762" spans="7:7" hidden="1" x14ac:dyDescent="0.2">
      <c r="G8762" s="401"/>
    </row>
    <row r="8763" spans="7:7" hidden="1" x14ac:dyDescent="0.2">
      <c r="G8763" s="401"/>
    </row>
    <row r="8764" spans="7:7" hidden="1" x14ac:dyDescent="0.2">
      <c r="G8764" s="401"/>
    </row>
    <row r="8765" spans="7:7" hidden="1" x14ac:dyDescent="0.2">
      <c r="G8765" s="401"/>
    </row>
    <row r="8766" spans="7:7" hidden="1" x14ac:dyDescent="0.2">
      <c r="G8766" s="401"/>
    </row>
    <row r="8767" spans="7:7" hidden="1" x14ac:dyDescent="0.2">
      <c r="G8767" s="401"/>
    </row>
    <row r="8768" spans="7:7" hidden="1" x14ac:dyDescent="0.2">
      <c r="G8768" s="401"/>
    </row>
    <row r="8769" spans="7:7" hidden="1" x14ac:dyDescent="0.2">
      <c r="G8769" s="401"/>
    </row>
    <row r="8770" spans="7:7" hidden="1" x14ac:dyDescent="0.2">
      <c r="G8770" s="401"/>
    </row>
    <row r="8771" spans="7:7" hidden="1" x14ac:dyDescent="0.2">
      <c r="G8771" s="401"/>
    </row>
    <row r="8772" spans="7:7" hidden="1" x14ac:dyDescent="0.2">
      <c r="G8772" s="401"/>
    </row>
    <row r="8773" spans="7:7" hidden="1" x14ac:dyDescent="0.2">
      <c r="G8773" s="401"/>
    </row>
    <row r="8774" spans="7:7" hidden="1" x14ac:dyDescent="0.2">
      <c r="G8774" s="401"/>
    </row>
    <row r="8775" spans="7:7" hidden="1" x14ac:dyDescent="0.2">
      <c r="G8775" s="401"/>
    </row>
    <row r="8776" spans="7:7" hidden="1" x14ac:dyDescent="0.2">
      <c r="G8776" s="401"/>
    </row>
    <row r="8777" spans="7:7" hidden="1" x14ac:dyDescent="0.2">
      <c r="G8777" s="401"/>
    </row>
    <row r="8778" spans="7:7" hidden="1" x14ac:dyDescent="0.2">
      <c r="G8778" s="401"/>
    </row>
    <row r="8779" spans="7:7" hidden="1" x14ac:dyDescent="0.2">
      <c r="G8779" s="401"/>
    </row>
    <row r="8780" spans="7:7" hidden="1" x14ac:dyDescent="0.2">
      <c r="G8780" s="401"/>
    </row>
    <row r="8781" spans="7:7" hidden="1" x14ac:dyDescent="0.2">
      <c r="G8781" s="401"/>
    </row>
    <row r="8782" spans="7:7" hidden="1" x14ac:dyDescent="0.2">
      <c r="G8782" s="401"/>
    </row>
    <row r="8783" spans="7:7" hidden="1" x14ac:dyDescent="0.2">
      <c r="G8783" s="401"/>
    </row>
    <row r="8784" spans="7:7" hidden="1" x14ac:dyDescent="0.2">
      <c r="G8784" s="401"/>
    </row>
    <row r="8785" spans="7:7" hidden="1" x14ac:dyDescent="0.2">
      <c r="G8785" s="401"/>
    </row>
    <row r="8786" spans="7:7" hidden="1" x14ac:dyDescent="0.2">
      <c r="G8786" s="401"/>
    </row>
    <row r="8787" spans="7:7" hidden="1" x14ac:dyDescent="0.2">
      <c r="G8787" s="401"/>
    </row>
    <row r="8788" spans="7:7" hidden="1" x14ac:dyDescent="0.2">
      <c r="G8788" s="401"/>
    </row>
    <row r="8789" spans="7:7" hidden="1" x14ac:dyDescent="0.2">
      <c r="G8789" s="401"/>
    </row>
    <row r="8790" spans="7:7" hidden="1" x14ac:dyDescent="0.2">
      <c r="G8790" s="401"/>
    </row>
    <row r="8791" spans="7:7" hidden="1" x14ac:dyDescent="0.2">
      <c r="G8791" s="401"/>
    </row>
    <row r="8792" spans="7:7" hidden="1" x14ac:dyDescent="0.2">
      <c r="G8792" s="401"/>
    </row>
    <row r="8793" spans="7:7" hidden="1" x14ac:dyDescent="0.2">
      <c r="G8793" s="401"/>
    </row>
    <row r="8794" spans="7:7" hidden="1" x14ac:dyDescent="0.2">
      <c r="G8794" s="401"/>
    </row>
    <row r="8795" spans="7:7" hidden="1" x14ac:dyDescent="0.2">
      <c r="G8795" s="401"/>
    </row>
    <row r="8796" spans="7:7" hidden="1" x14ac:dyDescent="0.2">
      <c r="G8796" s="401"/>
    </row>
    <row r="8797" spans="7:7" hidden="1" x14ac:dyDescent="0.2">
      <c r="G8797" s="401"/>
    </row>
    <row r="8798" spans="7:7" hidden="1" x14ac:dyDescent="0.2">
      <c r="G8798" s="401"/>
    </row>
    <row r="8799" spans="7:7" hidden="1" x14ac:dyDescent="0.2">
      <c r="G8799" s="401"/>
    </row>
    <row r="8800" spans="7:7" hidden="1" x14ac:dyDescent="0.2">
      <c r="G8800" s="401"/>
    </row>
    <row r="8801" spans="7:7" hidden="1" x14ac:dyDescent="0.2">
      <c r="G8801" s="401"/>
    </row>
    <row r="8802" spans="7:7" hidden="1" x14ac:dyDescent="0.2">
      <c r="G8802" s="401"/>
    </row>
    <row r="8803" spans="7:7" hidden="1" x14ac:dyDescent="0.2">
      <c r="G8803" s="401"/>
    </row>
    <row r="8804" spans="7:7" hidden="1" x14ac:dyDescent="0.2">
      <c r="G8804" s="401"/>
    </row>
    <row r="8805" spans="7:7" hidden="1" x14ac:dyDescent="0.2">
      <c r="G8805" s="401"/>
    </row>
    <row r="8806" spans="7:7" hidden="1" x14ac:dyDescent="0.2">
      <c r="G8806" s="401"/>
    </row>
    <row r="8807" spans="7:7" hidden="1" x14ac:dyDescent="0.2">
      <c r="G8807" s="401"/>
    </row>
    <row r="8808" spans="7:7" hidden="1" x14ac:dyDescent="0.2">
      <c r="G8808" s="401"/>
    </row>
    <row r="8809" spans="7:7" hidden="1" x14ac:dyDescent="0.2">
      <c r="G8809" s="401"/>
    </row>
    <row r="8810" spans="7:7" hidden="1" x14ac:dyDescent="0.2">
      <c r="G8810" s="401"/>
    </row>
    <row r="8811" spans="7:7" hidden="1" x14ac:dyDescent="0.2">
      <c r="G8811" s="401"/>
    </row>
    <row r="8812" spans="7:7" hidden="1" x14ac:dyDescent="0.2">
      <c r="G8812" s="401"/>
    </row>
    <row r="8813" spans="7:7" hidden="1" x14ac:dyDescent="0.2">
      <c r="G8813" s="401"/>
    </row>
    <row r="8814" spans="7:7" hidden="1" x14ac:dyDescent="0.2">
      <c r="G8814" s="401"/>
    </row>
    <row r="8815" spans="7:7" hidden="1" x14ac:dyDescent="0.2">
      <c r="G8815" s="401"/>
    </row>
    <row r="8816" spans="7:7" hidden="1" x14ac:dyDescent="0.2">
      <c r="G8816" s="401"/>
    </row>
    <row r="8817" spans="7:7" hidden="1" x14ac:dyDescent="0.2">
      <c r="G8817" s="401"/>
    </row>
    <row r="8818" spans="7:7" hidden="1" x14ac:dyDescent="0.2">
      <c r="G8818" s="401"/>
    </row>
    <row r="8819" spans="7:7" hidden="1" x14ac:dyDescent="0.2">
      <c r="G8819" s="401"/>
    </row>
    <row r="8820" spans="7:7" hidden="1" x14ac:dyDescent="0.2">
      <c r="G8820" s="401"/>
    </row>
    <row r="8821" spans="7:7" hidden="1" x14ac:dyDescent="0.2">
      <c r="G8821" s="401"/>
    </row>
    <row r="8822" spans="7:7" hidden="1" x14ac:dyDescent="0.2">
      <c r="G8822" s="401"/>
    </row>
    <row r="8823" spans="7:7" hidden="1" x14ac:dyDescent="0.2">
      <c r="G8823" s="401"/>
    </row>
    <row r="8824" spans="7:7" hidden="1" x14ac:dyDescent="0.2">
      <c r="G8824" s="401"/>
    </row>
    <row r="8825" spans="7:7" hidden="1" x14ac:dyDescent="0.2">
      <c r="G8825" s="401"/>
    </row>
    <row r="8826" spans="7:7" hidden="1" x14ac:dyDescent="0.2">
      <c r="G8826" s="401"/>
    </row>
    <row r="8827" spans="7:7" hidden="1" x14ac:dyDescent="0.2">
      <c r="G8827" s="401"/>
    </row>
    <row r="8828" spans="7:7" hidden="1" x14ac:dyDescent="0.2">
      <c r="G8828" s="401"/>
    </row>
    <row r="8829" spans="7:7" hidden="1" x14ac:dyDescent="0.2">
      <c r="G8829" s="401"/>
    </row>
    <row r="8830" spans="7:7" hidden="1" x14ac:dyDescent="0.2">
      <c r="G8830" s="401"/>
    </row>
    <row r="8831" spans="7:7" hidden="1" x14ac:dyDescent="0.2">
      <c r="G8831" s="401"/>
    </row>
    <row r="8832" spans="7:7" hidden="1" x14ac:dyDescent="0.2">
      <c r="G8832" s="401"/>
    </row>
    <row r="8833" spans="7:7" hidden="1" x14ac:dyDescent="0.2">
      <c r="G8833" s="401"/>
    </row>
    <row r="8834" spans="7:7" hidden="1" x14ac:dyDescent="0.2">
      <c r="G8834" s="401"/>
    </row>
    <row r="8835" spans="7:7" hidden="1" x14ac:dyDescent="0.2">
      <c r="G8835" s="401"/>
    </row>
    <row r="8836" spans="7:7" hidden="1" x14ac:dyDescent="0.2">
      <c r="G8836" s="401"/>
    </row>
    <row r="8837" spans="7:7" hidden="1" x14ac:dyDescent="0.2">
      <c r="G8837" s="401"/>
    </row>
    <row r="8838" spans="7:7" hidden="1" x14ac:dyDescent="0.2">
      <c r="G8838" s="401"/>
    </row>
    <row r="8839" spans="7:7" hidden="1" x14ac:dyDescent="0.2">
      <c r="G8839" s="401"/>
    </row>
    <row r="8840" spans="7:7" hidden="1" x14ac:dyDescent="0.2">
      <c r="G8840" s="401"/>
    </row>
    <row r="8841" spans="7:7" hidden="1" x14ac:dyDescent="0.2">
      <c r="G8841" s="401"/>
    </row>
    <row r="8842" spans="7:7" hidden="1" x14ac:dyDescent="0.2">
      <c r="G8842" s="401"/>
    </row>
    <row r="8843" spans="7:7" hidden="1" x14ac:dyDescent="0.2">
      <c r="G8843" s="401"/>
    </row>
    <row r="8844" spans="7:7" hidden="1" x14ac:dyDescent="0.2">
      <c r="G8844" s="401"/>
    </row>
    <row r="8845" spans="7:7" hidden="1" x14ac:dyDescent="0.2">
      <c r="G8845" s="401"/>
    </row>
    <row r="8846" spans="7:7" hidden="1" x14ac:dyDescent="0.2">
      <c r="G8846" s="401"/>
    </row>
    <row r="8847" spans="7:7" hidden="1" x14ac:dyDescent="0.2">
      <c r="G8847" s="401"/>
    </row>
    <row r="8848" spans="7:7" hidden="1" x14ac:dyDescent="0.2">
      <c r="G8848" s="401"/>
    </row>
    <row r="8849" spans="7:7" hidden="1" x14ac:dyDescent="0.2">
      <c r="G8849" s="401"/>
    </row>
    <row r="8850" spans="7:7" hidden="1" x14ac:dyDescent="0.2">
      <c r="G8850" s="401"/>
    </row>
    <row r="8851" spans="7:7" hidden="1" x14ac:dyDescent="0.2">
      <c r="G8851" s="401"/>
    </row>
    <row r="8852" spans="7:7" hidden="1" x14ac:dyDescent="0.2">
      <c r="G8852" s="401"/>
    </row>
    <row r="8853" spans="7:7" hidden="1" x14ac:dyDescent="0.2">
      <c r="G8853" s="401"/>
    </row>
    <row r="8854" spans="7:7" hidden="1" x14ac:dyDescent="0.2">
      <c r="G8854" s="401"/>
    </row>
    <row r="8855" spans="7:7" hidden="1" x14ac:dyDescent="0.2">
      <c r="G8855" s="401"/>
    </row>
    <row r="8856" spans="7:7" hidden="1" x14ac:dyDescent="0.2">
      <c r="G8856" s="401"/>
    </row>
    <row r="8857" spans="7:7" hidden="1" x14ac:dyDescent="0.2">
      <c r="G8857" s="401"/>
    </row>
    <row r="8858" spans="7:7" hidden="1" x14ac:dyDescent="0.2">
      <c r="G8858" s="401"/>
    </row>
    <row r="8859" spans="7:7" hidden="1" x14ac:dyDescent="0.2">
      <c r="G8859" s="401"/>
    </row>
    <row r="8860" spans="7:7" hidden="1" x14ac:dyDescent="0.2">
      <c r="G8860" s="401"/>
    </row>
    <row r="8861" spans="7:7" hidden="1" x14ac:dyDescent="0.2">
      <c r="G8861" s="401"/>
    </row>
    <row r="8862" spans="7:7" hidden="1" x14ac:dyDescent="0.2">
      <c r="G8862" s="401"/>
    </row>
    <row r="8863" spans="7:7" hidden="1" x14ac:dyDescent="0.2">
      <c r="G8863" s="401"/>
    </row>
    <row r="8864" spans="7:7" hidden="1" x14ac:dyDescent="0.2">
      <c r="G8864" s="401"/>
    </row>
    <row r="8865" spans="7:7" hidden="1" x14ac:dyDescent="0.2">
      <c r="G8865" s="401"/>
    </row>
    <row r="8866" spans="7:7" hidden="1" x14ac:dyDescent="0.2">
      <c r="G8866" s="401"/>
    </row>
    <row r="8867" spans="7:7" hidden="1" x14ac:dyDescent="0.2">
      <c r="G8867" s="401"/>
    </row>
    <row r="8868" spans="7:7" hidden="1" x14ac:dyDescent="0.2">
      <c r="G8868" s="401"/>
    </row>
    <row r="8869" spans="7:7" hidden="1" x14ac:dyDescent="0.2">
      <c r="G8869" s="401"/>
    </row>
    <row r="8870" spans="7:7" hidden="1" x14ac:dyDescent="0.2">
      <c r="G8870" s="401"/>
    </row>
    <row r="8871" spans="7:7" hidden="1" x14ac:dyDescent="0.2">
      <c r="G8871" s="401"/>
    </row>
    <row r="8872" spans="7:7" hidden="1" x14ac:dyDescent="0.2">
      <c r="G8872" s="401"/>
    </row>
    <row r="8873" spans="7:7" hidden="1" x14ac:dyDescent="0.2">
      <c r="G8873" s="401"/>
    </row>
    <row r="8874" spans="7:7" hidden="1" x14ac:dyDescent="0.2">
      <c r="G8874" s="401"/>
    </row>
    <row r="8875" spans="7:7" hidden="1" x14ac:dyDescent="0.2">
      <c r="G8875" s="401"/>
    </row>
    <row r="8876" spans="7:7" hidden="1" x14ac:dyDescent="0.2">
      <c r="G8876" s="401"/>
    </row>
    <row r="8877" spans="7:7" hidden="1" x14ac:dyDescent="0.2">
      <c r="G8877" s="401"/>
    </row>
    <row r="8878" spans="7:7" hidden="1" x14ac:dyDescent="0.2">
      <c r="G8878" s="401"/>
    </row>
    <row r="8879" spans="7:7" hidden="1" x14ac:dyDescent="0.2">
      <c r="G8879" s="401"/>
    </row>
    <row r="8880" spans="7:7" hidden="1" x14ac:dyDescent="0.2">
      <c r="G8880" s="401"/>
    </row>
    <row r="8881" spans="7:7" hidden="1" x14ac:dyDescent="0.2">
      <c r="G8881" s="401"/>
    </row>
    <row r="8882" spans="7:7" hidden="1" x14ac:dyDescent="0.2">
      <c r="G8882" s="401"/>
    </row>
    <row r="8883" spans="7:7" hidden="1" x14ac:dyDescent="0.2">
      <c r="G8883" s="401"/>
    </row>
    <row r="8884" spans="7:7" hidden="1" x14ac:dyDescent="0.2">
      <c r="G8884" s="401"/>
    </row>
    <row r="8885" spans="7:7" hidden="1" x14ac:dyDescent="0.2">
      <c r="G8885" s="401"/>
    </row>
    <row r="8886" spans="7:7" hidden="1" x14ac:dyDescent="0.2">
      <c r="G8886" s="401"/>
    </row>
    <row r="8887" spans="7:7" hidden="1" x14ac:dyDescent="0.2">
      <c r="G8887" s="401"/>
    </row>
    <row r="8888" spans="7:7" hidden="1" x14ac:dyDescent="0.2">
      <c r="G8888" s="401"/>
    </row>
    <row r="8889" spans="7:7" hidden="1" x14ac:dyDescent="0.2">
      <c r="G8889" s="401"/>
    </row>
    <row r="8890" spans="7:7" hidden="1" x14ac:dyDescent="0.2">
      <c r="G8890" s="401"/>
    </row>
    <row r="8891" spans="7:7" hidden="1" x14ac:dyDescent="0.2">
      <c r="G8891" s="401"/>
    </row>
    <row r="8892" spans="7:7" hidden="1" x14ac:dyDescent="0.2">
      <c r="G8892" s="401"/>
    </row>
    <row r="8893" spans="7:7" hidden="1" x14ac:dyDescent="0.2">
      <c r="G8893" s="401"/>
    </row>
    <row r="8894" spans="7:7" hidden="1" x14ac:dyDescent="0.2">
      <c r="G8894" s="401"/>
    </row>
    <row r="8895" spans="7:7" hidden="1" x14ac:dyDescent="0.2">
      <c r="G8895" s="401"/>
    </row>
    <row r="8896" spans="7:7" hidden="1" x14ac:dyDescent="0.2">
      <c r="G8896" s="401"/>
    </row>
    <row r="8897" spans="7:7" hidden="1" x14ac:dyDescent="0.2">
      <c r="G8897" s="401"/>
    </row>
    <row r="8898" spans="7:7" hidden="1" x14ac:dyDescent="0.2">
      <c r="G8898" s="401"/>
    </row>
    <row r="8899" spans="7:7" hidden="1" x14ac:dyDescent="0.2">
      <c r="G8899" s="401"/>
    </row>
    <row r="8900" spans="7:7" hidden="1" x14ac:dyDescent="0.2">
      <c r="G8900" s="401"/>
    </row>
    <row r="8901" spans="7:7" hidden="1" x14ac:dyDescent="0.2">
      <c r="G8901" s="401"/>
    </row>
    <row r="8902" spans="7:7" hidden="1" x14ac:dyDescent="0.2">
      <c r="G8902" s="401"/>
    </row>
    <row r="8903" spans="7:7" hidden="1" x14ac:dyDescent="0.2">
      <c r="G8903" s="401"/>
    </row>
    <row r="8904" spans="7:7" hidden="1" x14ac:dyDescent="0.2">
      <c r="G8904" s="401"/>
    </row>
    <row r="8905" spans="7:7" hidden="1" x14ac:dyDescent="0.2">
      <c r="G8905" s="401"/>
    </row>
    <row r="8906" spans="7:7" hidden="1" x14ac:dyDescent="0.2">
      <c r="G8906" s="401"/>
    </row>
    <row r="8907" spans="7:7" hidden="1" x14ac:dyDescent="0.2">
      <c r="G8907" s="401"/>
    </row>
    <row r="8908" spans="7:7" hidden="1" x14ac:dyDescent="0.2">
      <c r="G8908" s="401"/>
    </row>
    <row r="8909" spans="7:7" hidden="1" x14ac:dyDescent="0.2">
      <c r="G8909" s="401"/>
    </row>
    <row r="8910" spans="7:7" hidden="1" x14ac:dyDescent="0.2">
      <c r="G8910" s="401"/>
    </row>
    <row r="8911" spans="7:7" hidden="1" x14ac:dyDescent="0.2">
      <c r="G8911" s="401"/>
    </row>
    <row r="8912" spans="7:7" hidden="1" x14ac:dyDescent="0.2">
      <c r="G8912" s="401"/>
    </row>
    <row r="8913" spans="7:7" hidden="1" x14ac:dyDescent="0.2">
      <c r="G8913" s="401"/>
    </row>
    <row r="8914" spans="7:7" hidden="1" x14ac:dyDescent="0.2">
      <c r="G8914" s="401"/>
    </row>
    <row r="8915" spans="7:7" hidden="1" x14ac:dyDescent="0.2">
      <c r="G8915" s="401"/>
    </row>
    <row r="8916" spans="7:7" hidden="1" x14ac:dyDescent="0.2">
      <c r="G8916" s="401"/>
    </row>
    <row r="8917" spans="7:7" hidden="1" x14ac:dyDescent="0.2">
      <c r="G8917" s="401"/>
    </row>
    <row r="8918" spans="7:7" hidden="1" x14ac:dyDescent="0.2">
      <c r="G8918" s="401"/>
    </row>
    <row r="8919" spans="7:7" hidden="1" x14ac:dyDescent="0.2">
      <c r="G8919" s="401"/>
    </row>
    <row r="8920" spans="7:7" hidden="1" x14ac:dyDescent="0.2">
      <c r="G8920" s="401"/>
    </row>
    <row r="8921" spans="7:7" hidden="1" x14ac:dyDescent="0.2">
      <c r="G8921" s="401"/>
    </row>
    <row r="8922" spans="7:7" hidden="1" x14ac:dyDescent="0.2">
      <c r="G8922" s="401"/>
    </row>
    <row r="8923" spans="7:7" hidden="1" x14ac:dyDescent="0.2">
      <c r="G8923" s="401"/>
    </row>
    <row r="8924" spans="7:7" hidden="1" x14ac:dyDescent="0.2">
      <c r="G8924" s="401"/>
    </row>
    <row r="8925" spans="7:7" hidden="1" x14ac:dyDescent="0.2">
      <c r="G8925" s="401"/>
    </row>
    <row r="8926" spans="7:7" hidden="1" x14ac:dyDescent="0.2">
      <c r="G8926" s="401"/>
    </row>
    <row r="8927" spans="7:7" hidden="1" x14ac:dyDescent="0.2">
      <c r="G8927" s="401"/>
    </row>
    <row r="8928" spans="7:7" hidden="1" x14ac:dyDescent="0.2">
      <c r="G8928" s="401"/>
    </row>
    <row r="8929" spans="7:7" hidden="1" x14ac:dyDescent="0.2">
      <c r="G8929" s="401"/>
    </row>
    <row r="8930" spans="7:7" hidden="1" x14ac:dyDescent="0.2">
      <c r="G8930" s="401"/>
    </row>
    <row r="8931" spans="7:7" hidden="1" x14ac:dyDescent="0.2">
      <c r="G8931" s="401"/>
    </row>
    <row r="8932" spans="7:7" hidden="1" x14ac:dyDescent="0.2">
      <c r="G8932" s="401"/>
    </row>
    <row r="8933" spans="7:7" hidden="1" x14ac:dyDescent="0.2">
      <c r="G8933" s="401"/>
    </row>
    <row r="8934" spans="7:7" hidden="1" x14ac:dyDescent="0.2">
      <c r="G8934" s="401"/>
    </row>
    <row r="8935" spans="7:7" hidden="1" x14ac:dyDescent="0.2">
      <c r="G8935" s="401"/>
    </row>
    <row r="8936" spans="7:7" hidden="1" x14ac:dyDescent="0.2">
      <c r="G8936" s="401"/>
    </row>
    <row r="8937" spans="7:7" hidden="1" x14ac:dyDescent="0.2">
      <c r="G8937" s="401"/>
    </row>
    <row r="8938" spans="7:7" hidden="1" x14ac:dyDescent="0.2">
      <c r="G8938" s="401"/>
    </row>
    <row r="8939" spans="7:7" hidden="1" x14ac:dyDescent="0.2">
      <c r="G8939" s="401"/>
    </row>
    <row r="8940" spans="7:7" hidden="1" x14ac:dyDescent="0.2">
      <c r="G8940" s="401"/>
    </row>
    <row r="8941" spans="7:7" hidden="1" x14ac:dyDescent="0.2">
      <c r="G8941" s="401"/>
    </row>
    <row r="8942" spans="7:7" hidden="1" x14ac:dyDescent="0.2">
      <c r="G8942" s="401"/>
    </row>
    <row r="8943" spans="7:7" hidden="1" x14ac:dyDescent="0.2">
      <c r="G8943" s="401"/>
    </row>
    <row r="8944" spans="7:7" hidden="1" x14ac:dyDescent="0.2">
      <c r="G8944" s="401"/>
    </row>
    <row r="8945" spans="7:7" hidden="1" x14ac:dyDescent="0.2">
      <c r="G8945" s="401"/>
    </row>
    <row r="8946" spans="7:7" hidden="1" x14ac:dyDescent="0.2">
      <c r="G8946" s="401"/>
    </row>
    <row r="8947" spans="7:7" hidden="1" x14ac:dyDescent="0.2">
      <c r="G8947" s="401"/>
    </row>
    <row r="8948" spans="7:7" hidden="1" x14ac:dyDescent="0.2">
      <c r="G8948" s="401"/>
    </row>
    <row r="8949" spans="7:7" hidden="1" x14ac:dyDescent="0.2">
      <c r="G8949" s="401"/>
    </row>
    <row r="8950" spans="7:7" hidden="1" x14ac:dyDescent="0.2">
      <c r="G8950" s="401"/>
    </row>
    <row r="8951" spans="7:7" hidden="1" x14ac:dyDescent="0.2">
      <c r="G8951" s="401"/>
    </row>
    <row r="8952" spans="7:7" hidden="1" x14ac:dyDescent="0.2">
      <c r="G8952" s="401"/>
    </row>
    <row r="8953" spans="7:7" hidden="1" x14ac:dyDescent="0.2">
      <c r="G8953" s="401"/>
    </row>
    <row r="8954" spans="7:7" hidden="1" x14ac:dyDescent="0.2">
      <c r="G8954" s="401"/>
    </row>
    <row r="8955" spans="7:7" hidden="1" x14ac:dyDescent="0.2">
      <c r="G8955" s="401"/>
    </row>
    <row r="8956" spans="7:7" hidden="1" x14ac:dyDescent="0.2">
      <c r="G8956" s="401"/>
    </row>
    <row r="8957" spans="7:7" hidden="1" x14ac:dyDescent="0.2">
      <c r="G8957" s="401"/>
    </row>
    <row r="8958" spans="7:7" hidden="1" x14ac:dyDescent="0.2">
      <c r="G8958" s="401"/>
    </row>
    <row r="8959" spans="7:7" hidden="1" x14ac:dyDescent="0.2">
      <c r="G8959" s="401"/>
    </row>
    <row r="8960" spans="7:7" hidden="1" x14ac:dyDescent="0.2">
      <c r="G8960" s="401"/>
    </row>
    <row r="8961" spans="7:7" hidden="1" x14ac:dyDescent="0.2">
      <c r="G8961" s="401"/>
    </row>
    <row r="8962" spans="7:7" hidden="1" x14ac:dyDescent="0.2">
      <c r="G8962" s="401"/>
    </row>
    <row r="8963" spans="7:7" hidden="1" x14ac:dyDescent="0.2">
      <c r="G8963" s="401"/>
    </row>
    <row r="8964" spans="7:7" hidden="1" x14ac:dyDescent="0.2">
      <c r="G8964" s="401"/>
    </row>
    <row r="8965" spans="7:7" hidden="1" x14ac:dyDescent="0.2">
      <c r="G8965" s="401"/>
    </row>
    <row r="8966" spans="7:7" hidden="1" x14ac:dyDescent="0.2">
      <c r="G8966" s="401"/>
    </row>
    <row r="8967" spans="7:7" hidden="1" x14ac:dyDescent="0.2">
      <c r="G8967" s="401"/>
    </row>
    <row r="8968" spans="7:7" hidden="1" x14ac:dyDescent="0.2">
      <c r="G8968" s="401"/>
    </row>
    <row r="8969" spans="7:7" hidden="1" x14ac:dyDescent="0.2">
      <c r="G8969" s="401"/>
    </row>
    <row r="8970" spans="7:7" hidden="1" x14ac:dyDescent="0.2">
      <c r="G8970" s="401"/>
    </row>
    <row r="8971" spans="7:7" hidden="1" x14ac:dyDescent="0.2">
      <c r="G8971" s="401"/>
    </row>
    <row r="8972" spans="7:7" hidden="1" x14ac:dyDescent="0.2">
      <c r="G8972" s="401"/>
    </row>
    <row r="8973" spans="7:7" hidden="1" x14ac:dyDescent="0.2">
      <c r="G8973" s="401"/>
    </row>
    <row r="8974" spans="7:7" hidden="1" x14ac:dyDescent="0.2">
      <c r="G8974" s="401"/>
    </row>
    <row r="8975" spans="7:7" hidden="1" x14ac:dyDescent="0.2">
      <c r="G8975" s="401"/>
    </row>
    <row r="8976" spans="7:7" hidden="1" x14ac:dyDescent="0.2">
      <c r="G8976" s="401"/>
    </row>
    <row r="8977" spans="7:7" hidden="1" x14ac:dyDescent="0.2">
      <c r="G8977" s="401"/>
    </row>
    <row r="8978" spans="7:7" hidden="1" x14ac:dyDescent="0.2">
      <c r="G8978" s="401"/>
    </row>
    <row r="8979" spans="7:7" hidden="1" x14ac:dyDescent="0.2">
      <c r="G8979" s="401"/>
    </row>
    <row r="8980" spans="7:7" hidden="1" x14ac:dyDescent="0.2">
      <c r="G8980" s="401"/>
    </row>
    <row r="8981" spans="7:7" hidden="1" x14ac:dyDescent="0.2">
      <c r="G8981" s="401"/>
    </row>
    <row r="8982" spans="7:7" hidden="1" x14ac:dyDescent="0.2">
      <c r="G8982" s="401"/>
    </row>
    <row r="8983" spans="7:7" hidden="1" x14ac:dyDescent="0.2">
      <c r="G8983" s="401"/>
    </row>
    <row r="8984" spans="7:7" hidden="1" x14ac:dyDescent="0.2">
      <c r="G8984" s="401"/>
    </row>
    <row r="8985" spans="7:7" hidden="1" x14ac:dyDescent="0.2">
      <c r="G8985" s="401"/>
    </row>
    <row r="8986" spans="7:7" hidden="1" x14ac:dyDescent="0.2">
      <c r="G8986" s="401"/>
    </row>
    <row r="8987" spans="7:7" hidden="1" x14ac:dyDescent="0.2">
      <c r="G8987" s="401"/>
    </row>
    <row r="8988" spans="7:7" hidden="1" x14ac:dyDescent="0.2">
      <c r="G8988" s="401"/>
    </row>
    <row r="8989" spans="7:7" hidden="1" x14ac:dyDescent="0.2">
      <c r="G8989" s="401"/>
    </row>
    <row r="8990" spans="7:7" hidden="1" x14ac:dyDescent="0.2">
      <c r="G8990" s="401"/>
    </row>
    <row r="8991" spans="7:7" hidden="1" x14ac:dyDescent="0.2">
      <c r="G8991" s="401"/>
    </row>
    <row r="8992" spans="7:7" hidden="1" x14ac:dyDescent="0.2">
      <c r="G8992" s="401"/>
    </row>
    <row r="8993" spans="7:7" hidden="1" x14ac:dyDescent="0.2">
      <c r="G8993" s="401"/>
    </row>
    <row r="8994" spans="7:7" hidden="1" x14ac:dyDescent="0.2">
      <c r="G8994" s="401"/>
    </row>
    <row r="8995" spans="7:7" hidden="1" x14ac:dyDescent="0.2">
      <c r="G8995" s="401"/>
    </row>
    <row r="8996" spans="7:7" hidden="1" x14ac:dyDescent="0.2">
      <c r="G8996" s="401"/>
    </row>
    <row r="8997" spans="7:7" hidden="1" x14ac:dyDescent="0.2">
      <c r="G8997" s="401"/>
    </row>
    <row r="8998" spans="7:7" hidden="1" x14ac:dyDescent="0.2">
      <c r="G8998" s="401"/>
    </row>
    <row r="8999" spans="7:7" hidden="1" x14ac:dyDescent="0.2">
      <c r="G8999" s="401"/>
    </row>
    <row r="9000" spans="7:7" hidden="1" x14ac:dyDescent="0.2">
      <c r="G9000" s="401"/>
    </row>
    <row r="9001" spans="7:7" hidden="1" x14ac:dyDescent="0.2">
      <c r="G9001" s="401"/>
    </row>
    <row r="9002" spans="7:7" hidden="1" x14ac:dyDescent="0.2">
      <c r="G9002" s="401"/>
    </row>
    <row r="9003" spans="7:7" hidden="1" x14ac:dyDescent="0.2">
      <c r="G9003" s="401"/>
    </row>
    <row r="9004" spans="7:7" hidden="1" x14ac:dyDescent="0.2">
      <c r="G9004" s="401"/>
    </row>
    <row r="9005" spans="7:7" hidden="1" x14ac:dyDescent="0.2">
      <c r="G9005" s="401"/>
    </row>
    <row r="9006" spans="7:7" hidden="1" x14ac:dyDescent="0.2">
      <c r="G9006" s="401"/>
    </row>
    <row r="9007" spans="7:7" hidden="1" x14ac:dyDescent="0.2">
      <c r="G9007" s="401"/>
    </row>
    <row r="9008" spans="7:7" hidden="1" x14ac:dyDescent="0.2">
      <c r="G9008" s="401"/>
    </row>
    <row r="9009" spans="7:7" hidden="1" x14ac:dyDescent="0.2">
      <c r="G9009" s="401"/>
    </row>
    <row r="9010" spans="7:7" hidden="1" x14ac:dyDescent="0.2">
      <c r="G9010" s="401"/>
    </row>
    <row r="9011" spans="7:7" hidden="1" x14ac:dyDescent="0.2">
      <c r="G9011" s="401"/>
    </row>
    <row r="9012" spans="7:7" hidden="1" x14ac:dyDescent="0.2">
      <c r="G9012" s="401"/>
    </row>
    <row r="9013" spans="7:7" hidden="1" x14ac:dyDescent="0.2">
      <c r="G9013" s="401"/>
    </row>
    <row r="9014" spans="7:7" hidden="1" x14ac:dyDescent="0.2">
      <c r="G9014" s="401"/>
    </row>
    <row r="9015" spans="7:7" hidden="1" x14ac:dyDescent="0.2">
      <c r="G9015" s="401"/>
    </row>
    <row r="9016" spans="7:7" hidden="1" x14ac:dyDescent="0.2">
      <c r="G9016" s="401"/>
    </row>
    <row r="9017" spans="7:7" hidden="1" x14ac:dyDescent="0.2">
      <c r="G9017" s="401"/>
    </row>
    <row r="9018" spans="7:7" hidden="1" x14ac:dyDescent="0.2">
      <c r="G9018" s="401"/>
    </row>
    <row r="9019" spans="7:7" hidden="1" x14ac:dyDescent="0.2">
      <c r="G9019" s="401"/>
    </row>
    <row r="9020" spans="7:7" hidden="1" x14ac:dyDescent="0.2">
      <c r="G9020" s="401"/>
    </row>
    <row r="9021" spans="7:7" hidden="1" x14ac:dyDescent="0.2">
      <c r="G9021" s="401"/>
    </row>
    <row r="9022" spans="7:7" hidden="1" x14ac:dyDescent="0.2">
      <c r="G9022" s="401"/>
    </row>
    <row r="9023" spans="7:7" hidden="1" x14ac:dyDescent="0.2">
      <c r="G9023" s="401"/>
    </row>
    <row r="9024" spans="7:7" hidden="1" x14ac:dyDescent="0.2">
      <c r="G9024" s="401"/>
    </row>
    <row r="9025" spans="7:7" hidden="1" x14ac:dyDescent="0.2">
      <c r="G9025" s="401"/>
    </row>
    <row r="9026" spans="7:7" hidden="1" x14ac:dyDescent="0.2">
      <c r="G9026" s="401"/>
    </row>
    <row r="9027" spans="7:7" hidden="1" x14ac:dyDescent="0.2">
      <c r="G9027" s="401"/>
    </row>
    <row r="9028" spans="7:7" hidden="1" x14ac:dyDescent="0.2">
      <c r="G9028" s="401"/>
    </row>
    <row r="9029" spans="7:7" hidden="1" x14ac:dyDescent="0.2">
      <c r="G9029" s="401"/>
    </row>
    <row r="9030" spans="7:7" hidden="1" x14ac:dyDescent="0.2">
      <c r="G9030" s="401"/>
    </row>
    <row r="9031" spans="7:7" hidden="1" x14ac:dyDescent="0.2">
      <c r="G9031" s="401"/>
    </row>
    <row r="9032" spans="7:7" hidden="1" x14ac:dyDescent="0.2">
      <c r="G9032" s="401"/>
    </row>
    <row r="9033" spans="7:7" hidden="1" x14ac:dyDescent="0.2">
      <c r="G9033" s="401"/>
    </row>
    <row r="9034" spans="7:7" hidden="1" x14ac:dyDescent="0.2">
      <c r="G9034" s="401"/>
    </row>
    <row r="9035" spans="7:7" hidden="1" x14ac:dyDescent="0.2">
      <c r="G9035" s="401"/>
    </row>
    <row r="9036" spans="7:7" hidden="1" x14ac:dyDescent="0.2">
      <c r="G9036" s="401"/>
    </row>
    <row r="9037" spans="7:7" hidden="1" x14ac:dyDescent="0.2">
      <c r="G9037" s="401"/>
    </row>
    <row r="9038" spans="7:7" hidden="1" x14ac:dyDescent="0.2">
      <c r="G9038" s="401"/>
    </row>
    <row r="9039" spans="7:7" hidden="1" x14ac:dyDescent="0.2">
      <c r="G9039" s="401"/>
    </row>
    <row r="9040" spans="7:7" hidden="1" x14ac:dyDescent="0.2">
      <c r="G9040" s="401"/>
    </row>
    <row r="9041" spans="7:7" hidden="1" x14ac:dyDescent="0.2">
      <c r="G9041" s="401"/>
    </row>
    <row r="9042" spans="7:7" hidden="1" x14ac:dyDescent="0.2">
      <c r="G9042" s="401"/>
    </row>
    <row r="9043" spans="7:7" hidden="1" x14ac:dyDescent="0.2">
      <c r="G9043" s="401"/>
    </row>
    <row r="9044" spans="7:7" hidden="1" x14ac:dyDescent="0.2">
      <c r="G9044" s="401"/>
    </row>
    <row r="9045" spans="7:7" hidden="1" x14ac:dyDescent="0.2">
      <c r="G9045" s="401"/>
    </row>
    <row r="9046" spans="7:7" hidden="1" x14ac:dyDescent="0.2">
      <c r="G9046" s="401"/>
    </row>
    <row r="9047" spans="7:7" hidden="1" x14ac:dyDescent="0.2">
      <c r="G9047" s="401"/>
    </row>
    <row r="9048" spans="7:7" hidden="1" x14ac:dyDescent="0.2">
      <c r="G9048" s="401"/>
    </row>
    <row r="9049" spans="7:7" hidden="1" x14ac:dyDescent="0.2">
      <c r="G9049" s="401"/>
    </row>
    <row r="9050" spans="7:7" hidden="1" x14ac:dyDescent="0.2">
      <c r="G9050" s="401"/>
    </row>
    <row r="9051" spans="7:7" hidden="1" x14ac:dyDescent="0.2">
      <c r="G9051" s="401"/>
    </row>
    <row r="9052" spans="7:7" hidden="1" x14ac:dyDescent="0.2">
      <c r="G9052" s="401"/>
    </row>
    <row r="9053" spans="7:7" hidden="1" x14ac:dyDescent="0.2">
      <c r="G9053" s="401"/>
    </row>
    <row r="9054" spans="7:7" hidden="1" x14ac:dyDescent="0.2">
      <c r="G9054" s="401"/>
    </row>
    <row r="9055" spans="7:7" hidden="1" x14ac:dyDescent="0.2">
      <c r="G9055" s="401"/>
    </row>
    <row r="9056" spans="7:7" hidden="1" x14ac:dyDescent="0.2">
      <c r="G9056" s="401"/>
    </row>
    <row r="9057" spans="7:7" hidden="1" x14ac:dyDescent="0.2">
      <c r="G9057" s="401"/>
    </row>
    <row r="9058" spans="7:7" hidden="1" x14ac:dyDescent="0.2">
      <c r="G9058" s="401"/>
    </row>
    <row r="9059" spans="7:7" hidden="1" x14ac:dyDescent="0.2">
      <c r="G9059" s="401"/>
    </row>
    <row r="9060" spans="7:7" hidden="1" x14ac:dyDescent="0.2">
      <c r="G9060" s="401"/>
    </row>
    <row r="9061" spans="7:7" hidden="1" x14ac:dyDescent="0.2">
      <c r="G9061" s="401"/>
    </row>
    <row r="9062" spans="7:7" hidden="1" x14ac:dyDescent="0.2">
      <c r="G9062" s="401"/>
    </row>
    <row r="9063" spans="7:7" hidden="1" x14ac:dyDescent="0.2">
      <c r="G9063" s="401"/>
    </row>
    <row r="9064" spans="7:7" hidden="1" x14ac:dyDescent="0.2">
      <c r="G9064" s="401"/>
    </row>
    <row r="9065" spans="7:7" hidden="1" x14ac:dyDescent="0.2">
      <c r="G9065" s="401"/>
    </row>
    <row r="9066" spans="7:7" hidden="1" x14ac:dyDescent="0.2">
      <c r="G9066" s="401"/>
    </row>
    <row r="9067" spans="7:7" hidden="1" x14ac:dyDescent="0.2">
      <c r="G9067" s="401"/>
    </row>
    <row r="9068" spans="7:7" hidden="1" x14ac:dyDescent="0.2">
      <c r="G9068" s="401"/>
    </row>
    <row r="9069" spans="7:7" hidden="1" x14ac:dyDescent="0.2">
      <c r="G9069" s="401"/>
    </row>
    <row r="9070" spans="7:7" hidden="1" x14ac:dyDescent="0.2">
      <c r="G9070" s="401"/>
    </row>
    <row r="9071" spans="7:7" hidden="1" x14ac:dyDescent="0.2">
      <c r="G9071" s="401"/>
    </row>
    <row r="9072" spans="7:7" hidden="1" x14ac:dyDescent="0.2">
      <c r="G9072" s="401"/>
    </row>
    <row r="9073" spans="7:7" hidden="1" x14ac:dyDescent="0.2">
      <c r="G9073" s="401"/>
    </row>
    <row r="9074" spans="7:7" hidden="1" x14ac:dyDescent="0.2">
      <c r="G9074" s="401"/>
    </row>
    <row r="9075" spans="7:7" hidden="1" x14ac:dyDescent="0.2">
      <c r="G9075" s="401"/>
    </row>
    <row r="9076" spans="7:7" hidden="1" x14ac:dyDescent="0.2">
      <c r="G9076" s="401"/>
    </row>
    <row r="9077" spans="7:7" hidden="1" x14ac:dyDescent="0.2">
      <c r="G9077" s="401"/>
    </row>
    <row r="9078" spans="7:7" hidden="1" x14ac:dyDescent="0.2">
      <c r="G9078" s="401"/>
    </row>
    <row r="9079" spans="7:7" hidden="1" x14ac:dyDescent="0.2">
      <c r="G9079" s="401"/>
    </row>
    <row r="9080" spans="7:7" hidden="1" x14ac:dyDescent="0.2">
      <c r="G9080" s="401"/>
    </row>
    <row r="9081" spans="7:7" hidden="1" x14ac:dyDescent="0.2">
      <c r="G9081" s="401"/>
    </row>
    <row r="9082" spans="7:7" hidden="1" x14ac:dyDescent="0.2">
      <c r="G9082" s="401"/>
    </row>
    <row r="9083" spans="7:7" hidden="1" x14ac:dyDescent="0.2">
      <c r="G9083" s="401"/>
    </row>
    <row r="9084" spans="7:7" hidden="1" x14ac:dyDescent="0.2">
      <c r="G9084" s="401"/>
    </row>
    <row r="9085" spans="7:7" hidden="1" x14ac:dyDescent="0.2">
      <c r="G9085" s="401"/>
    </row>
    <row r="9086" spans="7:7" hidden="1" x14ac:dyDescent="0.2">
      <c r="G9086" s="401"/>
    </row>
    <row r="9087" spans="7:7" hidden="1" x14ac:dyDescent="0.2">
      <c r="G9087" s="401"/>
    </row>
    <row r="9088" spans="7:7" hidden="1" x14ac:dyDescent="0.2">
      <c r="G9088" s="401"/>
    </row>
    <row r="9089" spans="7:7" hidden="1" x14ac:dyDescent="0.2">
      <c r="G9089" s="401"/>
    </row>
    <row r="9090" spans="7:7" hidden="1" x14ac:dyDescent="0.2">
      <c r="G9090" s="401"/>
    </row>
    <row r="9091" spans="7:7" hidden="1" x14ac:dyDescent="0.2">
      <c r="G9091" s="401"/>
    </row>
    <row r="9092" spans="7:7" hidden="1" x14ac:dyDescent="0.2">
      <c r="G9092" s="401"/>
    </row>
    <row r="9093" spans="7:7" hidden="1" x14ac:dyDescent="0.2">
      <c r="G9093" s="401"/>
    </row>
    <row r="9094" spans="7:7" hidden="1" x14ac:dyDescent="0.2">
      <c r="G9094" s="401"/>
    </row>
    <row r="9095" spans="7:7" hidden="1" x14ac:dyDescent="0.2">
      <c r="G9095" s="401"/>
    </row>
    <row r="9096" spans="7:7" hidden="1" x14ac:dyDescent="0.2">
      <c r="G9096" s="401"/>
    </row>
    <row r="9097" spans="7:7" hidden="1" x14ac:dyDescent="0.2">
      <c r="G9097" s="401"/>
    </row>
    <row r="9098" spans="7:7" hidden="1" x14ac:dyDescent="0.2">
      <c r="G9098" s="401"/>
    </row>
    <row r="9099" spans="7:7" hidden="1" x14ac:dyDescent="0.2">
      <c r="G9099" s="401"/>
    </row>
    <row r="9100" spans="7:7" hidden="1" x14ac:dyDescent="0.2">
      <c r="G9100" s="401"/>
    </row>
    <row r="9101" spans="7:7" hidden="1" x14ac:dyDescent="0.2">
      <c r="G9101" s="401"/>
    </row>
    <row r="9102" spans="7:7" hidden="1" x14ac:dyDescent="0.2">
      <c r="G9102" s="401"/>
    </row>
    <row r="9103" spans="7:7" hidden="1" x14ac:dyDescent="0.2">
      <c r="G9103" s="401"/>
    </row>
    <row r="9104" spans="7:7" hidden="1" x14ac:dyDescent="0.2">
      <c r="G9104" s="401"/>
    </row>
    <row r="9105" spans="7:7" hidden="1" x14ac:dyDescent="0.2">
      <c r="G9105" s="401"/>
    </row>
    <row r="9106" spans="7:7" hidden="1" x14ac:dyDescent="0.2">
      <c r="G9106" s="401"/>
    </row>
    <row r="9107" spans="7:7" hidden="1" x14ac:dyDescent="0.2">
      <c r="G9107" s="401"/>
    </row>
    <row r="9108" spans="7:7" hidden="1" x14ac:dyDescent="0.2">
      <c r="G9108" s="401"/>
    </row>
    <row r="9109" spans="7:7" hidden="1" x14ac:dyDescent="0.2">
      <c r="G9109" s="401"/>
    </row>
    <row r="9110" spans="7:7" hidden="1" x14ac:dyDescent="0.2">
      <c r="G9110" s="401"/>
    </row>
    <row r="9111" spans="7:7" hidden="1" x14ac:dyDescent="0.2">
      <c r="G9111" s="401"/>
    </row>
    <row r="9112" spans="7:7" hidden="1" x14ac:dyDescent="0.2">
      <c r="G9112" s="401"/>
    </row>
    <row r="9113" spans="7:7" hidden="1" x14ac:dyDescent="0.2">
      <c r="G9113" s="401"/>
    </row>
    <row r="9114" spans="7:7" hidden="1" x14ac:dyDescent="0.2">
      <c r="G9114" s="401"/>
    </row>
    <row r="9115" spans="7:7" hidden="1" x14ac:dyDescent="0.2">
      <c r="G9115" s="401"/>
    </row>
    <row r="9116" spans="7:7" hidden="1" x14ac:dyDescent="0.2">
      <c r="G9116" s="401"/>
    </row>
    <row r="9117" spans="7:7" hidden="1" x14ac:dyDescent="0.2">
      <c r="G9117" s="401"/>
    </row>
    <row r="9118" spans="7:7" hidden="1" x14ac:dyDescent="0.2">
      <c r="G9118" s="401"/>
    </row>
    <row r="9119" spans="7:7" hidden="1" x14ac:dyDescent="0.2">
      <c r="G9119" s="401"/>
    </row>
    <row r="9120" spans="7:7" hidden="1" x14ac:dyDescent="0.2">
      <c r="G9120" s="401"/>
    </row>
    <row r="9121" spans="7:7" hidden="1" x14ac:dyDescent="0.2">
      <c r="G9121" s="401"/>
    </row>
    <row r="9122" spans="7:7" hidden="1" x14ac:dyDescent="0.2">
      <c r="G9122" s="401"/>
    </row>
    <row r="9123" spans="7:7" hidden="1" x14ac:dyDescent="0.2">
      <c r="G9123" s="401"/>
    </row>
    <row r="9124" spans="7:7" hidden="1" x14ac:dyDescent="0.2">
      <c r="G9124" s="401"/>
    </row>
    <row r="9125" spans="7:7" hidden="1" x14ac:dyDescent="0.2">
      <c r="G9125" s="401"/>
    </row>
    <row r="9126" spans="7:7" hidden="1" x14ac:dyDescent="0.2">
      <c r="G9126" s="401"/>
    </row>
    <row r="9127" spans="7:7" hidden="1" x14ac:dyDescent="0.2">
      <c r="G9127" s="401"/>
    </row>
    <row r="9128" spans="7:7" hidden="1" x14ac:dyDescent="0.2">
      <c r="G9128" s="401"/>
    </row>
    <row r="9129" spans="7:7" hidden="1" x14ac:dyDescent="0.2">
      <c r="G9129" s="401"/>
    </row>
    <row r="9130" spans="7:7" hidden="1" x14ac:dyDescent="0.2">
      <c r="G9130" s="401"/>
    </row>
    <row r="9131" spans="7:7" hidden="1" x14ac:dyDescent="0.2">
      <c r="G9131" s="401"/>
    </row>
    <row r="9132" spans="7:7" hidden="1" x14ac:dyDescent="0.2">
      <c r="G9132" s="401"/>
    </row>
    <row r="9133" spans="7:7" hidden="1" x14ac:dyDescent="0.2">
      <c r="G9133" s="401"/>
    </row>
    <row r="9134" spans="7:7" hidden="1" x14ac:dyDescent="0.2">
      <c r="G9134" s="401"/>
    </row>
    <row r="9135" spans="7:7" hidden="1" x14ac:dyDescent="0.2">
      <c r="G9135" s="401"/>
    </row>
    <row r="9136" spans="7:7" hidden="1" x14ac:dyDescent="0.2">
      <c r="G9136" s="401"/>
    </row>
    <row r="9137" spans="7:7" hidden="1" x14ac:dyDescent="0.2">
      <c r="G9137" s="401"/>
    </row>
    <row r="9138" spans="7:7" hidden="1" x14ac:dyDescent="0.2">
      <c r="G9138" s="401"/>
    </row>
    <row r="9139" spans="7:7" hidden="1" x14ac:dyDescent="0.2">
      <c r="G9139" s="401"/>
    </row>
    <row r="9140" spans="7:7" hidden="1" x14ac:dyDescent="0.2">
      <c r="G9140" s="401"/>
    </row>
    <row r="9141" spans="7:7" hidden="1" x14ac:dyDescent="0.2">
      <c r="G9141" s="401"/>
    </row>
    <row r="9142" spans="7:7" hidden="1" x14ac:dyDescent="0.2">
      <c r="G9142" s="401"/>
    </row>
    <row r="9143" spans="7:7" hidden="1" x14ac:dyDescent="0.2">
      <c r="G9143" s="401"/>
    </row>
    <row r="9144" spans="7:7" hidden="1" x14ac:dyDescent="0.2">
      <c r="G9144" s="401"/>
    </row>
    <row r="9145" spans="7:7" hidden="1" x14ac:dyDescent="0.2">
      <c r="G9145" s="401"/>
    </row>
    <row r="9146" spans="7:7" hidden="1" x14ac:dyDescent="0.2">
      <c r="G9146" s="401"/>
    </row>
    <row r="9147" spans="7:7" hidden="1" x14ac:dyDescent="0.2">
      <c r="G9147" s="401"/>
    </row>
    <row r="9148" spans="7:7" hidden="1" x14ac:dyDescent="0.2">
      <c r="G9148" s="401"/>
    </row>
    <row r="9149" spans="7:7" hidden="1" x14ac:dyDescent="0.2">
      <c r="G9149" s="401"/>
    </row>
    <row r="9150" spans="7:7" hidden="1" x14ac:dyDescent="0.2">
      <c r="G9150" s="401"/>
    </row>
    <row r="9151" spans="7:7" hidden="1" x14ac:dyDescent="0.2">
      <c r="G9151" s="401"/>
    </row>
    <row r="9152" spans="7:7" hidden="1" x14ac:dyDescent="0.2">
      <c r="G9152" s="401"/>
    </row>
    <row r="9153" spans="7:7" hidden="1" x14ac:dyDescent="0.2">
      <c r="G9153" s="401"/>
    </row>
    <row r="9154" spans="7:7" hidden="1" x14ac:dyDescent="0.2">
      <c r="G9154" s="401"/>
    </row>
    <row r="9155" spans="7:7" hidden="1" x14ac:dyDescent="0.2">
      <c r="G9155" s="401"/>
    </row>
    <row r="9156" spans="7:7" hidden="1" x14ac:dyDescent="0.2">
      <c r="G9156" s="401"/>
    </row>
    <row r="9157" spans="7:7" hidden="1" x14ac:dyDescent="0.2">
      <c r="G9157" s="401"/>
    </row>
    <row r="9158" spans="7:7" hidden="1" x14ac:dyDescent="0.2">
      <c r="G9158" s="401"/>
    </row>
    <row r="9159" spans="7:7" hidden="1" x14ac:dyDescent="0.2">
      <c r="G9159" s="401"/>
    </row>
    <row r="9160" spans="7:7" hidden="1" x14ac:dyDescent="0.2">
      <c r="G9160" s="401"/>
    </row>
    <row r="9161" spans="7:7" hidden="1" x14ac:dyDescent="0.2">
      <c r="G9161" s="401"/>
    </row>
    <row r="9162" spans="7:7" hidden="1" x14ac:dyDescent="0.2">
      <c r="G9162" s="401"/>
    </row>
    <row r="9163" spans="7:7" hidden="1" x14ac:dyDescent="0.2">
      <c r="G9163" s="401"/>
    </row>
    <row r="9164" spans="7:7" hidden="1" x14ac:dyDescent="0.2">
      <c r="G9164" s="401"/>
    </row>
    <row r="9165" spans="7:7" hidden="1" x14ac:dyDescent="0.2">
      <c r="G9165" s="401"/>
    </row>
    <row r="9166" spans="7:7" hidden="1" x14ac:dyDescent="0.2">
      <c r="G9166" s="401"/>
    </row>
    <row r="9167" spans="7:7" hidden="1" x14ac:dyDescent="0.2">
      <c r="G9167" s="401"/>
    </row>
    <row r="9168" spans="7:7" hidden="1" x14ac:dyDescent="0.2">
      <c r="G9168" s="401"/>
    </row>
    <row r="9169" spans="7:7" hidden="1" x14ac:dyDescent="0.2">
      <c r="G9169" s="401"/>
    </row>
    <row r="9170" spans="7:7" hidden="1" x14ac:dyDescent="0.2">
      <c r="G9170" s="401"/>
    </row>
    <row r="9171" spans="7:7" hidden="1" x14ac:dyDescent="0.2">
      <c r="G9171" s="401"/>
    </row>
    <row r="9172" spans="7:7" hidden="1" x14ac:dyDescent="0.2">
      <c r="G9172" s="401"/>
    </row>
    <row r="9173" spans="7:7" hidden="1" x14ac:dyDescent="0.2">
      <c r="G9173" s="401"/>
    </row>
    <row r="9174" spans="7:7" hidden="1" x14ac:dyDescent="0.2">
      <c r="G9174" s="401"/>
    </row>
    <row r="9175" spans="7:7" hidden="1" x14ac:dyDescent="0.2">
      <c r="G9175" s="401"/>
    </row>
    <row r="9176" spans="7:7" hidden="1" x14ac:dyDescent="0.2">
      <c r="G9176" s="401"/>
    </row>
    <row r="9177" spans="7:7" hidden="1" x14ac:dyDescent="0.2">
      <c r="G9177" s="401"/>
    </row>
    <row r="9178" spans="7:7" hidden="1" x14ac:dyDescent="0.2">
      <c r="G9178" s="401"/>
    </row>
    <row r="9179" spans="7:7" hidden="1" x14ac:dyDescent="0.2">
      <c r="G9179" s="401"/>
    </row>
    <row r="9180" spans="7:7" hidden="1" x14ac:dyDescent="0.2">
      <c r="G9180" s="401"/>
    </row>
    <row r="9181" spans="7:7" hidden="1" x14ac:dyDescent="0.2">
      <c r="G9181" s="401"/>
    </row>
    <row r="9182" spans="7:7" hidden="1" x14ac:dyDescent="0.2">
      <c r="G9182" s="401"/>
    </row>
    <row r="9183" spans="7:7" hidden="1" x14ac:dyDescent="0.2">
      <c r="G9183" s="401"/>
    </row>
    <row r="9184" spans="7:7" hidden="1" x14ac:dyDescent="0.2">
      <c r="G9184" s="401"/>
    </row>
    <row r="9185" spans="7:7" hidden="1" x14ac:dyDescent="0.2">
      <c r="G9185" s="401"/>
    </row>
    <row r="9186" spans="7:7" hidden="1" x14ac:dyDescent="0.2">
      <c r="G9186" s="401"/>
    </row>
    <row r="9187" spans="7:7" hidden="1" x14ac:dyDescent="0.2">
      <c r="G9187" s="401"/>
    </row>
    <row r="9188" spans="7:7" hidden="1" x14ac:dyDescent="0.2">
      <c r="G9188" s="401"/>
    </row>
    <row r="9189" spans="7:7" hidden="1" x14ac:dyDescent="0.2">
      <c r="G9189" s="401"/>
    </row>
    <row r="9190" spans="7:7" hidden="1" x14ac:dyDescent="0.2">
      <c r="G9190" s="401"/>
    </row>
    <row r="9191" spans="7:7" hidden="1" x14ac:dyDescent="0.2">
      <c r="G9191" s="401"/>
    </row>
    <row r="9192" spans="7:7" hidden="1" x14ac:dyDescent="0.2">
      <c r="G9192" s="401"/>
    </row>
    <row r="9193" spans="7:7" hidden="1" x14ac:dyDescent="0.2">
      <c r="G9193" s="401"/>
    </row>
    <row r="9194" spans="7:7" hidden="1" x14ac:dyDescent="0.2">
      <c r="G9194" s="401"/>
    </row>
    <row r="9195" spans="7:7" hidden="1" x14ac:dyDescent="0.2">
      <c r="G9195" s="401"/>
    </row>
    <row r="9196" spans="7:7" hidden="1" x14ac:dyDescent="0.2">
      <c r="G9196" s="401"/>
    </row>
    <row r="9197" spans="7:7" hidden="1" x14ac:dyDescent="0.2">
      <c r="G9197" s="401"/>
    </row>
    <row r="9198" spans="7:7" hidden="1" x14ac:dyDescent="0.2">
      <c r="G9198" s="401"/>
    </row>
    <row r="9199" spans="7:7" hidden="1" x14ac:dyDescent="0.2">
      <c r="G9199" s="401"/>
    </row>
    <row r="9200" spans="7:7" hidden="1" x14ac:dyDescent="0.2">
      <c r="G9200" s="401"/>
    </row>
    <row r="9201" spans="7:7" hidden="1" x14ac:dyDescent="0.2">
      <c r="G9201" s="401"/>
    </row>
    <row r="9202" spans="7:7" hidden="1" x14ac:dyDescent="0.2">
      <c r="G9202" s="401"/>
    </row>
    <row r="9203" spans="7:7" hidden="1" x14ac:dyDescent="0.2">
      <c r="G9203" s="401"/>
    </row>
    <row r="9204" spans="7:7" hidden="1" x14ac:dyDescent="0.2">
      <c r="G9204" s="401"/>
    </row>
    <row r="9205" spans="7:7" hidden="1" x14ac:dyDescent="0.2">
      <c r="G9205" s="401"/>
    </row>
    <row r="9206" spans="7:7" hidden="1" x14ac:dyDescent="0.2">
      <c r="G9206" s="401"/>
    </row>
    <row r="9207" spans="7:7" hidden="1" x14ac:dyDescent="0.2">
      <c r="G9207" s="401"/>
    </row>
    <row r="9208" spans="7:7" hidden="1" x14ac:dyDescent="0.2">
      <c r="G9208" s="401"/>
    </row>
    <row r="9209" spans="7:7" hidden="1" x14ac:dyDescent="0.2">
      <c r="G9209" s="401"/>
    </row>
    <row r="9210" spans="7:7" hidden="1" x14ac:dyDescent="0.2">
      <c r="G9210" s="401"/>
    </row>
    <row r="9211" spans="7:7" hidden="1" x14ac:dyDescent="0.2">
      <c r="G9211" s="401"/>
    </row>
    <row r="9212" spans="7:7" hidden="1" x14ac:dyDescent="0.2">
      <c r="G9212" s="401"/>
    </row>
    <row r="9213" spans="7:7" hidden="1" x14ac:dyDescent="0.2">
      <c r="G9213" s="401"/>
    </row>
    <row r="9214" spans="7:7" hidden="1" x14ac:dyDescent="0.2">
      <c r="G9214" s="401"/>
    </row>
    <row r="9215" spans="7:7" hidden="1" x14ac:dyDescent="0.2">
      <c r="G9215" s="401"/>
    </row>
    <row r="9216" spans="7:7" hidden="1" x14ac:dyDescent="0.2">
      <c r="G9216" s="401"/>
    </row>
    <row r="9217" spans="7:7" hidden="1" x14ac:dyDescent="0.2">
      <c r="G9217" s="401"/>
    </row>
    <row r="9218" spans="7:7" hidden="1" x14ac:dyDescent="0.2">
      <c r="G9218" s="401"/>
    </row>
    <row r="9219" spans="7:7" hidden="1" x14ac:dyDescent="0.2">
      <c r="G9219" s="401"/>
    </row>
    <row r="9220" spans="7:7" hidden="1" x14ac:dyDescent="0.2">
      <c r="G9220" s="401"/>
    </row>
    <row r="9221" spans="7:7" hidden="1" x14ac:dyDescent="0.2">
      <c r="G9221" s="401"/>
    </row>
    <row r="9222" spans="7:7" hidden="1" x14ac:dyDescent="0.2">
      <c r="G9222" s="401"/>
    </row>
    <row r="9223" spans="7:7" hidden="1" x14ac:dyDescent="0.2">
      <c r="G9223" s="401"/>
    </row>
    <row r="9224" spans="7:7" hidden="1" x14ac:dyDescent="0.2">
      <c r="G9224" s="401"/>
    </row>
    <row r="9225" spans="7:7" hidden="1" x14ac:dyDescent="0.2">
      <c r="G9225" s="401"/>
    </row>
    <row r="9226" spans="7:7" hidden="1" x14ac:dyDescent="0.2">
      <c r="G9226" s="401"/>
    </row>
    <row r="9227" spans="7:7" hidden="1" x14ac:dyDescent="0.2">
      <c r="G9227" s="401"/>
    </row>
    <row r="9228" spans="7:7" hidden="1" x14ac:dyDescent="0.2">
      <c r="G9228" s="401"/>
    </row>
    <row r="9229" spans="7:7" hidden="1" x14ac:dyDescent="0.2">
      <c r="G9229" s="401"/>
    </row>
    <row r="9230" spans="7:7" hidden="1" x14ac:dyDescent="0.2">
      <c r="G9230" s="401"/>
    </row>
    <row r="9231" spans="7:7" hidden="1" x14ac:dyDescent="0.2">
      <c r="G9231" s="401"/>
    </row>
    <row r="9232" spans="7:7" hidden="1" x14ac:dyDescent="0.2">
      <c r="G9232" s="401"/>
    </row>
    <row r="9233" spans="7:7" hidden="1" x14ac:dyDescent="0.2">
      <c r="G9233" s="401"/>
    </row>
    <row r="9234" spans="7:7" hidden="1" x14ac:dyDescent="0.2">
      <c r="G9234" s="401"/>
    </row>
    <row r="9235" spans="7:7" hidden="1" x14ac:dyDescent="0.2">
      <c r="G9235" s="401"/>
    </row>
    <row r="9236" spans="7:7" hidden="1" x14ac:dyDescent="0.2">
      <c r="G9236" s="401"/>
    </row>
    <row r="9237" spans="7:7" hidden="1" x14ac:dyDescent="0.2">
      <c r="G9237" s="401"/>
    </row>
    <row r="9238" spans="7:7" hidden="1" x14ac:dyDescent="0.2">
      <c r="G9238" s="401"/>
    </row>
    <row r="9239" spans="7:7" hidden="1" x14ac:dyDescent="0.2">
      <c r="G9239" s="401"/>
    </row>
    <row r="9240" spans="7:7" hidden="1" x14ac:dyDescent="0.2">
      <c r="G9240" s="401"/>
    </row>
    <row r="9241" spans="7:7" hidden="1" x14ac:dyDescent="0.2">
      <c r="G9241" s="401"/>
    </row>
    <row r="9242" spans="7:7" hidden="1" x14ac:dyDescent="0.2">
      <c r="G9242" s="401"/>
    </row>
    <row r="9243" spans="7:7" hidden="1" x14ac:dyDescent="0.2">
      <c r="G9243" s="401"/>
    </row>
    <row r="9244" spans="7:7" hidden="1" x14ac:dyDescent="0.2">
      <c r="G9244" s="401"/>
    </row>
    <row r="9245" spans="7:7" hidden="1" x14ac:dyDescent="0.2">
      <c r="G9245" s="401"/>
    </row>
    <row r="9246" spans="7:7" hidden="1" x14ac:dyDescent="0.2">
      <c r="G9246" s="401"/>
    </row>
    <row r="9247" spans="7:7" hidden="1" x14ac:dyDescent="0.2">
      <c r="G9247" s="401"/>
    </row>
    <row r="9248" spans="7:7" hidden="1" x14ac:dyDescent="0.2">
      <c r="G9248" s="401"/>
    </row>
    <row r="9249" spans="7:7" hidden="1" x14ac:dyDescent="0.2">
      <c r="G9249" s="401"/>
    </row>
    <row r="9250" spans="7:7" hidden="1" x14ac:dyDescent="0.2">
      <c r="G9250" s="401"/>
    </row>
    <row r="9251" spans="7:7" hidden="1" x14ac:dyDescent="0.2">
      <c r="G9251" s="401"/>
    </row>
    <row r="9252" spans="7:7" hidden="1" x14ac:dyDescent="0.2">
      <c r="G9252" s="401"/>
    </row>
    <row r="9253" spans="7:7" hidden="1" x14ac:dyDescent="0.2">
      <c r="G9253" s="401"/>
    </row>
    <row r="9254" spans="7:7" hidden="1" x14ac:dyDescent="0.2">
      <c r="G9254" s="401"/>
    </row>
    <row r="9255" spans="7:7" hidden="1" x14ac:dyDescent="0.2">
      <c r="G9255" s="401"/>
    </row>
    <row r="9256" spans="7:7" hidden="1" x14ac:dyDescent="0.2">
      <c r="G9256" s="401"/>
    </row>
    <row r="9257" spans="7:7" hidden="1" x14ac:dyDescent="0.2">
      <c r="G9257" s="401"/>
    </row>
    <row r="9258" spans="7:7" hidden="1" x14ac:dyDescent="0.2">
      <c r="G9258" s="401"/>
    </row>
    <row r="9259" spans="7:7" hidden="1" x14ac:dyDescent="0.2">
      <c r="G9259" s="401"/>
    </row>
    <row r="9260" spans="7:7" hidden="1" x14ac:dyDescent="0.2">
      <c r="G9260" s="401"/>
    </row>
    <row r="9261" spans="7:7" hidden="1" x14ac:dyDescent="0.2">
      <c r="G9261" s="401"/>
    </row>
    <row r="9262" spans="7:7" hidden="1" x14ac:dyDescent="0.2">
      <c r="G9262" s="401"/>
    </row>
    <row r="9263" spans="7:7" hidden="1" x14ac:dyDescent="0.2">
      <c r="G9263" s="401"/>
    </row>
    <row r="9264" spans="7:7" hidden="1" x14ac:dyDescent="0.2">
      <c r="G9264" s="401"/>
    </row>
    <row r="9265" spans="7:7" hidden="1" x14ac:dyDescent="0.2">
      <c r="G9265" s="401"/>
    </row>
    <row r="9266" spans="7:7" hidden="1" x14ac:dyDescent="0.2">
      <c r="G9266" s="401"/>
    </row>
    <row r="9267" spans="7:7" hidden="1" x14ac:dyDescent="0.2">
      <c r="G9267" s="401"/>
    </row>
    <row r="9268" spans="7:7" hidden="1" x14ac:dyDescent="0.2">
      <c r="G9268" s="401"/>
    </row>
    <row r="9269" spans="7:7" hidden="1" x14ac:dyDescent="0.2">
      <c r="G9269" s="401"/>
    </row>
    <row r="9270" spans="7:7" hidden="1" x14ac:dyDescent="0.2">
      <c r="G9270" s="401"/>
    </row>
    <row r="9271" spans="7:7" hidden="1" x14ac:dyDescent="0.2">
      <c r="G9271" s="401"/>
    </row>
    <row r="9272" spans="7:7" hidden="1" x14ac:dyDescent="0.2">
      <c r="G9272" s="401"/>
    </row>
    <row r="9273" spans="7:7" hidden="1" x14ac:dyDescent="0.2">
      <c r="G9273" s="401"/>
    </row>
    <row r="9274" spans="7:7" hidden="1" x14ac:dyDescent="0.2">
      <c r="G9274" s="401"/>
    </row>
    <row r="9275" spans="7:7" hidden="1" x14ac:dyDescent="0.2">
      <c r="G9275" s="401"/>
    </row>
    <row r="9276" spans="7:7" hidden="1" x14ac:dyDescent="0.2">
      <c r="G9276" s="401"/>
    </row>
    <row r="9277" spans="7:7" hidden="1" x14ac:dyDescent="0.2">
      <c r="G9277" s="401"/>
    </row>
    <row r="9278" spans="7:7" hidden="1" x14ac:dyDescent="0.2">
      <c r="G9278" s="401"/>
    </row>
    <row r="9279" spans="7:7" hidden="1" x14ac:dyDescent="0.2">
      <c r="G9279" s="401"/>
    </row>
    <row r="9280" spans="7:7" hidden="1" x14ac:dyDescent="0.2">
      <c r="G9280" s="401"/>
    </row>
    <row r="9281" spans="7:7" hidden="1" x14ac:dyDescent="0.2">
      <c r="G9281" s="401"/>
    </row>
    <row r="9282" spans="7:7" hidden="1" x14ac:dyDescent="0.2">
      <c r="G9282" s="401"/>
    </row>
    <row r="9283" spans="7:7" hidden="1" x14ac:dyDescent="0.2">
      <c r="G9283" s="401"/>
    </row>
    <row r="9284" spans="7:7" hidden="1" x14ac:dyDescent="0.2">
      <c r="G9284" s="401"/>
    </row>
    <row r="9285" spans="7:7" hidden="1" x14ac:dyDescent="0.2">
      <c r="G9285" s="401"/>
    </row>
    <row r="9286" spans="7:7" hidden="1" x14ac:dyDescent="0.2">
      <c r="G9286" s="401"/>
    </row>
    <row r="9287" spans="7:7" hidden="1" x14ac:dyDescent="0.2">
      <c r="G9287" s="401"/>
    </row>
    <row r="9288" spans="7:7" hidden="1" x14ac:dyDescent="0.2">
      <c r="G9288" s="401"/>
    </row>
    <row r="9289" spans="7:7" hidden="1" x14ac:dyDescent="0.2">
      <c r="G9289" s="401"/>
    </row>
    <row r="9290" spans="7:7" hidden="1" x14ac:dyDescent="0.2">
      <c r="G9290" s="401"/>
    </row>
    <row r="9291" spans="7:7" hidden="1" x14ac:dyDescent="0.2">
      <c r="G9291" s="401"/>
    </row>
    <row r="9292" spans="7:7" hidden="1" x14ac:dyDescent="0.2">
      <c r="G9292" s="401"/>
    </row>
    <row r="9293" spans="7:7" hidden="1" x14ac:dyDescent="0.2">
      <c r="G9293" s="401"/>
    </row>
    <row r="9294" spans="7:7" hidden="1" x14ac:dyDescent="0.2">
      <c r="G9294" s="401"/>
    </row>
    <row r="9295" spans="7:7" hidden="1" x14ac:dyDescent="0.2">
      <c r="G9295" s="401"/>
    </row>
    <row r="9296" spans="7:7" hidden="1" x14ac:dyDescent="0.2">
      <c r="G9296" s="401"/>
    </row>
    <row r="9297" spans="7:7" hidden="1" x14ac:dyDescent="0.2">
      <c r="G9297" s="401"/>
    </row>
    <row r="9298" spans="7:7" hidden="1" x14ac:dyDescent="0.2">
      <c r="G9298" s="401"/>
    </row>
    <row r="9299" spans="7:7" hidden="1" x14ac:dyDescent="0.2">
      <c r="G9299" s="401"/>
    </row>
    <row r="9300" spans="7:7" hidden="1" x14ac:dyDescent="0.2">
      <c r="G9300" s="401"/>
    </row>
    <row r="9301" spans="7:7" hidden="1" x14ac:dyDescent="0.2">
      <c r="G9301" s="401"/>
    </row>
    <row r="9302" spans="7:7" hidden="1" x14ac:dyDescent="0.2">
      <c r="G9302" s="401"/>
    </row>
    <row r="9303" spans="7:7" hidden="1" x14ac:dyDescent="0.2">
      <c r="G9303" s="401"/>
    </row>
    <row r="9304" spans="7:7" hidden="1" x14ac:dyDescent="0.2">
      <c r="G9304" s="401"/>
    </row>
    <row r="9305" spans="7:7" hidden="1" x14ac:dyDescent="0.2">
      <c r="G9305" s="401"/>
    </row>
    <row r="9306" spans="7:7" hidden="1" x14ac:dyDescent="0.2">
      <c r="G9306" s="401"/>
    </row>
    <row r="9307" spans="7:7" hidden="1" x14ac:dyDescent="0.2">
      <c r="G9307" s="401"/>
    </row>
    <row r="9308" spans="7:7" hidden="1" x14ac:dyDescent="0.2">
      <c r="G9308" s="401"/>
    </row>
    <row r="9309" spans="7:7" hidden="1" x14ac:dyDescent="0.2">
      <c r="G9309" s="401"/>
    </row>
    <row r="9310" spans="7:7" hidden="1" x14ac:dyDescent="0.2">
      <c r="G9310" s="401"/>
    </row>
    <row r="9311" spans="7:7" hidden="1" x14ac:dyDescent="0.2">
      <c r="G9311" s="401"/>
    </row>
    <row r="9312" spans="7:7" hidden="1" x14ac:dyDescent="0.2">
      <c r="G9312" s="401"/>
    </row>
    <row r="9313" spans="7:7" hidden="1" x14ac:dyDescent="0.2">
      <c r="G9313" s="401"/>
    </row>
    <row r="9314" spans="7:7" hidden="1" x14ac:dyDescent="0.2">
      <c r="G9314" s="401"/>
    </row>
    <row r="9315" spans="7:7" hidden="1" x14ac:dyDescent="0.2">
      <c r="G9315" s="401"/>
    </row>
    <row r="9316" spans="7:7" hidden="1" x14ac:dyDescent="0.2">
      <c r="G9316" s="401"/>
    </row>
    <row r="9317" spans="7:7" hidden="1" x14ac:dyDescent="0.2">
      <c r="G9317" s="401"/>
    </row>
    <row r="9318" spans="7:7" hidden="1" x14ac:dyDescent="0.2">
      <c r="G9318" s="401"/>
    </row>
    <row r="9319" spans="7:7" hidden="1" x14ac:dyDescent="0.2">
      <c r="G9319" s="401"/>
    </row>
    <row r="9320" spans="7:7" hidden="1" x14ac:dyDescent="0.2">
      <c r="G9320" s="401"/>
    </row>
    <row r="9321" spans="7:7" hidden="1" x14ac:dyDescent="0.2">
      <c r="G9321" s="401"/>
    </row>
    <row r="9322" spans="7:7" hidden="1" x14ac:dyDescent="0.2">
      <c r="G9322" s="401"/>
    </row>
    <row r="9323" spans="7:7" hidden="1" x14ac:dyDescent="0.2">
      <c r="G9323" s="401"/>
    </row>
    <row r="9324" spans="7:7" hidden="1" x14ac:dyDescent="0.2">
      <c r="G9324" s="401"/>
    </row>
    <row r="9325" spans="7:7" hidden="1" x14ac:dyDescent="0.2">
      <c r="G9325" s="401"/>
    </row>
    <row r="9326" spans="7:7" hidden="1" x14ac:dyDescent="0.2">
      <c r="G9326" s="401"/>
    </row>
    <row r="9327" spans="7:7" hidden="1" x14ac:dyDescent="0.2">
      <c r="G9327" s="401"/>
    </row>
    <row r="9328" spans="7:7" hidden="1" x14ac:dyDescent="0.2">
      <c r="G9328" s="401"/>
    </row>
    <row r="9329" spans="7:7" hidden="1" x14ac:dyDescent="0.2">
      <c r="G9329" s="401"/>
    </row>
    <row r="9330" spans="7:7" hidden="1" x14ac:dyDescent="0.2">
      <c r="G9330" s="401"/>
    </row>
    <row r="9331" spans="7:7" hidden="1" x14ac:dyDescent="0.2">
      <c r="G9331" s="401"/>
    </row>
    <row r="9332" spans="7:7" hidden="1" x14ac:dyDescent="0.2">
      <c r="G9332" s="401"/>
    </row>
    <row r="9333" spans="7:7" hidden="1" x14ac:dyDescent="0.2">
      <c r="G9333" s="401"/>
    </row>
    <row r="9334" spans="7:7" hidden="1" x14ac:dyDescent="0.2">
      <c r="G9334" s="401"/>
    </row>
    <row r="9335" spans="7:7" hidden="1" x14ac:dyDescent="0.2">
      <c r="G9335" s="401"/>
    </row>
    <row r="9336" spans="7:7" hidden="1" x14ac:dyDescent="0.2">
      <c r="G9336" s="401"/>
    </row>
    <row r="9337" spans="7:7" hidden="1" x14ac:dyDescent="0.2">
      <c r="G9337" s="401"/>
    </row>
    <row r="9338" spans="7:7" hidden="1" x14ac:dyDescent="0.2">
      <c r="G9338" s="401"/>
    </row>
    <row r="9339" spans="7:7" hidden="1" x14ac:dyDescent="0.2">
      <c r="G9339" s="401"/>
    </row>
    <row r="9340" spans="7:7" hidden="1" x14ac:dyDescent="0.2">
      <c r="G9340" s="401"/>
    </row>
    <row r="9341" spans="7:7" hidden="1" x14ac:dyDescent="0.2">
      <c r="G9341" s="401"/>
    </row>
    <row r="9342" spans="7:7" hidden="1" x14ac:dyDescent="0.2">
      <c r="G9342" s="401"/>
    </row>
    <row r="9343" spans="7:7" hidden="1" x14ac:dyDescent="0.2">
      <c r="G9343" s="401"/>
    </row>
    <row r="9344" spans="7:7" hidden="1" x14ac:dyDescent="0.2">
      <c r="G9344" s="401"/>
    </row>
    <row r="9345" spans="7:7" hidden="1" x14ac:dyDescent="0.2">
      <c r="G9345" s="401"/>
    </row>
    <row r="9346" spans="7:7" hidden="1" x14ac:dyDescent="0.2">
      <c r="G9346" s="401"/>
    </row>
    <row r="9347" spans="7:7" hidden="1" x14ac:dyDescent="0.2">
      <c r="G9347" s="401"/>
    </row>
    <row r="9348" spans="7:7" hidden="1" x14ac:dyDescent="0.2">
      <c r="G9348" s="401"/>
    </row>
    <row r="9349" spans="7:7" hidden="1" x14ac:dyDescent="0.2">
      <c r="G9349" s="401"/>
    </row>
    <row r="9350" spans="7:7" hidden="1" x14ac:dyDescent="0.2">
      <c r="G9350" s="401"/>
    </row>
    <row r="9351" spans="7:7" hidden="1" x14ac:dyDescent="0.2">
      <c r="G9351" s="401"/>
    </row>
    <row r="9352" spans="7:7" hidden="1" x14ac:dyDescent="0.2">
      <c r="G9352" s="401"/>
    </row>
    <row r="9353" spans="7:7" hidden="1" x14ac:dyDescent="0.2">
      <c r="G9353" s="401"/>
    </row>
    <row r="9354" spans="7:7" hidden="1" x14ac:dyDescent="0.2">
      <c r="G9354" s="401"/>
    </row>
    <row r="9355" spans="7:7" hidden="1" x14ac:dyDescent="0.2">
      <c r="G9355" s="401"/>
    </row>
    <row r="9356" spans="7:7" hidden="1" x14ac:dyDescent="0.2">
      <c r="G9356" s="401"/>
    </row>
    <row r="9357" spans="7:7" hidden="1" x14ac:dyDescent="0.2">
      <c r="G9357" s="401"/>
    </row>
    <row r="9358" spans="7:7" hidden="1" x14ac:dyDescent="0.2">
      <c r="G9358" s="401"/>
    </row>
    <row r="9359" spans="7:7" hidden="1" x14ac:dyDescent="0.2">
      <c r="G9359" s="401"/>
    </row>
    <row r="9360" spans="7:7" hidden="1" x14ac:dyDescent="0.2">
      <c r="G9360" s="401"/>
    </row>
    <row r="9361" spans="7:7" hidden="1" x14ac:dyDescent="0.2">
      <c r="G9361" s="401"/>
    </row>
    <row r="9362" spans="7:7" hidden="1" x14ac:dyDescent="0.2">
      <c r="G9362" s="401"/>
    </row>
    <row r="9363" spans="7:7" hidden="1" x14ac:dyDescent="0.2">
      <c r="G9363" s="401"/>
    </row>
    <row r="9364" spans="7:7" hidden="1" x14ac:dyDescent="0.2">
      <c r="G9364" s="401"/>
    </row>
    <row r="9365" spans="7:7" hidden="1" x14ac:dyDescent="0.2">
      <c r="G9365" s="401"/>
    </row>
    <row r="9366" spans="7:7" hidden="1" x14ac:dyDescent="0.2">
      <c r="G9366" s="401"/>
    </row>
    <row r="9367" spans="7:7" hidden="1" x14ac:dyDescent="0.2">
      <c r="G9367" s="401"/>
    </row>
    <row r="9368" spans="7:7" hidden="1" x14ac:dyDescent="0.2">
      <c r="G9368" s="401"/>
    </row>
    <row r="9369" spans="7:7" hidden="1" x14ac:dyDescent="0.2">
      <c r="G9369" s="401"/>
    </row>
    <row r="9370" spans="7:7" hidden="1" x14ac:dyDescent="0.2">
      <c r="G9370" s="401"/>
    </row>
    <row r="9371" spans="7:7" hidden="1" x14ac:dyDescent="0.2">
      <c r="G9371" s="401"/>
    </row>
    <row r="9372" spans="7:7" hidden="1" x14ac:dyDescent="0.2">
      <c r="G9372" s="401"/>
    </row>
    <row r="9373" spans="7:7" hidden="1" x14ac:dyDescent="0.2">
      <c r="G9373" s="401"/>
    </row>
    <row r="9374" spans="7:7" hidden="1" x14ac:dyDescent="0.2">
      <c r="G9374" s="401"/>
    </row>
    <row r="9375" spans="7:7" hidden="1" x14ac:dyDescent="0.2">
      <c r="G9375" s="401"/>
    </row>
    <row r="9376" spans="7:7" hidden="1" x14ac:dyDescent="0.2">
      <c r="G9376" s="401"/>
    </row>
    <row r="9377" spans="7:7" hidden="1" x14ac:dyDescent="0.2">
      <c r="G9377" s="401"/>
    </row>
    <row r="9378" spans="7:7" hidden="1" x14ac:dyDescent="0.2">
      <c r="G9378" s="401"/>
    </row>
    <row r="9379" spans="7:7" hidden="1" x14ac:dyDescent="0.2">
      <c r="G9379" s="401"/>
    </row>
    <row r="9380" spans="7:7" hidden="1" x14ac:dyDescent="0.2">
      <c r="G9380" s="401"/>
    </row>
    <row r="9381" spans="7:7" hidden="1" x14ac:dyDescent="0.2">
      <c r="G9381" s="401"/>
    </row>
    <row r="9382" spans="7:7" hidden="1" x14ac:dyDescent="0.2">
      <c r="G9382" s="401"/>
    </row>
    <row r="9383" spans="7:7" hidden="1" x14ac:dyDescent="0.2">
      <c r="G9383" s="401"/>
    </row>
    <row r="9384" spans="7:7" hidden="1" x14ac:dyDescent="0.2">
      <c r="G9384" s="401"/>
    </row>
    <row r="9385" spans="7:7" hidden="1" x14ac:dyDescent="0.2">
      <c r="G9385" s="401"/>
    </row>
    <row r="9386" spans="7:7" hidden="1" x14ac:dyDescent="0.2">
      <c r="G9386" s="401"/>
    </row>
    <row r="9387" spans="7:7" hidden="1" x14ac:dyDescent="0.2">
      <c r="G9387" s="401"/>
    </row>
    <row r="9388" spans="7:7" hidden="1" x14ac:dyDescent="0.2">
      <c r="G9388" s="401"/>
    </row>
    <row r="9389" spans="7:7" hidden="1" x14ac:dyDescent="0.2">
      <c r="G9389" s="401"/>
    </row>
    <row r="9390" spans="7:7" hidden="1" x14ac:dyDescent="0.2">
      <c r="G9390" s="401"/>
    </row>
    <row r="9391" spans="7:7" hidden="1" x14ac:dyDescent="0.2">
      <c r="G9391" s="401"/>
    </row>
    <row r="9392" spans="7:7" hidden="1" x14ac:dyDescent="0.2">
      <c r="G9392" s="401"/>
    </row>
    <row r="9393" spans="7:7" hidden="1" x14ac:dyDescent="0.2">
      <c r="G9393" s="401"/>
    </row>
    <row r="9394" spans="7:7" hidden="1" x14ac:dyDescent="0.2">
      <c r="G9394" s="401"/>
    </row>
    <row r="9395" spans="7:7" hidden="1" x14ac:dyDescent="0.2">
      <c r="G9395" s="401"/>
    </row>
    <row r="9396" spans="7:7" hidden="1" x14ac:dyDescent="0.2">
      <c r="G9396" s="401"/>
    </row>
    <row r="9397" spans="7:7" hidden="1" x14ac:dyDescent="0.2">
      <c r="G9397" s="401"/>
    </row>
    <row r="9398" spans="7:7" hidden="1" x14ac:dyDescent="0.2">
      <c r="G9398" s="401"/>
    </row>
    <row r="9399" spans="7:7" hidden="1" x14ac:dyDescent="0.2">
      <c r="G9399" s="401"/>
    </row>
    <row r="9400" spans="7:7" hidden="1" x14ac:dyDescent="0.2">
      <c r="G9400" s="401"/>
    </row>
    <row r="9401" spans="7:7" hidden="1" x14ac:dyDescent="0.2">
      <c r="G9401" s="401"/>
    </row>
    <row r="9402" spans="7:7" hidden="1" x14ac:dyDescent="0.2">
      <c r="G9402" s="401"/>
    </row>
    <row r="9403" spans="7:7" hidden="1" x14ac:dyDescent="0.2">
      <c r="G9403" s="401"/>
    </row>
    <row r="9404" spans="7:7" hidden="1" x14ac:dyDescent="0.2">
      <c r="G9404" s="401"/>
    </row>
    <row r="9405" spans="7:7" hidden="1" x14ac:dyDescent="0.2">
      <c r="G9405" s="401"/>
    </row>
    <row r="9406" spans="7:7" hidden="1" x14ac:dyDescent="0.2">
      <c r="G9406" s="401"/>
    </row>
    <row r="9407" spans="7:7" hidden="1" x14ac:dyDescent="0.2">
      <c r="G9407" s="401"/>
    </row>
    <row r="9408" spans="7:7" hidden="1" x14ac:dyDescent="0.2">
      <c r="G9408" s="401"/>
    </row>
    <row r="9409" spans="7:7" hidden="1" x14ac:dyDescent="0.2">
      <c r="G9409" s="401"/>
    </row>
    <row r="9410" spans="7:7" hidden="1" x14ac:dyDescent="0.2">
      <c r="G9410" s="401"/>
    </row>
    <row r="9411" spans="7:7" hidden="1" x14ac:dyDescent="0.2">
      <c r="G9411" s="401"/>
    </row>
    <row r="9412" spans="7:7" hidden="1" x14ac:dyDescent="0.2">
      <c r="G9412" s="401"/>
    </row>
    <row r="9413" spans="7:7" hidden="1" x14ac:dyDescent="0.2">
      <c r="G9413" s="401"/>
    </row>
    <row r="9414" spans="7:7" hidden="1" x14ac:dyDescent="0.2">
      <c r="G9414" s="401"/>
    </row>
    <row r="9415" spans="7:7" hidden="1" x14ac:dyDescent="0.2">
      <c r="G9415" s="401"/>
    </row>
    <row r="9416" spans="7:7" hidden="1" x14ac:dyDescent="0.2">
      <c r="G9416" s="401"/>
    </row>
    <row r="9417" spans="7:7" hidden="1" x14ac:dyDescent="0.2">
      <c r="G9417" s="401"/>
    </row>
    <row r="9418" spans="7:7" hidden="1" x14ac:dyDescent="0.2">
      <c r="G9418" s="401"/>
    </row>
    <row r="9419" spans="7:7" hidden="1" x14ac:dyDescent="0.2">
      <c r="G9419" s="401"/>
    </row>
    <row r="9420" spans="7:7" hidden="1" x14ac:dyDescent="0.2">
      <c r="G9420" s="401"/>
    </row>
    <row r="9421" spans="7:7" hidden="1" x14ac:dyDescent="0.2">
      <c r="G9421" s="401"/>
    </row>
    <row r="9422" spans="7:7" hidden="1" x14ac:dyDescent="0.2">
      <c r="G9422" s="401"/>
    </row>
    <row r="9423" spans="7:7" hidden="1" x14ac:dyDescent="0.2">
      <c r="G9423" s="401"/>
    </row>
    <row r="9424" spans="7:7" hidden="1" x14ac:dyDescent="0.2">
      <c r="G9424" s="401"/>
    </row>
    <row r="9425" spans="7:7" hidden="1" x14ac:dyDescent="0.2">
      <c r="G9425" s="401"/>
    </row>
    <row r="9426" spans="7:7" hidden="1" x14ac:dyDescent="0.2">
      <c r="G9426" s="401"/>
    </row>
    <row r="9427" spans="7:7" hidden="1" x14ac:dyDescent="0.2">
      <c r="G9427" s="401"/>
    </row>
    <row r="9428" spans="7:7" hidden="1" x14ac:dyDescent="0.2">
      <c r="G9428" s="401"/>
    </row>
    <row r="9429" spans="7:7" hidden="1" x14ac:dyDescent="0.2">
      <c r="G9429" s="401"/>
    </row>
    <row r="9430" spans="7:7" hidden="1" x14ac:dyDescent="0.2">
      <c r="G9430" s="401"/>
    </row>
    <row r="9431" spans="7:7" hidden="1" x14ac:dyDescent="0.2">
      <c r="G9431" s="401"/>
    </row>
    <row r="9432" spans="7:7" hidden="1" x14ac:dyDescent="0.2">
      <c r="G9432" s="401"/>
    </row>
    <row r="9433" spans="7:7" hidden="1" x14ac:dyDescent="0.2">
      <c r="G9433" s="401"/>
    </row>
    <row r="9434" spans="7:7" hidden="1" x14ac:dyDescent="0.2">
      <c r="G9434" s="401"/>
    </row>
    <row r="9435" spans="7:7" hidden="1" x14ac:dyDescent="0.2">
      <c r="G9435" s="401"/>
    </row>
    <row r="9436" spans="7:7" hidden="1" x14ac:dyDescent="0.2">
      <c r="G9436" s="401"/>
    </row>
    <row r="9437" spans="7:7" hidden="1" x14ac:dyDescent="0.2">
      <c r="G9437" s="401"/>
    </row>
    <row r="9438" spans="7:7" hidden="1" x14ac:dyDescent="0.2">
      <c r="G9438" s="401"/>
    </row>
    <row r="9439" spans="7:7" hidden="1" x14ac:dyDescent="0.2">
      <c r="G9439" s="401"/>
    </row>
    <row r="9440" spans="7:7" hidden="1" x14ac:dyDescent="0.2">
      <c r="G9440" s="401"/>
    </row>
    <row r="9441" spans="7:7" hidden="1" x14ac:dyDescent="0.2">
      <c r="G9441" s="401"/>
    </row>
    <row r="9442" spans="7:7" hidden="1" x14ac:dyDescent="0.2">
      <c r="G9442" s="401"/>
    </row>
    <row r="9443" spans="7:7" hidden="1" x14ac:dyDescent="0.2">
      <c r="G9443" s="401"/>
    </row>
    <row r="9444" spans="7:7" hidden="1" x14ac:dyDescent="0.2">
      <c r="G9444" s="401"/>
    </row>
    <row r="9445" spans="7:7" hidden="1" x14ac:dyDescent="0.2">
      <c r="G9445" s="401"/>
    </row>
    <row r="9446" spans="7:7" hidden="1" x14ac:dyDescent="0.2">
      <c r="G9446" s="401"/>
    </row>
    <row r="9447" spans="7:7" hidden="1" x14ac:dyDescent="0.2">
      <c r="G9447" s="401"/>
    </row>
    <row r="9448" spans="7:7" hidden="1" x14ac:dyDescent="0.2">
      <c r="G9448" s="401"/>
    </row>
    <row r="9449" spans="7:7" hidden="1" x14ac:dyDescent="0.2">
      <c r="G9449" s="401"/>
    </row>
    <row r="9450" spans="7:7" hidden="1" x14ac:dyDescent="0.2">
      <c r="G9450" s="401"/>
    </row>
    <row r="9451" spans="7:7" hidden="1" x14ac:dyDescent="0.2">
      <c r="G9451" s="401"/>
    </row>
    <row r="9452" spans="7:7" hidden="1" x14ac:dyDescent="0.2">
      <c r="G9452" s="401"/>
    </row>
    <row r="9453" spans="7:7" hidden="1" x14ac:dyDescent="0.2">
      <c r="G9453" s="401"/>
    </row>
    <row r="9454" spans="7:7" hidden="1" x14ac:dyDescent="0.2">
      <c r="G9454" s="401"/>
    </row>
    <row r="9455" spans="7:7" hidden="1" x14ac:dyDescent="0.2">
      <c r="G9455" s="401"/>
    </row>
    <row r="9456" spans="7:7" hidden="1" x14ac:dyDescent="0.2">
      <c r="G9456" s="401"/>
    </row>
    <row r="9457" spans="7:7" hidden="1" x14ac:dyDescent="0.2">
      <c r="G9457" s="401"/>
    </row>
    <row r="9458" spans="7:7" hidden="1" x14ac:dyDescent="0.2">
      <c r="G9458" s="401"/>
    </row>
    <row r="9459" spans="7:7" hidden="1" x14ac:dyDescent="0.2">
      <c r="G9459" s="401"/>
    </row>
    <row r="9460" spans="7:7" hidden="1" x14ac:dyDescent="0.2">
      <c r="G9460" s="401"/>
    </row>
    <row r="9461" spans="7:7" hidden="1" x14ac:dyDescent="0.2">
      <c r="G9461" s="401"/>
    </row>
    <row r="9462" spans="7:7" hidden="1" x14ac:dyDescent="0.2">
      <c r="G9462" s="401"/>
    </row>
    <row r="9463" spans="7:7" hidden="1" x14ac:dyDescent="0.2">
      <c r="G9463" s="401"/>
    </row>
    <row r="9464" spans="7:7" hidden="1" x14ac:dyDescent="0.2">
      <c r="G9464" s="401"/>
    </row>
    <row r="9465" spans="7:7" hidden="1" x14ac:dyDescent="0.2">
      <c r="G9465" s="401"/>
    </row>
    <row r="9466" spans="7:7" hidden="1" x14ac:dyDescent="0.2">
      <c r="G9466" s="401"/>
    </row>
    <row r="9467" spans="7:7" hidden="1" x14ac:dyDescent="0.2">
      <c r="G9467" s="401"/>
    </row>
    <row r="9468" spans="7:7" hidden="1" x14ac:dyDescent="0.2">
      <c r="G9468" s="401"/>
    </row>
    <row r="9469" spans="7:7" hidden="1" x14ac:dyDescent="0.2">
      <c r="G9469" s="401"/>
    </row>
    <row r="9470" spans="7:7" hidden="1" x14ac:dyDescent="0.2">
      <c r="G9470" s="401"/>
    </row>
    <row r="9471" spans="7:7" hidden="1" x14ac:dyDescent="0.2">
      <c r="G9471" s="401"/>
    </row>
    <row r="9472" spans="7:7" hidden="1" x14ac:dyDescent="0.2">
      <c r="G9472" s="401"/>
    </row>
    <row r="9473" spans="7:7" hidden="1" x14ac:dyDescent="0.2">
      <c r="G9473" s="401"/>
    </row>
    <row r="9474" spans="7:7" hidden="1" x14ac:dyDescent="0.2">
      <c r="G9474" s="401"/>
    </row>
    <row r="9475" spans="7:7" hidden="1" x14ac:dyDescent="0.2">
      <c r="G9475" s="401"/>
    </row>
    <row r="9476" spans="7:7" hidden="1" x14ac:dyDescent="0.2">
      <c r="G9476" s="401"/>
    </row>
    <row r="9477" spans="7:7" hidden="1" x14ac:dyDescent="0.2">
      <c r="G9477" s="401"/>
    </row>
    <row r="9478" spans="7:7" hidden="1" x14ac:dyDescent="0.2">
      <c r="G9478" s="401"/>
    </row>
    <row r="9479" spans="7:7" hidden="1" x14ac:dyDescent="0.2">
      <c r="G9479" s="401"/>
    </row>
    <row r="9480" spans="7:7" hidden="1" x14ac:dyDescent="0.2">
      <c r="G9480" s="401"/>
    </row>
    <row r="9481" spans="7:7" hidden="1" x14ac:dyDescent="0.2">
      <c r="G9481" s="401"/>
    </row>
    <row r="9482" spans="7:7" hidden="1" x14ac:dyDescent="0.2">
      <c r="G9482" s="401"/>
    </row>
    <row r="9483" spans="7:7" hidden="1" x14ac:dyDescent="0.2">
      <c r="G9483" s="401"/>
    </row>
    <row r="9484" spans="7:7" hidden="1" x14ac:dyDescent="0.2">
      <c r="G9484" s="401"/>
    </row>
    <row r="9485" spans="7:7" hidden="1" x14ac:dyDescent="0.2">
      <c r="G9485" s="401"/>
    </row>
    <row r="9486" spans="7:7" hidden="1" x14ac:dyDescent="0.2">
      <c r="G9486" s="401"/>
    </row>
    <row r="9487" spans="7:7" hidden="1" x14ac:dyDescent="0.2">
      <c r="G9487" s="401"/>
    </row>
    <row r="9488" spans="7:7" hidden="1" x14ac:dyDescent="0.2">
      <c r="G9488" s="401"/>
    </row>
    <row r="9489" spans="7:7" hidden="1" x14ac:dyDescent="0.2">
      <c r="G9489" s="401"/>
    </row>
    <row r="9490" spans="7:7" hidden="1" x14ac:dyDescent="0.2">
      <c r="G9490" s="401"/>
    </row>
    <row r="9491" spans="7:7" hidden="1" x14ac:dyDescent="0.2">
      <c r="G9491" s="401"/>
    </row>
    <row r="9492" spans="7:7" hidden="1" x14ac:dyDescent="0.2">
      <c r="G9492" s="401"/>
    </row>
    <row r="9493" spans="7:7" hidden="1" x14ac:dyDescent="0.2">
      <c r="G9493" s="401"/>
    </row>
    <row r="9494" spans="7:7" hidden="1" x14ac:dyDescent="0.2">
      <c r="G9494" s="401"/>
    </row>
    <row r="9495" spans="7:7" hidden="1" x14ac:dyDescent="0.2">
      <c r="G9495" s="401"/>
    </row>
    <row r="9496" spans="7:7" hidden="1" x14ac:dyDescent="0.2">
      <c r="G9496" s="401"/>
    </row>
    <row r="9497" spans="7:7" hidden="1" x14ac:dyDescent="0.2">
      <c r="G9497" s="401"/>
    </row>
    <row r="9498" spans="7:7" hidden="1" x14ac:dyDescent="0.2">
      <c r="G9498" s="401"/>
    </row>
    <row r="9499" spans="7:7" hidden="1" x14ac:dyDescent="0.2">
      <c r="G9499" s="401"/>
    </row>
    <row r="9500" spans="7:7" hidden="1" x14ac:dyDescent="0.2">
      <c r="G9500" s="401"/>
    </row>
    <row r="9501" spans="7:7" hidden="1" x14ac:dyDescent="0.2">
      <c r="G9501" s="401"/>
    </row>
    <row r="9502" spans="7:7" hidden="1" x14ac:dyDescent="0.2">
      <c r="G9502" s="401"/>
    </row>
    <row r="9503" spans="7:7" hidden="1" x14ac:dyDescent="0.2">
      <c r="G9503" s="401"/>
    </row>
    <row r="9504" spans="7:7" hidden="1" x14ac:dyDescent="0.2">
      <c r="G9504" s="401"/>
    </row>
    <row r="9505" spans="7:7" hidden="1" x14ac:dyDescent="0.2">
      <c r="G9505" s="401"/>
    </row>
    <row r="9506" spans="7:7" hidden="1" x14ac:dyDescent="0.2">
      <c r="G9506" s="401"/>
    </row>
    <row r="9507" spans="7:7" hidden="1" x14ac:dyDescent="0.2">
      <c r="G9507" s="401"/>
    </row>
    <row r="9508" spans="7:7" hidden="1" x14ac:dyDescent="0.2">
      <c r="G9508" s="401"/>
    </row>
    <row r="9509" spans="7:7" hidden="1" x14ac:dyDescent="0.2">
      <c r="G9509" s="401"/>
    </row>
    <row r="9510" spans="7:7" hidden="1" x14ac:dyDescent="0.2">
      <c r="G9510" s="401"/>
    </row>
    <row r="9511" spans="7:7" hidden="1" x14ac:dyDescent="0.2">
      <c r="G9511" s="401"/>
    </row>
    <row r="9512" spans="7:7" hidden="1" x14ac:dyDescent="0.2">
      <c r="G9512" s="401"/>
    </row>
    <row r="9513" spans="7:7" hidden="1" x14ac:dyDescent="0.2">
      <c r="G9513" s="401"/>
    </row>
    <row r="9514" spans="7:7" hidden="1" x14ac:dyDescent="0.2">
      <c r="G9514" s="401"/>
    </row>
    <row r="9515" spans="7:7" hidden="1" x14ac:dyDescent="0.2">
      <c r="G9515" s="401"/>
    </row>
    <row r="9516" spans="7:7" hidden="1" x14ac:dyDescent="0.2">
      <c r="G9516" s="401"/>
    </row>
    <row r="9517" spans="7:7" hidden="1" x14ac:dyDescent="0.2">
      <c r="G9517" s="401"/>
    </row>
    <row r="9518" spans="7:7" hidden="1" x14ac:dyDescent="0.2">
      <c r="G9518" s="401"/>
    </row>
    <row r="9519" spans="7:7" hidden="1" x14ac:dyDescent="0.2">
      <c r="G9519" s="401"/>
    </row>
    <row r="9520" spans="7:7" hidden="1" x14ac:dyDescent="0.2">
      <c r="G9520" s="401"/>
    </row>
    <row r="9521" spans="7:7" hidden="1" x14ac:dyDescent="0.2">
      <c r="G9521" s="401"/>
    </row>
    <row r="9522" spans="7:7" hidden="1" x14ac:dyDescent="0.2">
      <c r="G9522" s="401"/>
    </row>
    <row r="9523" spans="7:7" hidden="1" x14ac:dyDescent="0.2">
      <c r="G9523" s="401"/>
    </row>
    <row r="9524" spans="7:7" hidden="1" x14ac:dyDescent="0.2">
      <c r="G9524" s="401"/>
    </row>
    <row r="9525" spans="7:7" hidden="1" x14ac:dyDescent="0.2">
      <c r="G9525" s="401"/>
    </row>
    <row r="9526" spans="7:7" hidden="1" x14ac:dyDescent="0.2">
      <c r="G9526" s="401"/>
    </row>
    <row r="9527" spans="7:7" hidden="1" x14ac:dyDescent="0.2">
      <c r="G9527" s="401"/>
    </row>
    <row r="9528" spans="7:7" hidden="1" x14ac:dyDescent="0.2">
      <c r="G9528" s="401"/>
    </row>
    <row r="9529" spans="7:7" hidden="1" x14ac:dyDescent="0.2">
      <c r="G9529" s="401"/>
    </row>
    <row r="9530" spans="7:7" hidden="1" x14ac:dyDescent="0.2">
      <c r="G9530" s="401"/>
    </row>
    <row r="9531" spans="7:7" hidden="1" x14ac:dyDescent="0.2">
      <c r="G9531" s="401"/>
    </row>
    <row r="9532" spans="7:7" hidden="1" x14ac:dyDescent="0.2">
      <c r="G9532" s="401"/>
    </row>
    <row r="9533" spans="7:7" hidden="1" x14ac:dyDescent="0.2">
      <c r="G9533" s="401"/>
    </row>
    <row r="9534" spans="7:7" hidden="1" x14ac:dyDescent="0.2">
      <c r="G9534" s="401"/>
    </row>
    <row r="9535" spans="7:7" hidden="1" x14ac:dyDescent="0.2">
      <c r="G9535" s="401"/>
    </row>
    <row r="9536" spans="7:7" hidden="1" x14ac:dyDescent="0.2">
      <c r="G9536" s="401"/>
    </row>
    <row r="9537" spans="7:7" hidden="1" x14ac:dyDescent="0.2">
      <c r="G9537" s="401"/>
    </row>
    <row r="9538" spans="7:7" hidden="1" x14ac:dyDescent="0.2">
      <c r="G9538" s="401"/>
    </row>
    <row r="9539" spans="7:7" hidden="1" x14ac:dyDescent="0.2">
      <c r="G9539" s="401"/>
    </row>
    <row r="9540" spans="7:7" hidden="1" x14ac:dyDescent="0.2">
      <c r="G9540" s="401"/>
    </row>
    <row r="9541" spans="7:7" hidden="1" x14ac:dyDescent="0.2">
      <c r="G9541" s="401"/>
    </row>
    <row r="9542" spans="7:7" hidden="1" x14ac:dyDescent="0.2">
      <c r="G9542" s="401"/>
    </row>
    <row r="9543" spans="7:7" hidden="1" x14ac:dyDescent="0.2">
      <c r="G9543" s="401"/>
    </row>
    <row r="9544" spans="7:7" hidden="1" x14ac:dyDescent="0.2">
      <c r="G9544" s="401"/>
    </row>
    <row r="9545" spans="7:7" hidden="1" x14ac:dyDescent="0.2">
      <c r="G9545" s="401"/>
    </row>
    <row r="9546" spans="7:7" hidden="1" x14ac:dyDescent="0.2">
      <c r="G9546" s="401"/>
    </row>
    <row r="9547" spans="7:7" hidden="1" x14ac:dyDescent="0.2">
      <c r="G9547" s="401"/>
    </row>
    <row r="9548" spans="7:7" hidden="1" x14ac:dyDescent="0.2">
      <c r="G9548" s="401"/>
    </row>
    <row r="9549" spans="7:7" hidden="1" x14ac:dyDescent="0.2">
      <c r="G9549" s="401"/>
    </row>
    <row r="9550" spans="7:7" hidden="1" x14ac:dyDescent="0.2">
      <c r="G9550" s="401"/>
    </row>
    <row r="9551" spans="7:7" hidden="1" x14ac:dyDescent="0.2">
      <c r="G9551" s="401"/>
    </row>
    <row r="9552" spans="7:7" hidden="1" x14ac:dyDescent="0.2">
      <c r="G9552" s="401"/>
    </row>
    <row r="9553" spans="7:7" hidden="1" x14ac:dyDescent="0.2">
      <c r="G9553" s="401"/>
    </row>
    <row r="9554" spans="7:7" hidden="1" x14ac:dyDescent="0.2">
      <c r="G9554" s="401"/>
    </row>
    <row r="9555" spans="7:7" hidden="1" x14ac:dyDescent="0.2">
      <c r="G9555" s="401"/>
    </row>
    <row r="9556" spans="7:7" hidden="1" x14ac:dyDescent="0.2">
      <c r="G9556" s="401"/>
    </row>
    <row r="9557" spans="7:7" hidden="1" x14ac:dyDescent="0.2">
      <c r="G9557" s="401"/>
    </row>
    <row r="9558" spans="7:7" hidden="1" x14ac:dyDescent="0.2">
      <c r="G9558" s="401"/>
    </row>
    <row r="9559" spans="7:7" hidden="1" x14ac:dyDescent="0.2">
      <c r="G9559" s="401"/>
    </row>
    <row r="9560" spans="7:7" hidden="1" x14ac:dyDescent="0.2">
      <c r="G9560" s="401"/>
    </row>
    <row r="9561" spans="7:7" hidden="1" x14ac:dyDescent="0.2">
      <c r="G9561" s="401"/>
    </row>
    <row r="9562" spans="7:7" hidden="1" x14ac:dyDescent="0.2">
      <c r="G9562" s="401"/>
    </row>
    <row r="9563" spans="7:7" hidden="1" x14ac:dyDescent="0.2">
      <c r="G9563" s="401"/>
    </row>
    <row r="9564" spans="7:7" hidden="1" x14ac:dyDescent="0.2">
      <c r="G9564" s="401"/>
    </row>
    <row r="9565" spans="7:7" hidden="1" x14ac:dyDescent="0.2">
      <c r="G9565" s="401"/>
    </row>
    <row r="9566" spans="7:7" hidden="1" x14ac:dyDescent="0.2">
      <c r="G9566" s="401"/>
    </row>
    <row r="9567" spans="7:7" hidden="1" x14ac:dyDescent="0.2">
      <c r="G9567" s="401"/>
    </row>
    <row r="9568" spans="7:7" hidden="1" x14ac:dyDescent="0.2">
      <c r="G9568" s="401"/>
    </row>
    <row r="9569" spans="7:7" hidden="1" x14ac:dyDescent="0.2">
      <c r="G9569" s="401"/>
    </row>
    <row r="9570" spans="7:7" hidden="1" x14ac:dyDescent="0.2">
      <c r="G9570" s="401"/>
    </row>
    <row r="9571" spans="7:7" hidden="1" x14ac:dyDescent="0.2">
      <c r="G9571" s="401"/>
    </row>
    <row r="9572" spans="7:7" hidden="1" x14ac:dyDescent="0.2">
      <c r="G9572" s="401"/>
    </row>
    <row r="9573" spans="7:7" hidden="1" x14ac:dyDescent="0.2">
      <c r="G9573" s="401"/>
    </row>
    <row r="9574" spans="7:7" hidden="1" x14ac:dyDescent="0.2">
      <c r="G9574" s="401"/>
    </row>
    <row r="9575" spans="7:7" hidden="1" x14ac:dyDescent="0.2">
      <c r="G9575" s="401"/>
    </row>
    <row r="9576" spans="7:7" hidden="1" x14ac:dyDescent="0.2">
      <c r="G9576" s="401"/>
    </row>
    <row r="9577" spans="7:7" hidden="1" x14ac:dyDescent="0.2">
      <c r="G9577" s="401"/>
    </row>
    <row r="9578" spans="7:7" hidden="1" x14ac:dyDescent="0.2">
      <c r="G9578" s="401"/>
    </row>
    <row r="9579" spans="7:7" hidden="1" x14ac:dyDescent="0.2">
      <c r="G9579" s="401"/>
    </row>
    <row r="9580" spans="7:7" hidden="1" x14ac:dyDescent="0.2">
      <c r="G9580" s="401"/>
    </row>
    <row r="9581" spans="7:7" hidden="1" x14ac:dyDescent="0.2">
      <c r="G9581" s="401"/>
    </row>
    <row r="9582" spans="7:7" hidden="1" x14ac:dyDescent="0.2">
      <c r="G9582" s="401"/>
    </row>
    <row r="9583" spans="7:7" hidden="1" x14ac:dyDescent="0.2">
      <c r="G9583" s="401"/>
    </row>
    <row r="9584" spans="7:7" hidden="1" x14ac:dyDescent="0.2">
      <c r="G9584" s="401"/>
    </row>
    <row r="9585" spans="7:7" hidden="1" x14ac:dyDescent="0.2">
      <c r="G9585" s="401"/>
    </row>
    <row r="9586" spans="7:7" hidden="1" x14ac:dyDescent="0.2">
      <c r="G9586" s="401"/>
    </row>
    <row r="9587" spans="7:7" hidden="1" x14ac:dyDescent="0.2">
      <c r="G9587" s="401"/>
    </row>
    <row r="9588" spans="7:7" hidden="1" x14ac:dyDescent="0.2">
      <c r="G9588" s="401"/>
    </row>
    <row r="9589" spans="7:7" hidden="1" x14ac:dyDescent="0.2">
      <c r="G9589" s="401"/>
    </row>
    <row r="9590" spans="7:7" hidden="1" x14ac:dyDescent="0.2">
      <c r="G9590" s="401"/>
    </row>
    <row r="9591" spans="7:7" hidden="1" x14ac:dyDescent="0.2">
      <c r="G9591" s="401"/>
    </row>
    <row r="9592" spans="7:7" hidden="1" x14ac:dyDescent="0.2">
      <c r="G9592" s="401"/>
    </row>
    <row r="9593" spans="7:7" hidden="1" x14ac:dyDescent="0.2">
      <c r="G9593" s="401"/>
    </row>
    <row r="9594" spans="7:7" hidden="1" x14ac:dyDescent="0.2">
      <c r="G9594" s="401"/>
    </row>
    <row r="9595" spans="7:7" hidden="1" x14ac:dyDescent="0.2">
      <c r="G9595" s="401"/>
    </row>
    <row r="9596" spans="7:7" hidden="1" x14ac:dyDescent="0.2">
      <c r="G9596" s="401"/>
    </row>
    <row r="9597" spans="7:7" hidden="1" x14ac:dyDescent="0.2">
      <c r="G9597" s="401"/>
    </row>
    <row r="9598" spans="7:7" hidden="1" x14ac:dyDescent="0.2">
      <c r="G9598" s="401"/>
    </row>
    <row r="9599" spans="7:7" hidden="1" x14ac:dyDescent="0.2">
      <c r="G9599" s="401"/>
    </row>
    <row r="9600" spans="7:7" hidden="1" x14ac:dyDescent="0.2">
      <c r="G9600" s="401"/>
    </row>
    <row r="9601" spans="7:7" hidden="1" x14ac:dyDescent="0.2">
      <c r="G9601" s="401"/>
    </row>
    <row r="9602" spans="7:7" hidden="1" x14ac:dyDescent="0.2">
      <c r="G9602" s="401"/>
    </row>
    <row r="9603" spans="7:7" hidden="1" x14ac:dyDescent="0.2">
      <c r="G9603" s="401"/>
    </row>
    <row r="9604" spans="7:7" hidden="1" x14ac:dyDescent="0.2">
      <c r="G9604" s="401"/>
    </row>
    <row r="9605" spans="7:7" hidden="1" x14ac:dyDescent="0.2">
      <c r="G9605" s="401"/>
    </row>
    <row r="9606" spans="7:7" hidden="1" x14ac:dyDescent="0.2">
      <c r="G9606" s="401"/>
    </row>
    <row r="9607" spans="7:7" hidden="1" x14ac:dyDescent="0.2">
      <c r="G9607" s="401"/>
    </row>
    <row r="9608" spans="7:7" hidden="1" x14ac:dyDescent="0.2">
      <c r="G9608" s="401"/>
    </row>
    <row r="9609" spans="7:7" hidden="1" x14ac:dyDescent="0.2">
      <c r="G9609" s="401"/>
    </row>
    <row r="9610" spans="7:7" hidden="1" x14ac:dyDescent="0.2">
      <c r="G9610" s="401"/>
    </row>
    <row r="9611" spans="7:7" hidden="1" x14ac:dyDescent="0.2">
      <c r="G9611" s="401"/>
    </row>
    <row r="9612" spans="7:7" hidden="1" x14ac:dyDescent="0.2">
      <c r="G9612" s="401"/>
    </row>
    <row r="9613" spans="7:7" hidden="1" x14ac:dyDescent="0.2">
      <c r="G9613" s="401"/>
    </row>
    <row r="9614" spans="7:7" hidden="1" x14ac:dyDescent="0.2">
      <c r="G9614" s="401"/>
    </row>
    <row r="9615" spans="7:7" hidden="1" x14ac:dyDescent="0.2">
      <c r="G9615" s="401"/>
    </row>
    <row r="9616" spans="7:7" hidden="1" x14ac:dyDescent="0.2">
      <c r="G9616" s="401"/>
    </row>
    <row r="9617" spans="7:7" hidden="1" x14ac:dyDescent="0.2">
      <c r="G9617" s="401"/>
    </row>
    <row r="9618" spans="7:7" hidden="1" x14ac:dyDescent="0.2">
      <c r="G9618" s="401"/>
    </row>
    <row r="9619" spans="7:7" hidden="1" x14ac:dyDescent="0.2">
      <c r="G9619" s="401"/>
    </row>
    <row r="9620" spans="7:7" hidden="1" x14ac:dyDescent="0.2">
      <c r="G9620" s="401"/>
    </row>
    <row r="9621" spans="7:7" hidden="1" x14ac:dyDescent="0.2">
      <c r="G9621" s="401"/>
    </row>
    <row r="9622" spans="7:7" hidden="1" x14ac:dyDescent="0.2">
      <c r="G9622" s="401"/>
    </row>
    <row r="9623" spans="7:7" hidden="1" x14ac:dyDescent="0.2">
      <c r="G9623" s="401"/>
    </row>
    <row r="9624" spans="7:7" hidden="1" x14ac:dyDescent="0.2">
      <c r="G9624" s="401"/>
    </row>
    <row r="9625" spans="7:7" hidden="1" x14ac:dyDescent="0.2">
      <c r="G9625" s="401"/>
    </row>
    <row r="9626" spans="7:7" hidden="1" x14ac:dyDescent="0.2">
      <c r="G9626" s="401"/>
    </row>
    <row r="9627" spans="7:7" hidden="1" x14ac:dyDescent="0.2">
      <c r="G9627" s="401"/>
    </row>
    <row r="9628" spans="7:7" hidden="1" x14ac:dyDescent="0.2">
      <c r="G9628" s="401"/>
    </row>
    <row r="9629" spans="7:7" hidden="1" x14ac:dyDescent="0.2">
      <c r="G9629" s="401"/>
    </row>
    <row r="9630" spans="7:7" hidden="1" x14ac:dyDescent="0.2">
      <c r="G9630" s="401"/>
    </row>
    <row r="9631" spans="7:7" hidden="1" x14ac:dyDescent="0.2">
      <c r="G9631" s="401"/>
    </row>
    <row r="9632" spans="7:7" hidden="1" x14ac:dyDescent="0.2">
      <c r="G9632" s="401"/>
    </row>
    <row r="9633" spans="7:7" hidden="1" x14ac:dyDescent="0.2">
      <c r="G9633" s="401"/>
    </row>
    <row r="9634" spans="7:7" hidden="1" x14ac:dyDescent="0.2">
      <c r="G9634" s="401"/>
    </row>
    <row r="9635" spans="7:7" hidden="1" x14ac:dyDescent="0.2">
      <c r="G9635" s="401"/>
    </row>
    <row r="9636" spans="7:7" hidden="1" x14ac:dyDescent="0.2">
      <c r="G9636" s="401"/>
    </row>
    <row r="9637" spans="7:7" hidden="1" x14ac:dyDescent="0.2">
      <c r="G9637" s="401"/>
    </row>
    <row r="9638" spans="7:7" hidden="1" x14ac:dyDescent="0.2">
      <c r="G9638" s="401"/>
    </row>
    <row r="9639" spans="7:7" hidden="1" x14ac:dyDescent="0.2">
      <c r="G9639" s="401"/>
    </row>
    <row r="9640" spans="7:7" hidden="1" x14ac:dyDescent="0.2">
      <c r="G9640" s="401"/>
    </row>
    <row r="9641" spans="7:7" hidden="1" x14ac:dyDescent="0.2">
      <c r="G9641" s="401"/>
    </row>
    <row r="9642" spans="7:7" hidden="1" x14ac:dyDescent="0.2">
      <c r="G9642" s="401"/>
    </row>
    <row r="9643" spans="7:7" hidden="1" x14ac:dyDescent="0.2">
      <c r="G9643" s="401"/>
    </row>
    <row r="9644" spans="7:7" hidden="1" x14ac:dyDescent="0.2">
      <c r="G9644" s="401"/>
    </row>
    <row r="9645" spans="7:7" hidden="1" x14ac:dyDescent="0.2">
      <c r="G9645" s="401"/>
    </row>
    <row r="9646" spans="7:7" hidden="1" x14ac:dyDescent="0.2">
      <c r="G9646" s="401"/>
    </row>
    <row r="9647" spans="7:7" hidden="1" x14ac:dyDescent="0.2">
      <c r="G9647" s="401"/>
    </row>
    <row r="9648" spans="7:7" hidden="1" x14ac:dyDescent="0.2">
      <c r="G9648" s="401"/>
    </row>
    <row r="9649" spans="7:7" hidden="1" x14ac:dyDescent="0.2">
      <c r="G9649" s="401"/>
    </row>
    <row r="9650" spans="7:7" hidden="1" x14ac:dyDescent="0.2">
      <c r="G9650" s="401"/>
    </row>
    <row r="9651" spans="7:7" hidden="1" x14ac:dyDescent="0.2">
      <c r="G9651" s="401"/>
    </row>
    <row r="9652" spans="7:7" hidden="1" x14ac:dyDescent="0.2">
      <c r="G9652" s="401"/>
    </row>
    <row r="9653" spans="7:7" hidden="1" x14ac:dyDescent="0.2">
      <c r="G9653" s="401"/>
    </row>
    <row r="9654" spans="7:7" hidden="1" x14ac:dyDescent="0.2">
      <c r="G9654" s="401"/>
    </row>
    <row r="9655" spans="7:7" hidden="1" x14ac:dyDescent="0.2">
      <c r="G9655" s="401"/>
    </row>
    <row r="9656" spans="7:7" hidden="1" x14ac:dyDescent="0.2">
      <c r="G9656" s="401"/>
    </row>
    <row r="9657" spans="7:7" hidden="1" x14ac:dyDescent="0.2">
      <c r="G9657" s="401"/>
    </row>
    <row r="9658" spans="7:7" hidden="1" x14ac:dyDescent="0.2">
      <c r="G9658" s="401"/>
    </row>
    <row r="9659" spans="7:7" hidden="1" x14ac:dyDescent="0.2">
      <c r="G9659" s="401"/>
    </row>
    <row r="9660" spans="7:7" hidden="1" x14ac:dyDescent="0.2">
      <c r="G9660" s="401"/>
    </row>
    <row r="9661" spans="7:7" hidden="1" x14ac:dyDescent="0.2">
      <c r="G9661" s="401"/>
    </row>
    <row r="9662" spans="7:7" hidden="1" x14ac:dyDescent="0.2">
      <c r="G9662" s="401"/>
    </row>
    <row r="9663" spans="7:7" hidden="1" x14ac:dyDescent="0.2">
      <c r="G9663" s="401"/>
    </row>
    <row r="9664" spans="7:7" hidden="1" x14ac:dyDescent="0.2">
      <c r="G9664" s="401"/>
    </row>
    <row r="9665" spans="7:7" hidden="1" x14ac:dyDescent="0.2">
      <c r="G9665" s="401"/>
    </row>
    <row r="9666" spans="7:7" hidden="1" x14ac:dyDescent="0.2">
      <c r="G9666" s="401"/>
    </row>
    <row r="9667" spans="7:7" hidden="1" x14ac:dyDescent="0.2">
      <c r="G9667" s="401"/>
    </row>
    <row r="9668" spans="7:7" hidden="1" x14ac:dyDescent="0.2">
      <c r="G9668" s="401"/>
    </row>
    <row r="9669" spans="7:7" hidden="1" x14ac:dyDescent="0.2">
      <c r="G9669" s="401"/>
    </row>
    <row r="9670" spans="7:7" hidden="1" x14ac:dyDescent="0.2">
      <c r="G9670" s="401"/>
    </row>
    <row r="9671" spans="7:7" hidden="1" x14ac:dyDescent="0.2">
      <c r="G9671" s="401"/>
    </row>
    <row r="9672" spans="7:7" hidden="1" x14ac:dyDescent="0.2">
      <c r="G9672" s="401"/>
    </row>
    <row r="9673" spans="7:7" hidden="1" x14ac:dyDescent="0.2">
      <c r="G9673" s="401"/>
    </row>
    <row r="9674" spans="7:7" hidden="1" x14ac:dyDescent="0.2">
      <c r="G9674" s="401"/>
    </row>
    <row r="9675" spans="7:7" hidden="1" x14ac:dyDescent="0.2">
      <c r="G9675" s="401"/>
    </row>
    <row r="9676" spans="7:7" hidden="1" x14ac:dyDescent="0.2">
      <c r="G9676" s="401"/>
    </row>
    <row r="9677" spans="7:7" hidden="1" x14ac:dyDescent="0.2">
      <c r="G9677" s="401"/>
    </row>
    <row r="9678" spans="7:7" hidden="1" x14ac:dyDescent="0.2">
      <c r="G9678" s="401"/>
    </row>
    <row r="9679" spans="7:7" hidden="1" x14ac:dyDescent="0.2">
      <c r="G9679" s="401"/>
    </row>
    <row r="9680" spans="7:7" hidden="1" x14ac:dyDescent="0.2">
      <c r="G9680" s="401"/>
    </row>
    <row r="9681" spans="7:7" hidden="1" x14ac:dyDescent="0.2">
      <c r="G9681" s="401"/>
    </row>
    <row r="9682" spans="7:7" hidden="1" x14ac:dyDescent="0.2">
      <c r="G9682" s="401"/>
    </row>
    <row r="9683" spans="7:7" hidden="1" x14ac:dyDescent="0.2">
      <c r="G9683" s="401"/>
    </row>
    <row r="9684" spans="7:7" hidden="1" x14ac:dyDescent="0.2">
      <c r="G9684" s="401"/>
    </row>
    <row r="9685" spans="7:7" hidden="1" x14ac:dyDescent="0.2">
      <c r="G9685" s="401"/>
    </row>
    <row r="9686" spans="7:7" hidden="1" x14ac:dyDescent="0.2">
      <c r="G9686" s="401"/>
    </row>
    <row r="9687" spans="7:7" hidden="1" x14ac:dyDescent="0.2">
      <c r="G9687" s="401"/>
    </row>
    <row r="9688" spans="7:7" hidden="1" x14ac:dyDescent="0.2">
      <c r="G9688" s="401"/>
    </row>
    <row r="9689" spans="7:7" hidden="1" x14ac:dyDescent="0.2">
      <c r="G9689" s="401"/>
    </row>
    <row r="9690" spans="7:7" hidden="1" x14ac:dyDescent="0.2">
      <c r="G9690" s="401"/>
    </row>
    <row r="9691" spans="7:7" hidden="1" x14ac:dyDescent="0.2">
      <c r="G9691" s="401"/>
    </row>
    <row r="9692" spans="7:7" hidden="1" x14ac:dyDescent="0.2">
      <c r="G9692" s="401"/>
    </row>
    <row r="9693" spans="7:7" hidden="1" x14ac:dyDescent="0.2">
      <c r="G9693" s="401"/>
    </row>
    <row r="9694" spans="7:7" hidden="1" x14ac:dyDescent="0.2">
      <c r="G9694" s="401"/>
    </row>
    <row r="9695" spans="7:7" hidden="1" x14ac:dyDescent="0.2">
      <c r="G9695" s="401"/>
    </row>
    <row r="9696" spans="7:7" hidden="1" x14ac:dyDescent="0.2">
      <c r="G9696" s="401"/>
    </row>
    <row r="9697" spans="7:7" hidden="1" x14ac:dyDescent="0.2">
      <c r="G9697" s="401"/>
    </row>
    <row r="9698" spans="7:7" hidden="1" x14ac:dyDescent="0.2">
      <c r="G9698" s="401"/>
    </row>
    <row r="9699" spans="7:7" hidden="1" x14ac:dyDescent="0.2">
      <c r="G9699" s="401"/>
    </row>
    <row r="9700" spans="7:7" hidden="1" x14ac:dyDescent="0.2">
      <c r="G9700" s="401"/>
    </row>
    <row r="9701" spans="7:7" hidden="1" x14ac:dyDescent="0.2">
      <c r="G9701" s="401"/>
    </row>
    <row r="9702" spans="7:7" hidden="1" x14ac:dyDescent="0.2">
      <c r="G9702" s="401"/>
    </row>
    <row r="9703" spans="7:7" hidden="1" x14ac:dyDescent="0.2">
      <c r="G9703" s="401"/>
    </row>
    <row r="9704" spans="7:7" hidden="1" x14ac:dyDescent="0.2">
      <c r="G9704" s="401"/>
    </row>
    <row r="9705" spans="7:7" hidden="1" x14ac:dyDescent="0.2">
      <c r="G9705" s="401"/>
    </row>
    <row r="9706" spans="7:7" hidden="1" x14ac:dyDescent="0.2">
      <c r="G9706" s="401"/>
    </row>
    <row r="9707" spans="7:7" hidden="1" x14ac:dyDescent="0.2">
      <c r="G9707" s="401"/>
    </row>
    <row r="9708" spans="7:7" hidden="1" x14ac:dyDescent="0.2">
      <c r="G9708" s="401"/>
    </row>
    <row r="9709" spans="7:7" hidden="1" x14ac:dyDescent="0.2">
      <c r="G9709" s="401"/>
    </row>
    <row r="9710" spans="7:7" hidden="1" x14ac:dyDescent="0.2">
      <c r="G9710" s="401"/>
    </row>
    <row r="9711" spans="7:7" hidden="1" x14ac:dyDescent="0.2">
      <c r="G9711" s="401"/>
    </row>
    <row r="9712" spans="7:7" hidden="1" x14ac:dyDescent="0.2">
      <c r="G9712" s="401"/>
    </row>
    <row r="9713" spans="7:7" hidden="1" x14ac:dyDescent="0.2">
      <c r="G9713" s="401"/>
    </row>
    <row r="9714" spans="7:7" hidden="1" x14ac:dyDescent="0.2">
      <c r="G9714" s="401"/>
    </row>
    <row r="9715" spans="7:7" hidden="1" x14ac:dyDescent="0.2">
      <c r="G9715" s="401"/>
    </row>
    <row r="9716" spans="7:7" hidden="1" x14ac:dyDescent="0.2">
      <c r="G9716" s="401"/>
    </row>
    <row r="9717" spans="7:7" hidden="1" x14ac:dyDescent="0.2">
      <c r="G9717" s="401"/>
    </row>
    <row r="9718" spans="7:7" hidden="1" x14ac:dyDescent="0.2">
      <c r="G9718" s="401"/>
    </row>
    <row r="9719" spans="7:7" hidden="1" x14ac:dyDescent="0.2">
      <c r="G9719" s="401"/>
    </row>
    <row r="9720" spans="7:7" hidden="1" x14ac:dyDescent="0.2">
      <c r="G9720" s="401"/>
    </row>
    <row r="9721" spans="7:7" hidden="1" x14ac:dyDescent="0.2">
      <c r="G9721" s="401"/>
    </row>
    <row r="9722" spans="7:7" hidden="1" x14ac:dyDescent="0.2">
      <c r="G9722" s="401"/>
    </row>
    <row r="9723" spans="7:7" hidden="1" x14ac:dyDescent="0.2">
      <c r="G9723" s="401"/>
    </row>
    <row r="9724" spans="7:7" hidden="1" x14ac:dyDescent="0.2">
      <c r="G9724" s="401"/>
    </row>
    <row r="9725" spans="7:7" hidden="1" x14ac:dyDescent="0.2">
      <c r="G9725" s="401"/>
    </row>
    <row r="9726" spans="7:7" hidden="1" x14ac:dyDescent="0.2">
      <c r="G9726" s="401"/>
    </row>
    <row r="9727" spans="7:7" hidden="1" x14ac:dyDescent="0.2">
      <c r="G9727" s="401"/>
    </row>
    <row r="9728" spans="7:7" hidden="1" x14ac:dyDescent="0.2">
      <c r="G9728" s="401"/>
    </row>
    <row r="9729" spans="7:7" hidden="1" x14ac:dyDescent="0.2">
      <c r="G9729" s="401"/>
    </row>
    <row r="9730" spans="7:7" hidden="1" x14ac:dyDescent="0.2">
      <c r="G9730" s="401"/>
    </row>
    <row r="9731" spans="7:7" hidden="1" x14ac:dyDescent="0.2">
      <c r="G9731" s="401"/>
    </row>
    <row r="9732" spans="7:7" hidden="1" x14ac:dyDescent="0.2">
      <c r="G9732" s="401"/>
    </row>
    <row r="9733" spans="7:7" hidden="1" x14ac:dyDescent="0.2">
      <c r="G9733" s="401"/>
    </row>
    <row r="9734" spans="7:7" hidden="1" x14ac:dyDescent="0.2">
      <c r="G9734" s="401"/>
    </row>
    <row r="9735" spans="7:7" hidden="1" x14ac:dyDescent="0.2">
      <c r="G9735" s="401"/>
    </row>
    <row r="9736" spans="7:7" hidden="1" x14ac:dyDescent="0.2">
      <c r="G9736" s="401"/>
    </row>
    <row r="9737" spans="7:7" hidden="1" x14ac:dyDescent="0.2">
      <c r="G9737" s="401"/>
    </row>
    <row r="9738" spans="7:7" hidden="1" x14ac:dyDescent="0.2">
      <c r="G9738" s="401"/>
    </row>
    <row r="9739" spans="7:7" hidden="1" x14ac:dyDescent="0.2">
      <c r="G9739" s="401"/>
    </row>
    <row r="9740" spans="7:7" hidden="1" x14ac:dyDescent="0.2">
      <c r="G9740" s="401"/>
    </row>
    <row r="9741" spans="7:7" hidden="1" x14ac:dyDescent="0.2">
      <c r="G9741" s="401"/>
    </row>
    <row r="9742" spans="7:7" hidden="1" x14ac:dyDescent="0.2">
      <c r="G9742" s="401"/>
    </row>
    <row r="9743" spans="7:7" hidden="1" x14ac:dyDescent="0.2">
      <c r="G9743" s="401"/>
    </row>
    <row r="9744" spans="7:7" hidden="1" x14ac:dyDescent="0.2">
      <c r="G9744" s="401"/>
    </row>
    <row r="9745" spans="7:7" hidden="1" x14ac:dyDescent="0.2">
      <c r="G9745" s="401"/>
    </row>
    <row r="9746" spans="7:7" hidden="1" x14ac:dyDescent="0.2">
      <c r="G9746" s="401"/>
    </row>
    <row r="9747" spans="7:7" hidden="1" x14ac:dyDescent="0.2">
      <c r="G9747" s="401"/>
    </row>
    <row r="9748" spans="7:7" hidden="1" x14ac:dyDescent="0.2">
      <c r="G9748" s="401"/>
    </row>
    <row r="9749" spans="7:7" hidden="1" x14ac:dyDescent="0.2">
      <c r="G9749" s="401"/>
    </row>
    <row r="9750" spans="7:7" hidden="1" x14ac:dyDescent="0.2">
      <c r="G9750" s="401"/>
    </row>
    <row r="9751" spans="7:7" hidden="1" x14ac:dyDescent="0.2">
      <c r="G9751" s="401"/>
    </row>
    <row r="9752" spans="7:7" hidden="1" x14ac:dyDescent="0.2">
      <c r="G9752" s="401"/>
    </row>
    <row r="9753" spans="7:7" hidden="1" x14ac:dyDescent="0.2">
      <c r="G9753" s="401"/>
    </row>
    <row r="9754" spans="7:7" hidden="1" x14ac:dyDescent="0.2">
      <c r="G9754" s="401"/>
    </row>
    <row r="9755" spans="7:7" hidden="1" x14ac:dyDescent="0.2">
      <c r="G9755" s="401"/>
    </row>
    <row r="9756" spans="7:7" hidden="1" x14ac:dyDescent="0.2">
      <c r="G9756" s="401"/>
    </row>
    <row r="9757" spans="7:7" hidden="1" x14ac:dyDescent="0.2">
      <c r="G9757" s="401"/>
    </row>
    <row r="9758" spans="7:7" hidden="1" x14ac:dyDescent="0.2">
      <c r="G9758" s="401"/>
    </row>
    <row r="9759" spans="7:7" hidden="1" x14ac:dyDescent="0.2">
      <c r="G9759" s="401"/>
    </row>
    <row r="9760" spans="7:7" hidden="1" x14ac:dyDescent="0.2">
      <c r="G9760" s="401"/>
    </row>
    <row r="9761" spans="7:7" hidden="1" x14ac:dyDescent="0.2">
      <c r="G9761" s="401"/>
    </row>
    <row r="9762" spans="7:7" hidden="1" x14ac:dyDescent="0.2">
      <c r="G9762" s="401"/>
    </row>
    <row r="9763" spans="7:7" hidden="1" x14ac:dyDescent="0.2">
      <c r="G9763" s="401"/>
    </row>
    <row r="9764" spans="7:7" hidden="1" x14ac:dyDescent="0.2">
      <c r="G9764" s="401"/>
    </row>
    <row r="9765" spans="7:7" hidden="1" x14ac:dyDescent="0.2">
      <c r="G9765" s="401"/>
    </row>
    <row r="9766" spans="7:7" hidden="1" x14ac:dyDescent="0.2">
      <c r="G9766" s="401"/>
    </row>
    <row r="9767" spans="7:7" hidden="1" x14ac:dyDescent="0.2">
      <c r="G9767" s="401"/>
    </row>
    <row r="9768" spans="7:7" hidden="1" x14ac:dyDescent="0.2">
      <c r="G9768" s="401"/>
    </row>
    <row r="9769" spans="7:7" hidden="1" x14ac:dyDescent="0.2">
      <c r="G9769" s="401"/>
    </row>
    <row r="9770" spans="7:7" hidden="1" x14ac:dyDescent="0.2">
      <c r="G9770" s="401"/>
    </row>
    <row r="9771" spans="7:7" hidden="1" x14ac:dyDescent="0.2">
      <c r="G9771" s="401"/>
    </row>
    <row r="9772" spans="7:7" hidden="1" x14ac:dyDescent="0.2">
      <c r="G9772" s="401"/>
    </row>
    <row r="9773" spans="7:7" hidden="1" x14ac:dyDescent="0.2">
      <c r="G9773" s="401"/>
    </row>
    <row r="9774" spans="7:7" hidden="1" x14ac:dyDescent="0.2">
      <c r="G9774" s="401"/>
    </row>
    <row r="9775" spans="7:7" hidden="1" x14ac:dyDescent="0.2">
      <c r="G9775" s="401"/>
    </row>
    <row r="9776" spans="7:7" hidden="1" x14ac:dyDescent="0.2">
      <c r="G9776" s="401"/>
    </row>
    <row r="9777" spans="7:7" hidden="1" x14ac:dyDescent="0.2">
      <c r="G9777" s="401"/>
    </row>
    <row r="9778" spans="7:7" hidden="1" x14ac:dyDescent="0.2">
      <c r="G9778" s="401"/>
    </row>
    <row r="9779" spans="7:7" hidden="1" x14ac:dyDescent="0.2">
      <c r="G9779" s="401"/>
    </row>
    <row r="9780" spans="7:7" hidden="1" x14ac:dyDescent="0.2">
      <c r="G9780" s="401"/>
    </row>
    <row r="9781" spans="7:7" hidden="1" x14ac:dyDescent="0.2">
      <c r="G9781" s="401"/>
    </row>
    <row r="9782" spans="7:7" hidden="1" x14ac:dyDescent="0.2">
      <c r="G9782" s="401"/>
    </row>
    <row r="9783" spans="7:7" hidden="1" x14ac:dyDescent="0.2">
      <c r="G9783" s="401"/>
    </row>
    <row r="9784" spans="7:7" hidden="1" x14ac:dyDescent="0.2">
      <c r="G9784" s="401"/>
    </row>
    <row r="9785" spans="7:7" hidden="1" x14ac:dyDescent="0.2">
      <c r="G9785" s="401"/>
    </row>
    <row r="9786" spans="7:7" hidden="1" x14ac:dyDescent="0.2">
      <c r="G9786" s="401"/>
    </row>
    <row r="9787" spans="7:7" hidden="1" x14ac:dyDescent="0.2">
      <c r="G9787" s="401"/>
    </row>
    <row r="9788" spans="7:7" hidden="1" x14ac:dyDescent="0.2">
      <c r="G9788" s="401"/>
    </row>
    <row r="9789" spans="7:7" hidden="1" x14ac:dyDescent="0.2">
      <c r="G9789" s="401"/>
    </row>
    <row r="9790" spans="7:7" hidden="1" x14ac:dyDescent="0.2">
      <c r="G9790" s="401"/>
    </row>
    <row r="9791" spans="7:7" hidden="1" x14ac:dyDescent="0.2">
      <c r="G9791" s="401"/>
    </row>
    <row r="9792" spans="7:7" hidden="1" x14ac:dyDescent="0.2">
      <c r="G9792" s="401"/>
    </row>
    <row r="9793" spans="7:7" hidden="1" x14ac:dyDescent="0.2">
      <c r="G9793" s="401"/>
    </row>
    <row r="9794" spans="7:7" hidden="1" x14ac:dyDescent="0.2">
      <c r="G9794" s="401"/>
    </row>
    <row r="9795" spans="7:7" hidden="1" x14ac:dyDescent="0.2">
      <c r="G9795" s="401"/>
    </row>
    <row r="9796" spans="7:7" hidden="1" x14ac:dyDescent="0.2">
      <c r="G9796" s="401"/>
    </row>
    <row r="9797" spans="7:7" hidden="1" x14ac:dyDescent="0.2">
      <c r="G9797" s="401"/>
    </row>
    <row r="9798" spans="7:7" hidden="1" x14ac:dyDescent="0.2">
      <c r="G9798" s="401"/>
    </row>
    <row r="9799" spans="7:7" hidden="1" x14ac:dyDescent="0.2">
      <c r="G9799" s="401"/>
    </row>
    <row r="9800" spans="7:7" hidden="1" x14ac:dyDescent="0.2">
      <c r="G9800" s="401"/>
    </row>
    <row r="9801" spans="7:7" hidden="1" x14ac:dyDescent="0.2">
      <c r="G9801" s="401"/>
    </row>
    <row r="9802" spans="7:7" hidden="1" x14ac:dyDescent="0.2">
      <c r="G9802" s="401"/>
    </row>
    <row r="9803" spans="7:7" hidden="1" x14ac:dyDescent="0.2">
      <c r="G9803" s="401"/>
    </row>
    <row r="9804" spans="7:7" hidden="1" x14ac:dyDescent="0.2">
      <c r="G9804" s="401"/>
    </row>
    <row r="9805" spans="7:7" hidden="1" x14ac:dyDescent="0.2">
      <c r="G9805" s="401"/>
    </row>
    <row r="9806" spans="7:7" hidden="1" x14ac:dyDescent="0.2">
      <c r="G9806" s="401"/>
    </row>
    <row r="9807" spans="7:7" hidden="1" x14ac:dyDescent="0.2">
      <c r="G9807" s="401"/>
    </row>
    <row r="9808" spans="7:7" hidden="1" x14ac:dyDescent="0.2">
      <c r="G9808" s="401"/>
    </row>
    <row r="9809" spans="7:7" hidden="1" x14ac:dyDescent="0.2">
      <c r="G9809" s="401"/>
    </row>
    <row r="9810" spans="7:7" hidden="1" x14ac:dyDescent="0.2">
      <c r="G9810" s="401"/>
    </row>
    <row r="9811" spans="7:7" hidden="1" x14ac:dyDescent="0.2">
      <c r="G9811" s="401"/>
    </row>
    <row r="9812" spans="7:7" hidden="1" x14ac:dyDescent="0.2">
      <c r="G9812" s="401"/>
    </row>
    <row r="9813" spans="7:7" hidden="1" x14ac:dyDescent="0.2">
      <c r="G9813" s="401"/>
    </row>
    <row r="9814" spans="7:7" hidden="1" x14ac:dyDescent="0.2">
      <c r="G9814" s="401"/>
    </row>
    <row r="9815" spans="7:7" hidden="1" x14ac:dyDescent="0.2">
      <c r="G9815" s="401"/>
    </row>
    <row r="9816" spans="7:7" hidden="1" x14ac:dyDescent="0.2">
      <c r="G9816" s="401"/>
    </row>
    <row r="9817" spans="7:7" hidden="1" x14ac:dyDescent="0.2">
      <c r="G9817" s="401"/>
    </row>
    <row r="9818" spans="7:7" hidden="1" x14ac:dyDescent="0.2">
      <c r="G9818" s="401"/>
    </row>
    <row r="9819" spans="7:7" hidden="1" x14ac:dyDescent="0.2">
      <c r="G9819" s="401"/>
    </row>
    <row r="9820" spans="7:7" hidden="1" x14ac:dyDescent="0.2">
      <c r="G9820" s="401"/>
    </row>
    <row r="9821" spans="7:7" hidden="1" x14ac:dyDescent="0.2">
      <c r="G9821" s="401"/>
    </row>
    <row r="9822" spans="7:7" hidden="1" x14ac:dyDescent="0.2">
      <c r="G9822" s="401"/>
    </row>
    <row r="9823" spans="7:7" hidden="1" x14ac:dyDescent="0.2">
      <c r="G9823" s="401"/>
    </row>
    <row r="9824" spans="7:7" hidden="1" x14ac:dyDescent="0.2">
      <c r="G9824" s="401"/>
    </row>
    <row r="9825" spans="7:7" hidden="1" x14ac:dyDescent="0.2">
      <c r="G9825" s="401"/>
    </row>
    <row r="9826" spans="7:7" hidden="1" x14ac:dyDescent="0.2">
      <c r="G9826" s="401"/>
    </row>
    <row r="9827" spans="7:7" hidden="1" x14ac:dyDescent="0.2">
      <c r="G9827" s="401"/>
    </row>
    <row r="9828" spans="7:7" hidden="1" x14ac:dyDescent="0.2">
      <c r="G9828" s="401"/>
    </row>
    <row r="9829" spans="7:7" hidden="1" x14ac:dyDescent="0.2">
      <c r="G9829" s="401"/>
    </row>
    <row r="9830" spans="7:7" hidden="1" x14ac:dyDescent="0.2">
      <c r="G9830" s="401"/>
    </row>
    <row r="9831" spans="7:7" hidden="1" x14ac:dyDescent="0.2">
      <c r="G9831" s="401"/>
    </row>
    <row r="9832" spans="7:7" hidden="1" x14ac:dyDescent="0.2">
      <c r="G9832" s="401"/>
    </row>
    <row r="9833" spans="7:7" hidden="1" x14ac:dyDescent="0.2">
      <c r="G9833" s="401"/>
    </row>
    <row r="9834" spans="7:7" hidden="1" x14ac:dyDescent="0.2">
      <c r="G9834" s="401"/>
    </row>
    <row r="9835" spans="7:7" hidden="1" x14ac:dyDescent="0.2">
      <c r="G9835" s="401"/>
    </row>
    <row r="9836" spans="7:7" hidden="1" x14ac:dyDescent="0.2">
      <c r="G9836" s="401"/>
    </row>
    <row r="9837" spans="7:7" hidden="1" x14ac:dyDescent="0.2">
      <c r="G9837" s="401"/>
    </row>
    <row r="9838" spans="7:7" hidden="1" x14ac:dyDescent="0.2">
      <c r="G9838" s="401"/>
    </row>
    <row r="9839" spans="7:7" hidden="1" x14ac:dyDescent="0.2">
      <c r="G9839" s="401"/>
    </row>
    <row r="9840" spans="7:7" hidden="1" x14ac:dyDescent="0.2">
      <c r="G9840" s="401"/>
    </row>
    <row r="9841" spans="7:7" hidden="1" x14ac:dyDescent="0.2">
      <c r="G9841" s="401"/>
    </row>
    <row r="9842" spans="7:7" hidden="1" x14ac:dyDescent="0.2">
      <c r="G9842" s="401"/>
    </row>
    <row r="9843" spans="7:7" hidden="1" x14ac:dyDescent="0.2">
      <c r="G9843" s="401"/>
    </row>
    <row r="9844" spans="7:7" hidden="1" x14ac:dyDescent="0.2">
      <c r="G9844" s="401"/>
    </row>
    <row r="9845" spans="7:7" hidden="1" x14ac:dyDescent="0.2">
      <c r="G9845" s="401"/>
    </row>
    <row r="9846" spans="7:7" hidden="1" x14ac:dyDescent="0.2">
      <c r="G9846" s="401"/>
    </row>
    <row r="9847" spans="7:7" hidden="1" x14ac:dyDescent="0.2">
      <c r="G9847" s="401"/>
    </row>
    <row r="9848" spans="7:7" hidden="1" x14ac:dyDescent="0.2">
      <c r="G9848" s="401"/>
    </row>
    <row r="9849" spans="7:7" hidden="1" x14ac:dyDescent="0.2">
      <c r="G9849" s="401"/>
    </row>
    <row r="9850" spans="7:7" hidden="1" x14ac:dyDescent="0.2">
      <c r="G9850" s="401"/>
    </row>
    <row r="9851" spans="7:7" hidden="1" x14ac:dyDescent="0.2">
      <c r="G9851" s="401"/>
    </row>
    <row r="9852" spans="7:7" hidden="1" x14ac:dyDescent="0.2">
      <c r="G9852" s="401"/>
    </row>
    <row r="9853" spans="7:7" hidden="1" x14ac:dyDescent="0.2">
      <c r="G9853" s="401"/>
    </row>
    <row r="9854" spans="7:7" hidden="1" x14ac:dyDescent="0.2">
      <c r="G9854" s="401"/>
    </row>
    <row r="9855" spans="7:7" hidden="1" x14ac:dyDescent="0.2">
      <c r="G9855" s="401"/>
    </row>
    <row r="9856" spans="7:7" hidden="1" x14ac:dyDescent="0.2">
      <c r="G9856" s="401"/>
    </row>
    <row r="9857" spans="7:7" hidden="1" x14ac:dyDescent="0.2">
      <c r="G9857" s="401"/>
    </row>
    <row r="9858" spans="7:7" hidden="1" x14ac:dyDescent="0.2">
      <c r="G9858" s="401"/>
    </row>
    <row r="9859" spans="7:7" hidden="1" x14ac:dyDescent="0.2">
      <c r="G9859" s="401"/>
    </row>
    <row r="9860" spans="7:7" hidden="1" x14ac:dyDescent="0.2">
      <c r="G9860" s="401"/>
    </row>
    <row r="9861" spans="7:7" hidden="1" x14ac:dyDescent="0.2">
      <c r="G9861" s="401"/>
    </row>
    <row r="9862" spans="7:7" hidden="1" x14ac:dyDescent="0.2">
      <c r="G9862" s="401"/>
    </row>
    <row r="9863" spans="7:7" hidden="1" x14ac:dyDescent="0.2">
      <c r="G9863" s="401"/>
    </row>
    <row r="9864" spans="7:7" hidden="1" x14ac:dyDescent="0.2">
      <c r="G9864" s="401"/>
    </row>
    <row r="9865" spans="7:7" hidden="1" x14ac:dyDescent="0.2">
      <c r="G9865" s="401"/>
    </row>
    <row r="9866" spans="7:7" hidden="1" x14ac:dyDescent="0.2">
      <c r="G9866" s="401"/>
    </row>
    <row r="9867" spans="7:7" hidden="1" x14ac:dyDescent="0.2">
      <c r="G9867" s="401"/>
    </row>
    <row r="9868" spans="7:7" hidden="1" x14ac:dyDescent="0.2">
      <c r="G9868" s="401"/>
    </row>
    <row r="9869" spans="7:7" hidden="1" x14ac:dyDescent="0.2">
      <c r="G9869" s="401"/>
    </row>
    <row r="9870" spans="7:7" hidden="1" x14ac:dyDescent="0.2">
      <c r="G9870" s="401"/>
    </row>
    <row r="9871" spans="7:7" hidden="1" x14ac:dyDescent="0.2">
      <c r="G9871" s="401"/>
    </row>
    <row r="9872" spans="7:7" hidden="1" x14ac:dyDescent="0.2">
      <c r="G9872" s="401"/>
    </row>
    <row r="9873" spans="7:7" hidden="1" x14ac:dyDescent="0.2">
      <c r="G9873" s="401"/>
    </row>
    <row r="9874" spans="7:7" hidden="1" x14ac:dyDescent="0.2">
      <c r="G9874" s="401"/>
    </row>
    <row r="9875" spans="7:7" hidden="1" x14ac:dyDescent="0.2">
      <c r="G9875" s="401"/>
    </row>
    <row r="9876" spans="7:7" hidden="1" x14ac:dyDescent="0.2">
      <c r="G9876" s="401"/>
    </row>
    <row r="9877" spans="7:7" hidden="1" x14ac:dyDescent="0.2">
      <c r="G9877" s="401"/>
    </row>
    <row r="9878" spans="7:7" hidden="1" x14ac:dyDescent="0.2">
      <c r="G9878" s="401"/>
    </row>
    <row r="9879" spans="7:7" hidden="1" x14ac:dyDescent="0.2">
      <c r="G9879" s="401"/>
    </row>
    <row r="9880" spans="7:7" hidden="1" x14ac:dyDescent="0.2">
      <c r="G9880" s="401"/>
    </row>
    <row r="9881" spans="7:7" hidden="1" x14ac:dyDescent="0.2">
      <c r="G9881" s="401"/>
    </row>
    <row r="9882" spans="7:7" hidden="1" x14ac:dyDescent="0.2">
      <c r="G9882" s="401"/>
    </row>
    <row r="9883" spans="7:7" hidden="1" x14ac:dyDescent="0.2">
      <c r="G9883" s="401"/>
    </row>
    <row r="9884" spans="7:7" hidden="1" x14ac:dyDescent="0.2">
      <c r="G9884" s="401"/>
    </row>
    <row r="9885" spans="7:7" hidden="1" x14ac:dyDescent="0.2">
      <c r="G9885" s="401"/>
    </row>
    <row r="9886" spans="7:7" hidden="1" x14ac:dyDescent="0.2">
      <c r="G9886" s="401"/>
    </row>
    <row r="9887" spans="7:7" hidden="1" x14ac:dyDescent="0.2">
      <c r="G9887" s="401"/>
    </row>
    <row r="9888" spans="7:7" hidden="1" x14ac:dyDescent="0.2">
      <c r="G9888" s="401"/>
    </row>
    <row r="9889" spans="7:7" hidden="1" x14ac:dyDescent="0.2">
      <c r="G9889" s="401"/>
    </row>
    <row r="9890" spans="7:7" hidden="1" x14ac:dyDescent="0.2">
      <c r="G9890" s="401"/>
    </row>
    <row r="9891" spans="7:7" hidden="1" x14ac:dyDescent="0.2">
      <c r="G9891" s="401"/>
    </row>
    <row r="9892" spans="7:7" hidden="1" x14ac:dyDescent="0.2">
      <c r="G9892" s="401"/>
    </row>
    <row r="9893" spans="7:7" hidden="1" x14ac:dyDescent="0.2">
      <c r="G9893" s="401"/>
    </row>
    <row r="9894" spans="7:7" hidden="1" x14ac:dyDescent="0.2">
      <c r="G9894" s="401"/>
    </row>
    <row r="9895" spans="7:7" hidden="1" x14ac:dyDescent="0.2">
      <c r="G9895" s="401"/>
    </row>
    <row r="9896" spans="7:7" hidden="1" x14ac:dyDescent="0.2">
      <c r="G9896" s="401"/>
    </row>
    <row r="9897" spans="7:7" hidden="1" x14ac:dyDescent="0.2">
      <c r="G9897" s="401"/>
    </row>
    <row r="9898" spans="7:7" hidden="1" x14ac:dyDescent="0.2">
      <c r="G9898" s="401"/>
    </row>
    <row r="9899" spans="7:7" hidden="1" x14ac:dyDescent="0.2">
      <c r="G9899" s="401"/>
    </row>
    <row r="9900" spans="7:7" hidden="1" x14ac:dyDescent="0.2">
      <c r="G9900" s="401"/>
    </row>
    <row r="9901" spans="7:7" hidden="1" x14ac:dyDescent="0.2">
      <c r="G9901" s="401"/>
    </row>
    <row r="9902" spans="7:7" hidden="1" x14ac:dyDescent="0.2">
      <c r="G9902" s="401"/>
    </row>
    <row r="9903" spans="7:7" hidden="1" x14ac:dyDescent="0.2">
      <c r="G9903" s="401"/>
    </row>
    <row r="9904" spans="7:7" hidden="1" x14ac:dyDescent="0.2">
      <c r="G9904" s="401"/>
    </row>
    <row r="9905" spans="7:7" hidden="1" x14ac:dyDescent="0.2">
      <c r="G9905" s="401"/>
    </row>
    <row r="9906" spans="7:7" hidden="1" x14ac:dyDescent="0.2">
      <c r="G9906" s="401"/>
    </row>
    <row r="9907" spans="7:7" hidden="1" x14ac:dyDescent="0.2">
      <c r="G9907" s="401"/>
    </row>
    <row r="9908" spans="7:7" hidden="1" x14ac:dyDescent="0.2">
      <c r="G9908" s="401"/>
    </row>
    <row r="9909" spans="7:7" hidden="1" x14ac:dyDescent="0.2">
      <c r="G9909" s="401"/>
    </row>
    <row r="9910" spans="7:7" hidden="1" x14ac:dyDescent="0.2">
      <c r="G9910" s="401"/>
    </row>
    <row r="9911" spans="7:7" hidden="1" x14ac:dyDescent="0.2">
      <c r="G9911" s="401"/>
    </row>
    <row r="9912" spans="7:7" hidden="1" x14ac:dyDescent="0.2">
      <c r="G9912" s="401"/>
    </row>
    <row r="9913" spans="7:7" hidden="1" x14ac:dyDescent="0.2">
      <c r="G9913" s="401"/>
    </row>
    <row r="9914" spans="7:7" hidden="1" x14ac:dyDescent="0.2">
      <c r="G9914" s="401"/>
    </row>
    <row r="9915" spans="7:7" hidden="1" x14ac:dyDescent="0.2">
      <c r="G9915" s="401"/>
    </row>
    <row r="9916" spans="7:7" hidden="1" x14ac:dyDescent="0.2">
      <c r="G9916" s="401"/>
    </row>
    <row r="9917" spans="7:7" hidden="1" x14ac:dyDescent="0.2">
      <c r="G9917" s="401"/>
    </row>
    <row r="9918" spans="7:7" hidden="1" x14ac:dyDescent="0.2">
      <c r="G9918" s="401"/>
    </row>
    <row r="9919" spans="7:7" hidden="1" x14ac:dyDescent="0.2">
      <c r="G9919" s="401"/>
    </row>
    <row r="9920" spans="7:7" hidden="1" x14ac:dyDescent="0.2">
      <c r="G9920" s="401"/>
    </row>
    <row r="9921" spans="7:7" hidden="1" x14ac:dyDescent="0.2">
      <c r="G9921" s="401"/>
    </row>
    <row r="9922" spans="7:7" hidden="1" x14ac:dyDescent="0.2">
      <c r="G9922" s="401"/>
    </row>
    <row r="9923" spans="7:7" hidden="1" x14ac:dyDescent="0.2">
      <c r="G9923" s="401"/>
    </row>
    <row r="9924" spans="7:7" hidden="1" x14ac:dyDescent="0.2">
      <c r="G9924" s="401"/>
    </row>
    <row r="9925" spans="7:7" hidden="1" x14ac:dyDescent="0.2">
      <c r="G9925" s="401"/>
    </row>
    <row r="9926" spans="7:7" hidden="1" x14ac:dyDescent="0.2">
      <c r="G9926" s="401"/>
    </row>
    <row r="9927" spans="7:7" hidden="1" x14ac:dyDescent="0.2">
      <c r="G9927" s="401"/>
    </row>
    <row r="9928" spans="7:7" hidden="1" x14ac:dyDescent="0.2">
      <c r="G9928" s="401"/>
    </row>
    <row r="9929" spans="7:7" hidden="1" x14ac:dyDescent="0.2">
      <c r="G9929" s="401"/>
    </row>
    <row r="9930" spans="7:7" hidden="1" x14ac:dyDescent="0.2">
      <c r="G9930" s="401"/>
    </row>
    <row r="9931" spans="7:7" hidden="1" x14ac:dyDescent="0.2">
      <c r="G9931" s="401"/>
    </row>
    <row r="9932" spans="7:7" hidden="1" x14ac:dyDescent="0.2">
      <c r="G9932" s="401"/>
    </row>
    <row r="9933" spans="7:7" hidden="1" x14ac:dyDescent="0.2">
      <c r="G9933" s="401"/>
    </row>
    <row r="9934" spans="7:7" hidden="1" x14ac:dyDescent="0.2">
      <c r="G9934" s="401"/>
    </row>
    <row r="9935" spans="7:7" hidden="1" x14ac:dyDescent="0.2">
      <c r="G9935" s="401"/>
    </row>
    <row r="9936" spans="7:7" hidden="1" x14ac:dyDescent="0.2">
      <c r="G9936" s="401"/>
    </row>
    <row r="9937" spans="7:7" hidden="1" x14ac:dyDescent="0.2">
      <c r="G9937" s="401"/>
    </row>
    <row r="9938" spans="7:7" hidden="1" x14ac:dyDescent="0.2">
      <c r="G9938" s="401"/>
    </row>
    <row r="9939" spans="7:7" hidden="1" x14ac:dyDescent="0.2">
      <c r="G9939" s="401"/>
    </row>
    <row r="9940" spans="7:7" hidden="1" x14ac:dyDescent="0.2">
      <c r="G9940" s="401"/>
    </row>
    <row r="9941" spans="7:7" hidden="1" x14ac:dyDescent="0.2">
      <c r="G9941" s="401"/>
    </row>
    <row r="9942" spans="7:7" hidden="1" x14ac:dyDescent="0.2">
      <c r="G9942" s="401"/>
    </row>
    <row r="9943" spans="7:7" hidden="1" x14ac:dyDescent="0.2">
      <c r="G9943" s="401"/>
    </row>
    <row r="9944" spans="7:7" hidden="1" x14ac:dyDescent="0.2">
      <c r="G9944" s="401"/>
    </row>
    <row r="9945" spans="7:7" hidden="1" x14ac:dyDescent="0.2">
      <c r="G9945" s="401"/>
    </row>
    <row r="9946" spans="7:7" hidden="1" x14ac:dyDescent="0.2">
      <c r="G9946" s="401"/>
    </row>
    <row r="9947" spans="7:7" hidden="1" x14ac:dyDescent="0.2">
      <c r="G9947" s="401"/>
    </row>
    <row r="9948" spans="7:7" hidden="1" x14ac:dyDescent="0.2">
      <c r="G9948" s="401"/>
    </row>
    <row r="9949" spans="7:7" hidden="1" x14ac:dyDescent="0.2">
      <c r="G9949" s="401"/>
    </row>
    <row r="9950" spans="7:7" hidden="1" x14ac:dyDescent="0.2">
      <c r="G9950" s="401"/>
    </row>
    <row r="9951" spans="7:7" hidden="1" x14ac:dyDescent="0.2">
      <c r="G9951" s="401"/>
    </row>
    <row r="9952" spans="7:7" hidden="1" x14ac:dyDescent="0.2">
      <c r="G9952" s="401"/>
    </row>
    <row r="9953" spans="7:7" hidden="1" x14ac:dyDescent="0.2">
      <c r="G9953" s="401"/>
    </row>
    <row r="9954" spans="7:7" hidden="1" x14ac:dyDescent="0.2">
      <c r="G9954" s="401"/>
    </row>
    <row r="9955" spans="7:7" hidden="1" x14ac:dyDescent="0.2">
      <c r="G9955" s="401"/>
    </row>
    <row r="9956" spans="7:7" hidden="1" x14ac:dyDescent="0.2">
      <c r="G9956" s="401"/>
    </row>
    <row r="9957" spans="7:7" hidden="1" x14ac:dyDescent="0.2">
      <c r="G9957" s="401"/>
    </row>
    <row r="9958" spans="7:7" hidden="1" x14ac:dyDescent="0.2">
      <c r="G9958" s="401"/>
    </row>
    <row r="9959" spans="7:7" hidden="1" x14ac:dyDescent="0.2">
      <c r="G9959" s="401"/>
    </row>
    <row r="9960" spans="7:7" hidden="1" x14ac:dyDescent="0.2">
      <c r="G9960" s="401"/>
    </row>
    <row r="9961" spans="7:7" hidden="1" x14ac:dyDescent="0.2">
      <c r="G9961" s="401"/>
    </row>
    <row r="9962" spans="7:7" hidden="1" x14ac:dyDescent="0.2">
      <c r="G9962" s="401"/>
    </row>
    <row r="9963" spans="7:7" hidden="1" x14ac:dyDescent="0.2">
      <c r="G9963" s="401"/>
    </row>
    <row r="9964" spans="7:7" hidden="1" x14ac:dyDescent="0.2">
      <c r="G9964" s="401"/>
    </row>
    <row r="9965" spans="7:7" hidden="1" x14ac:dyDescent="0.2">
      <c r="G9965" s="401"/>
    </row>
    <row r="9966" spans="7:7" hidden="1" x14ac:dyDescent="0.2">
      <c r="G9966" s="401"/>
    </row>
    <row r="9967" spans="7:7" hidden="1" x14ac:dyDescent="0.2">
      <c r="G9967" s="401"/>
    </row>
    <row r="9968" spans="7:7" hidden="1" x14ac:dyDescent="0.2">
      <c r="G9968" s="401"/>
    </row>
    <row r="9969" spans="7:7" hidden="1" x14ac:dyDescent="0.2">
      <c r="G9969" s="401"/>
    </row>
    <row r="9970" spans="7:7" hidden="1" x14ac:dyDescent="0.2">
      <c r="G9970" s="401"/>
    </row>
    <row r="9971" spans="7:7" hidden="1" x14ac:dyDescent="0.2">
      <c r="G9971" s="401"/>
    </row>
    <row r="9972" spans="7:7" hidden="1" x14ac:dyDescent="0.2">
      <c r="G9972" s="401"/>
    </row>
    <row r="9973" spans="7:7" hidden="1" x14ac:dyDescent="0.2">
      <c r="G9973" s="401"/>
    </row>
    <row r="9974" spans="7:7" hidden="1" x14ac:dyDescent="0.2">
      <c r="G9974" s="401"/>
    </row>
    <row r="9975" spans="7:7" hidden="1" x14ac:dyDescent="0.2">
      <c r="G9975" s="401"/>
    </row>
    <row r="9976" spans="7:7" hidden="1" x14ac:dyDescent="0.2">
      <c r="G9976" s="401"/>
    </row>
    <row r="9977" spans="7:7" hidden="1" x14ac:dyDescent="0.2">
      <c r="G9977" s="401"/>
    </row>
    <row r="9978" spans="7:7" hidden="1" x14ac:dyDescent="0.2">
      <c r="G9978" s="401"/>
    </row>
    <row r="9979" spans="7:7" hidden="1" x14ac:dyDescent="0.2">
      <c r="G9979" s="401"/>
    </row>
    <row r="9980" spans="7:7" hidden="1" x14ac:dyDescent="0.2">
      <c r="G9980" s="401"/>
    </row>
    <row r="9981" spans="7:7" hidden="1" x14ac:dyDescent="0.2">
      <c r="G9981" s="401"/>
    </row>
    <row r="9982" spans="7:7" hidden="1" x14ac:dyDescent="0.2">
      <c r="G9982" s="401"/>
    </row>
    <row r="9983" spans="7:7" hidden="1" x14ac:dyDescent="0.2">
      <c r="G9983" s="401"/>
    </row>
    <row r="9984" spans="7:7" hidden="1" x14ac:dyDescent="0.2">
      <c r="G9984" s="401"/>
    </row>
    <row r="9985" spans="7:7" hidden="1" x14ac:dyDescent="0.2">
      <c r="G9985" s="401"/>
    </row>
    <row r="9986" spans="7:7" hidden="1" x14ac:dyDescent="0.2">
      <c r="G9986" s="401"/>
    </row>
    <row r="9987" spans="7:7" hidden="1" x14ac:dyDescent="0.2">
      <c r="G9987" s="401"/>
    </row>
    <row r="9988" spans="7:7" hidden="1" x14ac:dyDescent="0.2">
      <c r="G9988" s="401"/>
    </row>
    <row r="9989" spans="7:7" hidden="1" x14ac:dyDescent="0.2">
      <c r="G9989" s="401"/>
    </row>
    <row r="9990" spans="7:7" hidden="1" x14ac:dyDescent="0.2">
      <c r="G9990" s="401"/>
    </row>
    <row r="9991" spans="7:7" hidden="1" x14ac:dyDescent="0.2">
      <c r="G9991" s="401"/>
    </row>
    <row r="9992" spans="7:7" hidden="1" x14ac:dyDescent="0.2">
      <c r="G9992" s="401"/>
    </row>
    <row r="9993" spans="7:7" hidden="1" x14ac:dyDescent="0.2">
      <c r="G9993" s="401"/>
    </row>
    <row r="9994" spans="7:7" hidden="1" x14ac:dyDescent="0.2">
      <c r="G9994" s="401"/>
    </row>
    <row r="9995" spans="7:7" hidden="1" x14ac:dyDescent="0.2">
      <c r="G9995" s="401"/>
    </row>
    <row r="9996" spans="7:7" hidden="1" x14ac:dyDescent="0.2">
      <c r="G9996" s="401"/>
    </row>
    <row r="9997" spans="7:7" hidden="1" x14ac:dyDescent="0.2">
      <c r="G9997" s="401"/>
    </row>
    <row r="9998" spans="7:7" hidden="1" x14ac:dyDescent="0.2">
      <c r="G9998" s="401"/>
    </row>
    <row r="9999" spans="7:7" hidden="1" x14ac:dyDescent="0.2">
      <c r="G9999" s="401"/>
    </row>
    <row r="10000" spans="7:7" hidden="1" x14ac:dyDescent="0.2">
      <c r="G10000" s="401"/>
    </row>
    <row r="10001" spans="7:7" hidden="1" x14ac:dyDescent="0.2">
      <c r="G10001" s="400"/>
    </row>
  </sheetData>
  <sheetProtection algorithmName="SHA-512" hashValue="pOHXH6LvZdDKNEsnGyY4rl8utHbNGTQfPR8h8u4vuXGsJ7YZdgyrsRcpksQ+OIgrtDz2Fn82iJqRQZJGVuYHSw==" saltValue="lvhIsPEHVzQKuSawRvMS4Q==" spinCount="100000" sheet="1" objects="1" scenarios="1" formatCells="0" formatColumns="0" formatRows="0" autoFilter="0"/>
  <mergeCells count="105">
    <mergeCell ref="A1:DE2"/>
    <mergeCell ref="AC7:AC11"/>
    <mergeCell ref="AD7:AD11"/>
    <mergeCell ref="AE7:AE11"/>
    <mergeCell ref="AF7:AF11"/>
    <mergeCell ref="AG7:AG11"/>
    <mergeCell ref="AH7:AH11"/>
    <mergeCell ref="G6:G11"/>
    <mergeCell ref="H6:H11"/>
    <mergeCell ref="I6:I11"/>
    <mergeCell ref="M7:M11"/>
    <mergeCell ref="N7:N11"/>
    <mergeCell ref="O7:O11"/>
    <mergeCell ref="P7:P11"/>
    <mergeCell ref="Q7:Q11"/>
    <mergeCell ref="R7:R11"/>
    <mergeCell ref="S7:S11"/>
    <mergeCell ref="T7:T11"/>
    <mergeCell ref="Y7:Y11"/>
    <mergeCell ref="Z7:Z11"/>
    <mergeCell ref="U7:U11"/>
    <mergeCell ref="V7:V11"/>
    <mergeCell ref="W7:W11"/>
    <mergeCell ref="X7:X11"/>
    <mergeCell ref="AI7:AI11"/>
    <mergeCell ref="AJ7:AJ11"/>
    <mergeCell ref="AK7:AK11"/>
    <mergeCell ref="AL7:AL11"/>
    <mergeCell ref="AB7:AB11"/>
    <mergeCell ref="J6:DE6"/>
    <mergeCell ref="J7:J11"/>
    <mergeCell ref="AA7:AA11"/>
    <mergeCell ref="K7:K11"/>
    <mergeCell ref="L7:L11"/>
    <mergeCell ref="AU7:AU11"/>
    <mergeCell ref="AV7:AV11"/>
    <mergeCell ref="AW7:AW11"/>
    <mergeCell ref="AX7:AX11"/>
    <mergeCell ref="AQ7:AQ11"/>
    <mergeCell ref="AR7:AR11"/>
    <mergeCell ref="AS7:AS11"/>
    <mergeCell ref="AT7:AT11"/>
    <mergeCell ref="AM7:AM11"/>
    <mergeCell ref="AN7:AN11"/>
    <mergeCell ref="AO7:AO11"/>
    <mergeCell ref="AP7:AP11"/>
    <mergeCell ref="BG7:BG11"/>
    <mergeCell ref="BH7:BH11"/>
    <mergeCell ref="BI7:BI11"/>
    <mergeCell ref="BJ7:BJ11"/>
    <mergeCell ref="BC7:BC11"/>
    <mergeCell ref="BD7:BD11"/>
    <mergeCell ref="BE7:BE11"/>
    <mergeCell ref="BF7:BF11"/>
    <mergeCell ref="AY7:AY11"/>
    <mergeCell ref="AZ7:AZ11"/>
    <mergeCell ref="BA7:BA11"/>
    <mergeCell ref="BB7:BB11"/>
    <mergeCell ref="BS7:BS11"/>
    <mergeCell ref="BT7:BT11"/>
    <mergeCell ref="BU7:BU11"/>
    <mergeCell ref="BV7:BV11"/>
    <mergeCell ref="BO7:BO11"/>
    <mergeCell ref="BP7:BP11"/>
    <mergeCell ref="BQ7:BQ11"/>
    <mergeCell ref="BR7:BR11"/>
    <mergeCell ref="BK7:BK11"/>
    <mergeCell ref="BL7:BL11"/>
    <mergeCell ref="BM7:BM11"/>
    <mergeCell ref="BN7:BN11"/>
    <mergeCell ref="CE7:CE11"/>
    <mergeCell ref="CF7:CF11"/>
    <mergeCell ref="CG7:CG11"/>
    <mergeCell ref="CH7:CH11"/>
    <mergeCell ref="CA7:CA11"/>
    <mergeCell ref="CB7:CB11"/>
    <mergeCell ref="CC7:CC11"/>
    <mergeCell ref="CD7:CD11"/>
    <mergeCell ref="BW7:BW11"/>
    <mergeCell ref="BX7:BX11"/>
    <mergeCell ref="BY7:BY11"/>
    <mergeCell ref="BZ7:BZ11"/>
    <mergeCell ref="CQ7:CQ11"/>
    <mergeCell ref="CR7:CR11"/>
    <mergeCell ref="CS7:CS11"/>
    <mergeCell ref="CT7:CT11"/>
    <mergeCell ref="CM7:CM11"/>
    <mergeCell ref="CN7:CN11"/>
    <mergeCell ref="CO7:CO11"/>
    <mergeCell ref="CP7:CP11"/>
    <mergeCell ref="CI7:CI11"/>
    <mergeCell ref="CJ7:CJ11"/>
    <mergeCell ref="CK7:CK11"/>
    <mergeCell ref="CL7:CL11"/>
    <mergeCell ref="DC7:DC11"/>
    <mergeCell ref="DD7:DD11"/>
    <mergeCell ref="DE7:DE11"/>
    <mergeCell ref="CY7:CY11"/>
    <mergeCell ref="CZ7:CZ11"/>
    <mergeCell ref="DA7:DA11"/>
    <mergeCell ref="DB7:DB11"/>
    <mergeCell ref="CU7:CU11"/>
    <mergeCell ref="CV7:CV11"/>
    <mergeCell ref="CW7:CW11"/>
    <mergeCell ref="CX7:CX11"/>
  </mergeCells>
  <phoneticPr fontId="22" type="noConversion"/>
  <dataValidations count="1">
    <dataValidation allowBlank="1" sqref="J12:DE111"/>
  </dataValidations>
  <pageMargins left="0.78740157499999996" right="0.78740157499999996" top="0.984251969" bottom="0.984251969" header="0.49212598499999999" footer="0.49212598499999999"/>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8" r:id="rId4" name="Button 4">
              <controlPr defaultSize="0" print="0" autoFill="0" autoPict="0" macro="[0]!Preenche_RTC">
                <anchor moveWithCells="1" sizeWithCells="1">
                  <from>
                    <xdr:col>10</xdr:col>
                    <xdr:colOff>9525</xdr:colOff>
                    <xdr:row>2</xdr:row>
                    <xdr:rowOff>19050</xdr:rowOff>
                  </from>
                  <to>
                    <xdr:col>23</xdr:col>
                    <xdr:colOff>28575</xdr:colOff>
                    <xdr:row>4</xdr:row>
                    <xdr:rowOff>95250</xdr:rowOff>
                  </to>
                </anchor>
              </controlPr>
            </control>
          </mc:Choice>
        </mc:AlternateContent>
        <mc:AlternateContent xmlns:mc="http://schemas.openxmlformats.org/markup-compatibility/2006">
          <mc:Choice Requires="x14">
            <control shapeId="21509" r:id="rId5" name="Button 5">
              <controlPr defaultSize="0" print="0" autoFill="0" autoPict="0" macro="[0]!Distribuir_Tamanho">
                <anchor moveWithCells="1" sizeWithCells="1">
                  <from>
                    <xdr:col>26</xdr:col>
                    <xdr:colOff>152400</xdr:colOff>
                    <xdr:row>2</xdr:row>
                    <xdr:rowOff>66675</xdr:rowOff>
                  </from>
                  <to>
                    <xdr:col>39</xdr:col>
                    <xdr:colOff>171450</xdr:colOff>
                    <xdr:row>4</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I55"/>
  <sheetViews>
    <sheetView showGridLines="0" tabSelected="1" zoomScale="80" zoomScaleNormal="80" workbookViewId="0">
      <selection activeCell="B9" sqref="B9"/>
    </sheetView>
  </sheetViews>
  <sheetFormatPr defaultColWidth="0" defaultRowHeight="12.75" zeroHeight="1" x14ac:dyDescent="0.2"/>
  <cols>
    <col min="1" max="1" width="11.85546875" customWidth="1"/>
    <col min="2" max="2" width="39.140625" customWidth="1"/>
    <col min="3" max="3" width="15.7109375" customWidth="1"/>
    <col min="4" max="4" width="15.42578125" customWidth="1"/>
    <col min="5" max="5" width="14.42578125" customWidth="1"/>
    <col min="6" max="6" width="19.5703125" customWidth="1"/>
    <col min="7" max="7" width="18.28515625" customWidth="1"/>
    <col min="8" max="8" width="3.42578125" customWidth="1"/>
  </cols>
  <sheetData>
    <row r="1" spans="1:7" x14ac:dyDescent="0.2"/>
    <row r="2" spans="1:7" s="16" customFormat="1" x14ac:dyDescent="0.2">
      <c r="A2" s="299"/>
      <c r="B2" s="300" t="s">
        <v>233</v>
      </c>
      <c r="C2" s="300" t="s">
        <v>234</v>
      </c>
      <c r="D2" s="300" t="s">
        <v>235</v>
      </c>
      <c r="E2" s="263" t="s">
        <v>236</v>
      </c>
    </row>
    <row r="3" spans="1:7" x14ac:dyDescent="0.2">
      <c r="A3" s="237" t="s">
        <v>237</v>
      </c>
      <c r="B3" s="238">
        <f>SUMIF('Funções Dados'!$G9:$G65536,A3,'Funções Dados'!$M9:$M65536)</f>
        <v>0</v>
      </c>
      <c r="C3" s="239">
        <f>COUNTIF('Funções Dados'!$R$9:$R$65536,CONCATENATE($A3,C$2))</f>
        <v>0</v>
      </c>
      <c r="D3" s="239">
        <f>COUNTIF('Funções Dados'!$R$9:$R$65536,CONCATENATE($A3,D$2))</f>
        <v>0</v>
      </c>
      <c r="E3" s="240">
        <f>COUNTIF('Funções Dados'!$R$9:$R$65536,CONCATENATE($A3,E$2))</f>
        <v>0</v>
      </c>
    </row>
    <row r="4" spans="1:7" x14ac:dyDescent="0.2">
      <c r="A4" s="241" t="s">
        <v>238</v>
      </c>
      <c r="B4" s="238">
        <f>SUMIF('Funções Dados'!$G9:$G65536,A4,'Funções Dados'!$M9:$M65536)</f>
        <v>0</v>
      </c>
      <c r="C4" s="239">
        <f>COUNTIF('Funções Dados'!$R$9:$R$65536,CONCATENATE($A4,C$2))</f>
        <v>0</v>
      </c>
      <c r="D4" s="239">
        <f>COUNTIF('Funções Dados'!$R$9:$R$65536,CONCATENATE($A4,D$2))</f>
        <v>0</v>
      </c>
      <c r="E4" s="240">
        <f>COUNTIF('Funções Dados'!$R$9:$R$65536,CONCATENATE($A4,E$2))</f>
        <v>0</v>
      </c>
    </row>
    <row r="5" spans="1:7" x14ac:dyDescent="0.2">
      <c r="A5" s="241" t="s">
        <v>239</v>
      </c>
      <c r="B5" s="238">
        <f>SUMIF('Funções Dados'!$G9:$G65536,A5,'Funções Dados'!$M9:$M65536)</f>
        <v>0</v>
      </c>
      <c r="C5" s="239">
        <f>COUNTIF('Funções Dados'!$R$9:$R$65536,CONCATENATE($A5,C$2))</f>
        <v>0</v>
      </c>
      <c r="D5" s="239">
        <f>COUNTIF('Funções Dados'!$R$9:$R$65536,CONCATENATE($A5,D$2))</f>
        <v>0</v>
      </c>
      <c r="E5" s="240">
        <f>COUNTIF('Funções Dados'!$R$9:$R$65536,CONCATENATE($A5,E$2))</f>
        <v>0</v>
      </c>
    </row>
    <row r="6" spans="1:7" x14ac:dyDescent="0.2">
      <c r="A6" s="241" t="s">
        <v>240</v>
      </c>
      <c r="B6" s="238">
        <f>SUMIF('Funções Transação'!$G9:$G65616,A6,'Funções Transação'!$M9:$M65616)</f>
        <v>4</v>
      </c>
      <c r="C6" s="239">
        <f>COUNTIF('Funções Transação'!$R$9:$R$65616,CONCATENATE($A6,C$2))</f>
        <v>0</v>
      </c>
      <c r="D6" s="239">
        <f>COUNTIF('Funções Transação'!$R$9:$R$65616,CONCATENATE($A6,D$2))</f>
        <v>1</v>
      </c>
      <c r="E6" s="240">
        <f>COUNTIF('Funções Transação'!$R$9:$R$65616,CONCATENATE($A6,E$2))</f>
        <v>0</v>
      </c>
    </row>
    <row r="7" spans="1:7" x14ac:dyDescent="0.2">
      <c r="A7" s="241" t="s">
        <v>241</v>
      </c>
      <c r="B7" s="238">
        <f>SUMIF('Funções Transação'!$G9:$G65616,A7,'Funções Transação'!$M9:$M65616)</f>
        <v>0</v>
      </c>
      <c r="C7" s="239">
        <f>COUNTIF('Funções Transação'!$R$9:$R$65616,CONCATENATE($A7,C$2))</f>
        <v>0</v>
      </c>
      <c r="D7" s="239">
        <f>COUNTIF('Funções Transação'!$R$9:$R$65616,CONCATENATE($A7,D$2))</f>
        <v>0</v>
      </c>
      <c r="E7" s="240">
        <f>COUNTIF('Funções Transação'!$R$9:$R$65616,CONCATENATE($A7,E$2))</f>
        <v>0</v>
      </c>
    </row>
    <row r="8" spans="1:7" x14ac:dyDescent="0.2">
      <c r="A8" s="242" t="s">
        <v>242</v>
      </c>
      <c r="B8" s="243">
        <f>SUMIF('Funções Transação'!$G9:$G65616,A8,'Funções Transação'!$M9:$M65616)</f>
        <v>0</v>
      </c>
      <c r="C8" s="239">
        <f>COUNTIF('Funções Transação'!$R$9:$R$65616,CONCATENATE($A8,C$2))</f>
        <v>0</v>
      </c>
      <c r="D8" s="239">
        <f>COUNTIF('Funções Transação'!$R$9:$R$65616,CONCATENATE($A8,D$2))</f>
        <v>0</v>
      </c>
      <c r="E8" s="240">
        <f>COUNTIF('Funções Transação'!$R$9:$R$65616,CONCATENATE($A8,E$2))</f>
        <v>0</v>
      </c>
    </row>
    <row r="9" spans="1:7" ht="12.75" customHeight="1" thickBot="1" x14ac:dyDescent="0.25">
      <c r="A9" s="244" t="s">
        <v>113</v>
      </c>
      <c r="B9" s="245">
        <f>SUM(B3:B8)</f>
        <v>4</v>
      </c>
      <c r="C9" s="246">
        <f>SUM(C3:C8)</f>
        <v>0</v>
      </c>
      <c r="D9" s="247">
        <f>SUM(D3:D8)</f>
        <v>1</v>
      </c>
      <c r="E9" s="248">
        <f>SUM(E3:E8)</f>
        <v>0</v>
      </c>
    </row>
    <row r="10" spans="1:7" ht="12.75" customHeight="1" thickBot="1" x14ac:dyDescent="0.25">
      <c r="A10" s="131"/>
      <c r="B10" s="131"/>
      <c r="C10" s="131"/>
      <c r="D10" s="131"/>
      <c r="E10" s="131"/>
    </row>
    <row r="11" spans="1:7" ht="13.5" thickBot="1" x14ac:dyDescent="0.25">
      <c r="A11" s="543" t="s">
        <v>243</v>
      </c>
      <c r="B11" s="544"/>
      <c r="C11" s="545"/>
      <c r="D11" s="552" t="s">
        <v>244</v>
      </c>
      <c r="E11" s="553"/>
      <c r="F11" s="553"/>
      <c r="G11" s="554"/>
    </row>
    <row r="12" spans="1:7" x14ac:dyDescent="0.2">
      <c r="A12" s="546" t="s">
        <v>245</v>
      </c>
      <c r="B12" s="547"/>
      <c r="C12" s="259">
        <f>(SUMIF('Funções Dados'!$F$9:$F$65536,"I",'Funções Dados'!$Q$9:$Q$65536)+SUMIF('Funções Transação'!$F$9:$F$65616,"I",'Funções Transação'!$Q$9:$Q$65616))</f>
        <v>0</v>
      </c>
      <c r="D12" s="548" t="s">
        <v>246</v>
      </c>
      <c r="E12" s="549"/>
      <c r="F12" s="549"/>
      <c r="G12" s="249">
        <f>(SUMIF(SNAP!$G$9:$G$65536,"I",SNAP!$AB$9:$AB$65536))</f>
        <v>0</v>
      </c>
    </row>
    <row r="13" spans="1:7" x14ac:dyDescent="0.2">
      <c r="A13" s="555" t="s">
        <v>247</v>
      </c>
      <c r="B13" s="556"/>
      <c r="C13" s="250">
        <f>(SUMIF('Funções Dados'!$F$9:$F$65536,"A",'Funções Dados'!$Q$9:$Q$65536)+SUMIF('Funções Transação'!$F$9:$F$65616,"A",'Funções Transação'!$Q$9:$Q$65616))</f>
        <v>0</v>
      </c>
      <c r="D13" s="559" t="s">
        <v>248</v>
      </c>
      <c r="E13" s="560"/>
      <c r="F13" s="560"/>
      <c r="G13" s="250">
        <f>(SUMIF(SNAP!$G$9:$G$65536,"A",SNAP!$AB$9:$AB$65536))</f>
        <v>0</v>
      </c>
    </row>
    <row r="14" spans="1:7" ht="13.5" thickBot="1" x14ac:dyDescent="0.25">
      <c r="A14" s="557" t="s">
        <v>249</v>
      </c>
      <c r="B14" s="558"/>
      <c r="C14" s="258">
        <f>(SUMIF('Funções Dados'!$F$9:$F$65536,"E",'Funções Dados'!$Q$9:$Q$65536)+SUMIF('Funções Transação'!$F$9:$F$65616,"E",'Funções Transação'!$Q$9:$Q$65616))</f>
        <v>0</v>
      </c>
      <c r="D14" s="550" t="s">
        <v>250</v>
      </c>
      <c r="E14" s="551"/>
      <c r="F14" s="551"/>
      <c r="G14" s="304">
        <f>(SUMIF(SNAP!$G$9:$G$65536,"E",SNAP!$AB$9:$AB$65536))</f>
        <v>0</v>
      </c>
    </row>
    <row r="15" spans="1:7" ht="12.75" customHeight="1" thickBot="1" x14ac:dyDescent="0.25">
      <c r="A15" s="131"/>
      <c r="B15" s="131"/>
      <c r="C15" s="131"/>
      <c r="D15" s="131"/>
      <c r="E15" s="131"/>
    </row>
    <row r="16" spans="1:7" ht="13.5" thickBot="1" x14ac:dyDescent="0.25">
      <c r="A16" s="537" t="s">
        <v>251</v>
      </c>
      <c r="B16" s="538"/>
      <c r="C16" s="305">
        <f>B9</f>
        <v>4</v>
      </c>
      <c r="D16" s="534" t="s">
        <v>252</v>
      </c>
      <c r="E16" s="535"/>
      <c r="F16" s="535"/>
      <c r="G16" s="536"/>
    </row>
    <row r="17" spans="1:9" x14ac:dyDescent="0.2">
      <c r="A17" s="539" t="s">
        <v>253</v>
      </c>
      <c r="B17" s="540"/>
      <c r="C17" s="306">
        <f>TOTAL_PF_DADOS+TOTAL_PF_TRANSACAO</f>
        <v>4</v>
      </c>
      <c r="D17" s="307" t="s">
        <v>254</v>
      </c>
      <c r="E17" s="308"/>
      <c r="F17" s="308"/>
      <c r="G17" s="309">
        <f>B9</f>
        <v>4</v>
      </c>
    </row>
    <row r="18" spans="1:9" ht="13.5" thickBot="1" x14ac:dyDescent="0.25">
      <c r="A18" s="539" t="s">
        <v>255</v>
      </c>
      <c r="B18" s="540"/>
      <c r="C18" s="306">
        <f>TOTAL_PF_DADOS+TOTAL_PF_TRANSACAO</f>
        <v>4</v>
      </c>
      <c r="D18" s="310" t="s">
        <v>256</v>
      </c>
      <c r="E18" s="311"/>
      <c r="F18" s="311"/>
      <c r="G18" s="312">
        <f>(SUMIF(SNAP!$S$9:$S$65536,"MARCADOR DE TOTAL DA PANILHA SNAP",SNAP!$Y$9:$Y$65536))</f>
        <v>0</v>
      </c>
    </row>
    <row r="19" spans="1:9" x14ac:dyDescent="0.2">
      <c r="A19" s="539" t="s">
        <v>257</v>
      </c>
      <c r="B19" s="540"/>
      <c r="C19" s="306">
        <f>Produtividade</f>
        <v>1</v>
      </c>
      <c r="D19" s="156" t="str">
        <f>IF(FSDMS!A31="X",IF(AND(Produtividade=1.35,Parâmetros!J75&gt;6),"Ok: VFA = 1,35 devido ser Projeto de Migração de Base de Dados.",IF(AND(Produtividade&lt;&gt;1.35,Parâmetros!J75&gt;6),"Verificar FSDMS: Projeto de Migração de Base de Dados VFA = 1,35.",IF(AND(Produtividade&lt;&gt;1,Parâmetros!J75&lt;7),"Verificar se o VFA está correto para a FSW escolhida",""))),IF(AND(Produtividade=1.35,Parâmetros!J75=25),"Ok: VFA = 1,35 devido ser Projeto de Geração de Interface e Integração.",IF(Produtividade&lt;&gt;1,"Verificar se realmente o VFA é diferente de 1.","")))</f>
        <v/>
      </c>
      <c r="E19" s="131"/>
    </row>
    <row r="20" spans="1:9" ht="13.5" thickBot="1" x14ac:dyDescent="0.25">
      <c r="A20" s="541" t="s">
        <v>258</v>
      </c>
      <c r="B20" s="542"/>
      <c r="C20" s="313">
        <f>IF(VAF="SIM",C17*C19,C17)</f>
        <v>4</v>
      </c>
      <c r="D20" s="156" t="str">
        <f>IF(AND(C19&lt;&gt;1,C20=C16),"Avaliar VFA lançado no FSDMS para FSW escolhida","")</f>
        <v/>
      </c>
      <c r="E20" s="131"/>
    </row>
    <row r="21" spans="1:9" ht="13.5" thickBot="1" x14ac:dyDescent="0.25">
      <c r="A21" s="131"/>
      <c r="B21" s="131"/>
      <c r="C21" s="131"/>
      <c r="D21" s="131"/>
      <c r="E21" s="132"/>
    </row>
    <row r="22" spans="1:9" ht="13.5" thickBot="1" x14ac:dyDescent="0.25">
      <c r="A22" s="534" t="s">
        <v>259</v>
      </c>
      <c r="B22" s="535"/>
      <c r="C22" s="535"/>
      <c r="D22" s="534" t="s">
        <v>260</v>
      </c>
      <c r="E22" s="535"/>
      <c r="F22" s="535"/>
      <c r="G22" s="536"/>
    </row>
    <row r="23" spans="1:9" x14ac:dyDescent="0.2">
      <c r="A23" s="561" t="s">
        <v>261</v>
      </c>
      <c r="B23" s="562"/>
      <c r="C23" s="314">
        <f>SUMIF('Funções Dados'!$E$9:$E$65536,"I",'Funções Dados'!$P$9:$P$65536)+SUMIF('Funções Transação'!$E$9:$E$65616,"I",'Funções Transação'!$P$9:$P$65616)</f>
        <v>0</v>
      </c>
      <c r="D23" s="307" t="s">
        <v>262</v>
      </c>
      <c r="E23" s="308"/>
      <c r="F23" s="315"/>
      <c r="G23" s="316">
        <f>IF(Parâmetros!$J$75&lt;&gt;30,SUMIF(SNAP!$G$9:$G$65536,"I",SNAP!$AC$9:$AC$65536),0)</f>
        <v>0</v>
      </c>
      <c r="I23" s="131">
        <f>(SalvaPFConvPS(Parâmetros!$J$75,"I",SUMIF('Funções Dados'!$E$9:$E$65536,"I",'Funções Dados'!$P$9:$P$65536)+SUMIF('Funções Transação'!$E$9:$E$65616,"I",'Funções Transação'!$P$9:$P$65616)+SUMIF(SNAP!$G$9:$G$65536,"I",SNAP!$AC$9:$AC$65536)))</f>
        <v>0</v>
      </c>
    </row>
    <row r="24" spans="1:9" x14ac:dyDescent="0.2">
      <c r="A24" s="563" t="s">
        <v>263</v>
      </c>
      <c r="B24" s="564"/>
      <c r="C24" s="317">
        <f>SUMIF('Funções Dados'!$E$9:$E$65536,"A",'Funções Dados'!$P$9:$P$65536)+SUMIF('Funções Transação'!$E$9:$E$65616,"A",'Funções Transação'!$P$9:$P$65616)</f>
        <v>4</v>
      </c>
      <c r="D24" s="318" t="s">
        <v>264</v>
      </c>
      <c r="E24" s="319"/>
      <c r="F24" s="319"/>
      <c r="G24" s="320">
        <f>IF(Parâmetros!$J$75&lt;&gt;30,SUMIF(SNAP!$G$9:$G$65536,"A",SNAP!$AC$9:$AC$65536),0)</f>
        <v>0</v>
      </c>
      <c r="I24" s="131">
        <f>(SalvaPFConvPS(Parâmetros!$J$75,"A",SUMIF('Funções Dados'!$E$9:$E$65536,"A",'Funções Dados'!$P$9:$P$65536)+SUMIF('Funções Transação'!$E$9:$E$65616,"A",'Funções Transação'!$P$9:$P$65616)+SUMIF(SNAP!$G$9:$G$65536,"A",SNAP!$AC$9:$AC$65536)))</f>
        <v>0</v>
      </c>
    </row>
    <row r="25" spans="1:9" ht="13.5" thickBot="1" x14ac:dyDescent="0.25">
      <c r="A25" s="567" t="s">
        <v>265</v>
      </c>
      <c r="B25" s="568"/>
      <c r="C25" s="321">
        <f>SUMIF('Funções Dados'!$E$9:$E$65536,"E",'Funções Dados'!$P$9:$P$65536)+SUMIF('Funções Transação'!$E$9:$E$65616,"E",'Funções Transação'!$P$9:$P$65616)</f>
        <v>0</v>
      </c>
      <c r="D25" s="310" t="s">
        <v>266</v>
      </c>
      <c r="E25" s="311"/>
      <c r="F25" s="322"/>
      <c r="G25" s="323">
        <f>IF(Parâmetros!$J$75&lt;&gt;30,SUMIF(SNAP!$G$9:$G$65536,"E",SNAP!$AC$9:$AC$65536),0)</f>
        <v>0</v>
      </c>
      <c r="I25" s="131">
        <f>(SalvaPFConvPS(Parâmetros!$J$75,"E",SUMIF('Funções Dados'!$E$9:$E$65536,"E",'Funções Dados'!$P$9:$P$65536)+SUMIF('Funções Transação'!$E$9:$E$65616,"E",'Funções Transação'!$P$9:$P$65616)+SUMIF(SNAP!$G$9:$G$65536,"E",SNAP!$AC$9:$AC$65536)))</f>
        <v>0</v>
      </c>
    </row>
    <row r="26" spans="1:9" ht="13.5" thickBot="1" x14ac:dyDescent="0.25">
      <c r="A26" s="324" t="s">
        <v>267</v>
      </c>
      <c r="B26" s="325"/>
      <c r="C26" s="326">
        <f>SUM(C23:C25)</f>
        <v>4</v>
      </c>
      <c r="D26" s="565" t="s">
        <v>268</v>
      </c>
      <c r="E26" s="566"/>
      <c r="F26" s="566"/>
      <c r="G26" s="327">
        <f>SUM(G23:G25)</f>
        <v>0</v>
      </c>
    </row>
    <row r="27" spans="1:9" ht="13.5" thickBot="1" x14ac:dyDescent="0.25">
      <c r="A27" s="131"/>
      <c r="B27" s="131"/>
      <c r="C27" s="131"/>
      <c r="D27" s="131"/>
      <c r="E27" s="131"/>
    </row>
    <row r="28" spans="1:9" ht="13.5" thickBot="1" x14ac:dyDescent="0.25">
      <c r="A28" s="543" t="s">
        <v>269</v>
      </c>
      <c r="B28" s="544"/>
      <c r="C28" s="585"/>
      <c r="D28" s="131"/>
      <c r="E28" s="131"/>
    </row>
    <row r="29" spans="1:9" ht="13.5" thickBot="1" x14ac:dyDescent="0.25">
      <c r="A29" s="591" t="s">
        <v>270</v>
      </c>
      <c r="B29" s="592"/>
      <c r="C29" s="260">
        <f>IF(AND(Parâmetros!J75&gt;6,Parâmetros!J75&lt;&gt;31),0,(Itens_não_Mensuraveis!$E$43+INM_WEB_CMS!$E$36+INM_WEB_EXO!$E$26))</f>
        <v>0</v>
      </c>
      <c r="D29" s="156" t="str">
        <f>IF(AND((Itens_não_Mensuraveis!$E$43+INM_WEB_CMS!$E$36+INM_WEB_EXO!$E$26)&lt;&gt;0,Parâmetros!J75&gt;6,Parâmetros!J75&lt;&gt;31),"Não utilizar INM para a FSW escolhida","")</f>
        <v/>
      </c>
      <c r="E29" s="131"/>
    </row>
    <row r="30" spans="1:9" ht="13.5" thickBot="1" x14ac:dyDescent="0.25">
      <c r="A30" s="156"/>
      <c r="B30" s="156"/>
      <c r="C30" s="156"/>
      <c r="D30" s="156"/>
      <c r="E30" s="131"/>
    </row>
    <row r="31" spans="1:9" ht="13.5" thickBot="1" x14ac:dyDescent="0.25">
      <c r="A31" s="593" t="s">
        <v>271</v>
      </c>
      <c r="B31" s="594"/>
      <c r="C31" s="594"/>
      <c r="D31" s="594"/>
      <c r="E31" s="594"/>
      <c r="F31" s="594"/>
      <c r="G31" s="595"/>
    </row>
    <row r="32" spans="1:9" ht="13.5" thickBot="1" x14ac:dyDescent="0.25">
      <c r="A32" s="543" t="s">
        <v>272</v>
      </c>
      <c r="B32" s="544"/>
      <c r="C32" s="585"/>
      <c r="D32" s="593" t="s">
        <v>273</v>
      </c>
      <c r="E32" s="594"/>
      <c r="F32" s="594"/>
      <c r="G32" s="595"/>
    </row>
    <row r="33" spans="1:7" ht="12" customHeight="1" thickBot="1" x14ac:dyDescent="0.25">
      <c r="A33" s="596" t="s">
        <v>274</v>
      </c>
      <c r="B33" s="597"/>
      <c r="C33" s="261">
        <f>PERSPECTIVA_NAO_FUNCIONAL_UST!E135</f>
        <v>0</v>
      </c>
      <c r="D33" s="598" t="s">
        <v>275</v>
      </c>
      <c r="E33" s="599"/>
      <c r="F33" s="251">
        <v>8.73</v>
      </c>
      <c r="G33" s="252">
        <f>IF(Parâmetros!J75=29,C23*F33,0)</f>
        <v>0</v>
      </c>
    </row>
    <row r="34" spans="1:7" ht="12" customHeight="1" x14ac:dyDescent="0.2">
      <c r="A34" s="171" t="s">
        <v>276</v>
      </c>
      <c r="B34" s="171"/>
      <c r="C34" s="171">
        <f>ValorUST(Parâmetros!J75)</f>
        <v>0</v>
      </c>
      <c r="D34" s="575" t="s">
        <v>277</v>
      </c>
      <c r="E34" s="576"/>
      <c r="F34" s="253">
        <v>8.73</v>
      </c>
      <c r="G34" s="254">
        <f>IF(Parâmetros!J75=29,C24*F34,0)</f>
        <v>0</v>
      </c>
    </row>
    <row r="35" spans="1:7" ht="12" customHeight="1" thickBot="1" x14ac:dyDescent="0.25">
      <c r="A35" s="171" t="s">
        <v>278</v>
      </c>
      <c r="B35" s="171"/>
      <c r="C35" s="171">
        <f>C33*C34</f>
        <v>0</v>
      </c>
      <c r="D35" s="577" t="s">
        <v>279</v>
      </c>
      <c r="E35" s="578"/>
      <c r="F35" s="255">
        <v>8.73</v>
      </c>
      <c r="G35" s="256">
        <f>IF(Parâmetros!J75=29,C25*F35,0)</f>
        <v>0</v>
      </c>
    </row>
    <row r="36" spans="1:7" ht="13.5" thickBot="1" x14ac:dyDescent="0.25">
      <c r="A36" s="131"/>
      <c r="B36" s="131"/>
      <c r="C36" s="131"/>
      <c r="D36" s="579" t="s">
        <v>280</v>
      </c>
      <c r="E36" s="580"/>
      <c r="F36" s="581"/>
      <c r="G36" s="257">
        <f>SUM(G33:G35)+C33</f>
        <v>0</v>
      </c>
    </row>
    <row r="37" spans="1:7" x14ac:dyDescent="0.2">
      <c r="A37" s="212" t="s">
        <v>281</v>
      </c>
      <c r="B37" s="201"/>
      <c r="C37" s="202"/>
      <c r="D37" s="156"/>
      <c r="E37" s="131"/>
    </row>
    <row r="38" spans="1:7" ht="28.5" hidden="1" customHeight="1" x14ac:dyDescent="0.2">
      <c r="D38" s="131"/>
    </row>
    <row r="39" spans="1:7" ht="13.5" hidden="1" thickBot="1" x14ac:dyDescent="0.25">
      <c r="A39" s="586" t="s">
        <v>282</v>
      </c>
      <c r="B39" s="587"/>
      <c r="C39" s="587"/>
      <c r="D39" s="587"/>
      <c r="E39" s="587"/>
      <c r="F39" s="587"/>
      <c r="G39" s="588"/>
    </row>
    <row r="40" spans="1:7" ht="45" hidden="1" x14ac:dyDescent="0.2">
      <c r="A40" s="126" t="s">
        <v>283</v>
      </c>
      <c r="B40" s="127" t="s">
        <v>284</v>
      </c>
      <c r="C40" s="127" t="s">
        <v>285</v>
      </c>
      <c r="D40" s="127" t="s">
        <v>286</v>
      </c>
      <c r="E40" s="127" t="s">
        <v>287</v>
      </c>
      <c r="F40" s="127" t="s">
        <v>288</v>
      </c>
      <c r="G40" s="128" t="s">
        <v>289</v>
      </c>
    </row>
    <row r="41" spans="1:7" ht="13.5" hidden="1" thickBot="1" x14ac:dyDescent="0.25">
      <c r="A41" s="129" t="s">
        <v>290</v>
      </c>
      <c r="B41" s="135">
        <f>VLOOKUP(A41,$A$53:$B$55,2,FALSE)</f>
        <v>1</v>
      </c>
      <c r="C41" s="130" t="s">
        <v>291</v>
      </c>
      <c r="D41" s="130" t="s">
        <v>292</v>
      </c>
      <c r="E41" s="133" t="str">
        <f>VLOOKUP($B$41&amp;$C$41&amp;$D$41,Parâmetros!$G$17:$M$43,5,FALSE)</f>
        <v>D</v>
      </c>
      <c r="F41" s="133">
        <f>IF($C$29&lt;&gt;0,VLOOKUP($B$41&amp;$C$41&amp;$D$41,Parâmetros!$G$17:$M$43,6,FALSE),0)</f>
        <v>0</v>
      </c>
      <c r="G41" s="134">
        <f>IF(C29&lt;&gt;0,VLOOKUP($B$41&amp;$C$41&amp;$D$41,Parâmetros!$G$17:$M$43,7,FALSE),0)</f>
        <v>0</v>
      </c>
    </row>
    <row r="43" spans="1:7" ht="26.25" hidden="1" thickBot="1" x14ac:dyDescent="0.25">
      <c r="B43" s="125" t="s">
        <v>293</v>
      </c>
      <c r="C43" s="589" t="s">
        <v>294</v>
      </c>
      <c r="D43" s="589"/>
      <c r="E43" s="590"/>
      <c r="F43" s="124"/>
    </row>
    <row r="44" spans="1:7" hidden="1" x14ac:dyDescent="0.2">
      <c r="B44" s="582"/>
      <c r="C44" s="569"/>
      <c r="D44" s="569"/>
      <c r="E44" s="570"/>
    </row>
    <row r="45" spans="1:7" hidden="1" x14ac:dyDescent="0.2">
      <c r="B45" s="583"/>
      <c r="C45" s="571"/>
      <c r="D45" s="571"/>
      <c r="E45" s="572"/>
    </row>
    <row r="46" spans="1:7" ht="15" hidden="1" customHeight="1" x14ac:dyDescent="0.2">
      <c r="B46" s="583"/>
      <c r="C46" s="571"/>
      <c r="D46" s="571"/>
      <c r="E46" s="572"/>
    </row>
    <row r="47" spans="1:7" hidden="1" x14ac:dyDescent="0.2">
      <c r="B47" s="583"/>
      <c r="C47" s="571"/>
      <c r="D47" s="571"/>
      <c r="E47" s="572"/>
    </row>
    <row r="48" spans="1:7" hidden="1" x14ac:dyDescent="0.2">
      <c r="B48" s="583"/>
      <c r="C48" s="571"/>
      <c r="D48" s="571"/>
      <c r="E48" s="572"/>
    </row>
    <row r="49" spans="1:6" hidden="1" x14ac:dyDescent="0.2">
      <c r="B49" s="583"/>
      <c r="C49" s="571"/>
      <c r="D49" s="571"/>
      <c r="E49" s="572"/>
    </row>
    <row r="50" spans="1:6" ht="13.5" hidden="1" thickBot="1" x14ac:dyDescent="0.25">
      <c r="B50" s="584"/>
      <c r="C50" s="573"/>
      <c r="D50" s="573"/>
      <c r="E50" s="574"/>
    </row>
    <row r="52" spans="1:6" hidden="1" x14ac:dyDescent="0.2">
      <c r="A52" s="20"/>
      <c r="B52" s="20"/>
      <c r="C52" s="20"/>
      <c r="D52" s="20"/>
      <c r="F52" s="120"/>
    </row>
    <row r="53" spans="1:6" hidden="1" x14ac:dyDescent="0.2">
      <c r="A53" s="108" t="s">
        <v>290</v>
      </c>
      <c r="B53">
        <v>1</v>
      </c>
      <c r="C53" t="s">
        <v>295</v>
      </c>
      <c r="D53" t="s">
        <v>295</v>
      </c>
      <c r="F53" s="119"/>
    </row>
    <row r="54" spans="1:6" hidden="1" x14ac:dyDescent="0.2">
      <c r="A54" s="108" t="s">
        <v>296</v>
      </c>
      <c r="B54">
        <v>2</v>
      </c>
      <c r="C54" t="s">
        <v>291</v>
      </c>
      <c r="D54" t="s">
        <v>291</v>
      </c>
    </row>
    <row r="55" spans="1:6" hidden="1" x14ac:dyDescent="0.2">
      <c r="A55" s="108" t="s">
        <v>297</v>
      </c>
      <c r="B55">
        <v>3</v>
      </c>
      <c r="C55" t="s">
        <v>292</v>
      </c>
      <c r="D55" t="s">
        <v>292</v>
      </c>
    </row>
  </sheetData>
  <sheetProtection password="FB4B" sheet="1" formatCells="0" formatColumns="0" formatRows="0"/>
  <mergeCells count="34">
    <mergeCell ref="A28:C28"/>
    <mergeCell ref="A39:G39"/>
    <mergeCell ref="C43:E43"/>
    <mergeCell ref="A29:B29"/>
    <mergeCell ref="A31:G31"/>
    <mergeCell ref="A32:C32"/>
    <mergeCell ref="D32:G32"/>
    <mergeCell ref="A33:B33"/>
    <mergeCell ref="D33:E33"/>
    <mergeCell ref="C44:E50"/>
    <mergeCell ref="D34:E34"/>
    <mergeCell ref="D35:E35"/>
    <mergeCell ref="D36:F36"/>
    <mergeCell ref="B44:B50"/>
    <mergeCell ref="D22:G22"/>
    <mergeCell ref="A23:B23"/>
    <mergeCell ref="A24:B24"/>
    <mergeCell ref="D26:F26"/>
    <mergeCell ref="A25:B25"/>
    <mergeCell ref="A22:C22"/>
    <mergeCell ref="A11:C11"/>
    <mergeCell ref="A12:B12"/>
    <mergeCell ref="D12:F12"/>
    <mergeCell ref="D14:F14"/>
    <mergeCell ref="D11:G11"/>
    <mergeCell ref="A13:B13"/>
    <mergeCell ref="A14:B14"/>
    <mergeCell ref="D13:F13"/>
    <mergeCell ref="D16:G16"/>
    <mergeCell ref="A16:B16"/>
    <mergeCell ref="A19:B19"/>
    <mergeCell ref="A18:B18"/>
    <mergeCell ref="A20:B20"/>
    <mergeCell ref="A17:B17"/>
  </mergeCells>
  <phoneticPr fontId="22" type="noConversion"/>
  <dataValidations count="3">
    <dataValidation type="list" allowBlank="1" showInputMessage="1" showErrorMessage="1" sqref="D41">
      <formula1>$D$53:$D$55</formula1>
    </dataValidation>
    <dataValidation type="list" allowBlank="1" showInputMessage="1" showErrorMessage="1" sqref="A41">
      <formula1>$A$53:$A$55</formula1>
    </dataValidation>
    <dataValidation type="list" allowBlank="1" showInputMessage="1" showErrorMessage="1" sqref="C41">
      <formula1>$C$53:$C$55</formula1>
    </dataValidation>
  </dataValidations>
  <pageMargins left="0.51181102362204722" right="0.51181102362204722" top="0.78740157480314965" bottom="0.78740157480314965" header="0.51181102362204722" footer="0.51181102362204722"/>
  <pageSetup scale="82" firstPageNumber="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dimension ref="A1:AQ206"/>
  <sheetViews>
    <sheetView topLeftCell="A73" zoomScale="75" workbookViewId="0"/>
  </sheetViews>
  <sheetFormatPr defaultRowHeight="12.75" x14ac:dyDescent="0.2"/>
  <cols>
    <col min="1" max="1" width="7.42578125" customWidth="1"/>
    <col min="2" max="2" width="56.28515625" bestFit="1" customWidth="1"/>
    <col min="3" max="3" width="53.42578125" bestFit="1" customWidth="1"/>
    <col min="4" max="4" width="12.7109375" customWidth="1"/>
    <col min="5" max="5" width="12.85546875" customWidth="1"/>
    <col min="8" max="8" width="9.7109375" customWidth="1"/>
    <col min="9" max="9" width="24.85546875" customWidth="1"/>
    <col min="10" max="10" width="13.7109375" customWidth="1"/>
    <col min="11" max="11" width="10.140625" customWidth="1"/>
    <col min="12" max="12" width="11.28515625" customWidth="1"/>
    <col min="13" max="13" width="10.42578125" customWidth="1"/>
    <col min="16" max="16" width="9" customWidth="1"/>
    <col min="25" max="25" width="17.28515625" bestFit="1" customWidth="1"/>
  </cols>
  <sheetData>
    <row r="1" spans="1:43" ht="13.5" thickBot="1" x14ac:dyDescent="0.25">
      <c r="A1" s="132" t="s">
        <v>298</v>
      </c>
      <c r="B1" s="268" t="s">
        <v>299</v>
      </c>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row>
    <row r="2" spans="1:43" ht="13.5" thickBot="1" x14ac:dyDescent="0.25">
      <c r="A2" s="269" t="s">
        <v>300</v>
      </c>
      <c r="B2" s="268" t="str">
        <f>IF(J75&gt;6,"SIM","NÃO")</f>
        <v>SIM</v>
      </c>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row>
    <row r="3" spans="1:43" ht="13.5" thickBot="1" x14ac:dyDescent="0.25">
      <c r="A3" s="269" t="s">
        <v>301</v>
      </c>
      <c r="B3" s="270">
        <f>IF(FSDMS!E42&gt;0.64,FSDMS!E42,1)</f>
        <v>1</v>
      </c>
      <c r="C3" s="271"/>
      <c r="D3" s="131"/>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c r="AE3" s="131"/>
      <c r="AF3" s="131"/>
      <c r="AG3" s="131"/>
      <c r="AH3" s="131"/>
      <c r="AI3" s="131"/>
      <c r="AJ3" s="131"/>
      <c r="AK3" s="131"/>
      <c r="AL3" s="131"/>
      <c r="AM3" s="131"/>
      <c r="AN3" s="131"/>
      <c r="AO3" s="131"/>
      <c r="AP3" s="131"/>
      <c r="AQ3" s="131"/>
    </row>
    <row r="4" spans="1:43" x14ac:dyDescent="0.2">
      <c r="A4" s="132"/>
      <c r="B4" s="132"/>
      <c r="C4" s="131"/>
      <c r="D4" s="131"/>
      <c r="E4" s="131"/>
      <c r="F4" s="131"/>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131"/>
      <c r="AI4" s="131"/>
      <c r="AJ4" s="131"/>
      <c r="AK4" s="131"/>
      <c r="AL4" s="131"/>
      <c r="AM4" s="131"/>
      <c r="AN4" s="131"/>
      <c r="AO4" s="131"/>
      <c r="AP4" s="131"/>
      <c r="AQ4" s="131"/>
    </row>
    <row r="5" spans="1:43" x14ac:dyDescent="0.2">
      <c r="A5" s="272" t="s">
        <v>302</v>
      </c>
      <c r="B5" s="131"/>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c r="AG5" s="131"/>
      <c r="AH5" s="131"/>
      <c r="AI5" s="131"/>
      <c r="AJ5" s="131"/>
      <c r="AK5" s="131"/>
      <c r="AL5" s="131"/>
      <c r="AM5" s="131"/>
      <c r="AN5" s="131"/>
      <c r="AO5" s="131"/>
      <c r="AP5" s="131"/>
      <c r="AQ5" s="131"/>
    </row>
    <row r="6" spans="1:43" x14ac:dyDescent="0.2">
      <c r="A6" s="273" t="s">
        <v>239</v>
      </c>
      <c r="B6" s="131"/>
      <c r="C6" s="131"/>
      <c r="D6" s="131"/>
      <c r="E6" s="131"/>
      <c r="F6" s="131"/>
      <c r="G6" s="131"/>
      <c r="H6" s="131"/>
      <c r="I6" s="131"/>
      <c r="J6" s="131"/>
      <c r="K6" s="131"/>
      <c r="L6" s="131"/>
      <c r="M6" s="131"/>
      <c r="N6" s="131"/>
      <c r="O6" s="131"/>
      <c r="P6" s="131"/>
      <c r="Q6" s="131"/>
      <c r="R6" s="131"/>
      <c r="S6" s="131"/>
      <c r="T6" s="131"/>
      <c r="U6" s="131"/>
      <c r="V6" s="131"/>
      <c r="W6" s="131"/>
      <c r="X6" s="131"/>
      <c r="Y6" s="131"/>
      <c r="Z6" s="131"/>
      <c r="AA6" s="131"/>
      <c r="AB6" s="131"/>
      <c r="AC6" s="131"/>
      <c r="AD6" s="131"/>
      <c r="AE6" s="131"/>
      <c r="AF6" s="131"/>
      <c r="AG6" s="131"/>
      <c r="AH6" s="131"/>
      <c r="AI6" s="131"/>
      <c r="AJ6" s="131"/>
      <c r="AK6" s="131"/>
      <c r="AL6" s="131"/>
      <c r="AM6" s="131"/>
      <c r="AN6" s="131"/>
      <c r="AO6" s="131"/>
      <c r="AP6" s="131"/>
      <c r="AQ6" s="131"/>
    </row>
    <row r="7" spans="1:43" x14ac:dyDescent="0.2">
      <c r="A7" s="273" t="s">
        <v>237</v>
      </c>
      <c r="B7" s="131"/>
      <c r="C7" s="131"/>
      <c r="D7" s="131"/>
      <c r="E7" s="131"/>
      <c r="F7" s="131"/>
      <c r="G7" s="131"/>
      <c r="H7" s="131"/>
      <c r="I7" s="131"/>
      <c r="J7" s="131"/>
      <c r="K7" s="131"/>
      <c r="L7" s="131"/>
      <c r="M7" s="131"/>
      <c r="N7" s="131"/>
      <c r="O7" s="131"/>
      <c r="P7" s="131"/>
      <c r="Q7" s="131"/>
      <c r="R7" s="131"/>
      <c r="S7" s="131"/>
      <c r="T7" s="131"/>
      <c r="U7" s="131"/>
      <c r="V7" s="131"/>
      <c r="W7" s="131"/>
      <c r="X7" s="131"/>
      <c r="Y7" s="131"/>
      <c r="Z7" s="131"/>
      <c r="AA7" s="131"/>
      <c r="AB7" s="131"/>
      <c r="AC7" s="131"/>
      <c r="AD7" s="131"/>
      <c r="AE7" s="131"/>
      <c r="AF7" s="131"/>
      <c r="AG7" s="131"/>
      <c r="AH7" s="131"/>
      <c r="AI7" s="131"/>
      <c r="AJ7" s="131"/>
      <c r="AK7" s="131"/>
      <c r="AL7" s="131"/>
      <c r="AM7" s="131"/>
      <c r="AN7" s="131"/>
      <c r="AO7" s="131"/>
      <c r="AP7" s="131"/>
      <c r="AQ7" s="131"/>
    </row>
    <row r="8" spans="1:43" x14ac:dyDescent="0.2">
      <c r="A8" s="273" t="str">
        <f>IF(FSDMS!E43&lt;&gt;"",IF(VLOOKUP(FSDMS!E43,FSW_DADOS,24,FALSE)=4,"AIE esforço","Codedata"),"AIE esforço")</f>
        <v>Codedata</v>
      </c>
      <c r="B8" s="131"/>
      <c r="C8" s="131"/>
      <c r="D8" s="131"/>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c r="AG8" s="131"/>
      <c r="AH8" s="131"/>
      <c r="AI8" s="131"/>
      <c r="AJ8" s="131"/>
      <c r="AK8" s="131"/>
      <c r="AL8" s="131"/>
      <c r="AM8" s="131"/>
      <c r="AN8" s="131"/>
      <c r="AO8" s="131"/>
      <c r="AP8" s="131"/>
      <c r="AQ8" s="131"/>
    </row>
    <row r="9" spans="1:43" x14ac:dyDescent="0.2">
      <c r="A9" s="273" t="str">
        <f>IF(FSDMS!E43&lt;&gt;"",IF(VLOOKUP(FSDMS!E43,FSW_DADOS,24,FALSE)=4,"Codedata","NA"),"Codedata")</f>
        <v>NA</v>
      </c>
      <c r="B9" s="131"/>
      <c r="C9" s="131"/>
      <c r="D9" s="131"/>
      <c r="E9" s="131"/>
      <c r="F9" s="131"/>
      <c r="G9" s="131"/>
      <c r="H9" s="131"/>
      <c r="I9" s="131"/>
      <c r="J9" s="131"/>
      <c r="K9" s="131"/>
      <c r="L9" s="131"/>
      <c r="M9" s="131"/>
      <c r="N9" s="131"/>
      <c r="O9" s="131"/>
      <c r="P9" s="131"/>
      <c r="Q9" s="131"/>
      <c r="R9" s="131"/>
      <c r="S9" s="131"/>
      <c r="T9" s="131"/>
      <c r="U9" s="131"/>
      <c r="V9" s="131"/>
      <c r="W9" s="131"/>
      <c r="X9" s="131"/>
      <c r="Y9" s="131"/>
      <c r="Z9" s="131"/>
      <c r="AA9" s="131"/>
      <c r="AB9" s="131"/>
      <c r="AC9" s="131"/>
      <c r="AD9" s="131"/>
      <c r="AE9" s="131"/>
      <c r="AF9" s="131"/>
      <c r="AG9" s="131"/>
      <c r="AH9" s="131"/>
      <c r="AI9" s="131"/>
      <c r="AJ9" s="131"/>
      <c r="AK9" s="131"/>
      <c r="AL9" s="131"/>
      <c r="AM9" s="131"/>
      <c r="AN9" s="131"/>
      <c r="AO9" s="131"/>
      <c r="AP9" s="131"/>
      <c r="AQ9" s="131"/>
    </row>
    <row r="10" spans="1:43" x14ac:dyDescent="0.2">
      <c r="A10" s="346" t="str">
        <f>IF(FSDMS!E43&lt;&gt;"",IF(VLOOKUP(FSDMS!E43,FSW_DADOS,24,FALSE)=4,"NA",""),"NA")</f>
        <v/>
      </c>
      <c r="B10" s="131"/>
      <c r="C10" s="131"/>
      <c r="D10" s="131"/>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c r="AG10" s="131"/>
      <c r="AH10" s="131"/>
      <c r="AI10" s="131"/>
      <c r="AJ10" s="131"/>
      <c r="AK10" s="131"/>
      <c r="AL10" s="131"/>
      <c r="AM10" s="131"/>
      <c r="AN10" s="131"/>
      <c r="AO10" s="131"/>
      <c r="AP10" s="131"/>
      <c r="AQ10" s="131"/>
    </row>
    <row r="11" spans="1:43" x14ac:dyDescent="0.2">
      <c r="A11" s="273" t="s">
        <v>240</v>
      </c>
      <c r="B11" s="131"/>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c r="AG11" s="131"/>
      <c r="AH11" s="131"/>
      <c r="AI11" s="131"/>
      <c r="AJ11" s="131"/>
      <c r="AK11" s="131"/>
      <c r="AL11" s="131"/>
      <c r="AM11" s="131"/>
      <c r="AN11" s="131"/>
      <c r="AO11" s="131"/>
      <c r="AP11" s="131"/>
      <c r="AQ11" s="131"/>
    </row>
    <row r="12" spans="1:43" x14ac:dyDescent="0.2">
      <c r="A12" s="273" t="s">
        <v>241</v>
      </c>
      <c r="B12" s="131"/>
      <c r="C12" s="131"/>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row>
    <row r="13" spans="1:43" x14ac:dyDescent="0.2">
      <c r="A13" s="273" t="s">
        <v>242</v>
      </c>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row>
    <row r="14" spans="1:43" ht="13.5" thickBot="1" x14ac:dyDescent="0.25">
      <c r="A14" s="131" t="s">
        <v>303</v>
      </c>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c r="AG14" s="131"/>
      <c r="AH14" s="131"/>
      <c r="AI14" s="131"/>
      <c r="AJ14" s="131"/>
      <c r="AK14" s="131"/>
      <c r="AL14" s="131"/>
      <c r="AM14" s="131"/>
      <c r="AN14" s="131"/>
      <c r="AO14" s="131"/>
      <c r="AP14" s="131"/>
      <c r="AQ14" s="131"/>
    </row>
    <row r="15" spans="1:43" ht="30" customHeight="1" thickBot="1" x14ac:dyDescent="0.25">
      <c r="A15" s="485" t="s">
        <v>304</v>
      </c>
      <c r="B15" s="485"/>
      <c r="C15" s="485"/>
      <c r="D15" s="485"/>
      <c r="E15" s="131"/>
      <c r="F15" s="131"/>
      <c r="G15" s="131"/>
      <c r="H15" s="601" t="s">
        <v>305</v>
      </c>
      <c r="I15" s="602"/>
      <c r="J15" s="602"/>
      <c r="K15" s="602"/>
      <c r="L15" s="602"/>
      <c r="M15" s="603"/>
      <c r="N15" s="131"/>
      <c r="O15" s="131"/>
      <c r="P15" s="131"/>
      <c r="Q15" s="131"/>
      <c r="R15" s="131"/>
      <c r="S15" s="131"/>
      <c r="T15" s="131"/>
      <c r="U15" s="131"/>
      <c r="V15" s="131"/>
      <c r="W15" s="131"/>
      <c r="X15" s="131"/>
      <c r="Y15" s="131"/>
      <c r="Z15" s="131"/>
      <c r="AA15" s="131"/>
      <c r="AB15" s="131"/>
      <c r="AC15" s="131"/>
      <c r="AD15" s="131"/>
      <c r="AE15" s="131"/>
      <c r="AF15" s="131"/>
      <c r="AG15" s="131"/>
      <c r="AH15" s="131"/>
      <c r="AI15" s="131"/>
      <c r="AJ15" s="131"/>
      <c r="AK15" s="131"/>
      <c r="AL15" s="131"/>
      <c r="AM15" s="131"/>
      <c r="AN15" s="131"/>
      <c r="AO15" s="131"/>
      <c r="AP15" s="131"/>
      <c r="AQ15" s="131"/>
    </row>
    <row r="16" spans="1:43" ht="20.25" customHeight="1" thickBot="1" x14ac:dyDescent="0.25">
      <c r="A16" s="273" t="s">
        <v>306</v>
      </c>
      <c r="B16" s="273" t="s">
        <v>307</v>
      </c>
      <c r="C16" s="273" t="s">
        <v>308</v>
      </c>
      <c r="D16" s="273" t="s">
        <v>309</v>
      </c>
      <c r="E16" s="131"/>
      <c r="F16" s="131"/>
      <c r="G16" s="131"/>
      <c r="H16" s="121" t="s">
        <v>284</v>
      </c>
      <c r="I16" s="122" t="s">
        <v>285</v>
      </c>
      <c r="J16" s="122" t="s">
        <v>286</v>
      </c>
      <c r="K16" s="122" t="s">
        <v>287</v>
      </c>
      <c r="L16" s="122" t="s">
        <v>310</v>
      </c>
      <c r="M16" s="123" t="s">
        <v>311</v>
      </c>
      <c r="N16" s="131"/>
      <c r="O16" s="131"/>
      <c r="P16" s="131"/>
      <c r="Q16" s="131"/>
      <c r="R16" s="131"/>
      <c r="S16" s="131"/>
      <c r="T16" s="131"/>
      <c r="U16" s="131"/>
      <c r="V16" s="131"/>
      <c r="W16" s="131"/>
      <c r="X16" s="131"/>
      <c r="Y16" s="131"/>
      <c r="Z16" s="131"/>
      <c r="AA16" s="131"/>
      <c r="AB16" s="131"/>
      <c r="AC16" s="131"/>
      <c r="AD16" s="131"/>
      <c r="AE16" s="131"/>
      <c r="AF16" s="131"/>
      <c r="AG16" s="131"/>
      <c r="AH16" s="131"/>
      <c r="AI16" s="131"/>
      <c r="AJ16" s="131"/>
      <c r="AK16" s="131"/>
      <c r="AL16" s="131"/>
      <c r="AM16" s="131"/>
      <c r="AN16" s="131"/>
      <c r="AO16" s="131"/>
      <c r="AP16" s="131"/>
      <c r="AQ16" s="131"/>
    </row>
    <row r="17" spans="1:43" x14ac:dyDescent="0.2">
      <c r="A17" s="273" t="s">
        <v>312</v>
      </c>
      <c r="B17" s="273" t="s">
        <v>234</v>
      </c>
      <c r="C17" s="273" t="s">
        <v>234</v>
      </c>
      <c r="D17" s="273" t="s">
        <v>235</v>
      </c>
      <c r="E17" s="131"/>
      <c r="F17" s="131"/>
      <c r="G17" s="131" t="str">
        <f t="shared" ref="G17:G43" si="0">H17&amp;I17&amp;J17</f>
        <v>1BAIXOBAIXO</v>
      </c>
      <c r="H17" s="274">
        <v>1</v>
      </c>
      <c r="I17" s="275" t="s">
        <v>295</v>
      </c>
      <c r="J17" s="275" t="s">
        <v>295</v>
      </c>
      <c r="K17" s="276" t="s">
        <v>313</v>
      </c>
      <c r="L17" s="276">
        <v>1.5</v>
      </c>
      <c r="M17" s="277">
        <v>2</v>
      </c>
      <c r="N17" s="131"/>
      <c r="O17" s="131"/>
      <c r="P17" s="131"/>
      <c r="Q17" s="131"/>
      <c r="R17" s="131"/>
      <c r="S17" s="131"/>
      <c r="T17" s="131"/>
      <c r="U17" s="131"/>
      <c r="V17" s="131"/>
      <c r="W17" s="131"/>
      <c r="X17" s="131"/>
      <c r="Y17" s="131"/>
      <c r="Z17" s="131"/>
      <c r="AA17" s="131"/>
      <c r="AB17" s="131"/>
      <c r="AC17" s="131"/>
      <c r="AD17" s="131"/>
      <c r="AE17" s="131"/>
      <c r="AF17" s="131"/>
      <c r="AG17" s="131"/>
      <c r="AH17" s="131"/>
      <c r="AI17" s="131"/>
      <c r="AJ17" s="131"/>
      <c r="AK17" s="131"/>
      <c r="AL17" s="131"/>
      <c r="AM17" s="131"/>
      <c r="AN17" s="131"/>
      <c r="AO17" s="131"/>
      <c r="AP17" s="131"/>
      <c r="AQ17" s="131"/>
    </row>
    <row r="18" spans="1:43" x14ac:dyDescent="0.2">
      <c r="A18" s="273" t="s">
        <v>314</v>
      </c>
      <c r="B18" s="273" t="s">
        <v>234</v>
      </c>
      <c r="C18" s="273" t="s">
        <v>235</v>
      </c>
      <c r="D18" s="273" t="s">
        <v>236</v>
      </c>
      <c r="E18" s="131"/>
      <c r="F18" s="131"/>
      <c r="G18" s="131" t="str">
        <f t="shared" si="0"/>
        <v>1BAIXOMÉDIO</v>
      </c>
      <c r="H18" s="278">
        <v>1</v>
      </c>
      <c r="I18" s="279" t="s">
        <v>295</v>
      </c>
      <c r="J18" s="279" t="s">
        <v>291</v>
      </c>
      <c r="K18" s="280" t="s">
        <v>315</v>
      </c>
      <c r="L18" s="280">
        <v>3</v>
      </c>
      <c r="M18" s="281">
        <v>4</v>
      </c>
      <c r="N18" s="131"/>
      <c r="O18" s="131"/>
      <c r="P18" s="131"/>
      <c r="Q18" s="131"/>
      <c r="R18" s="131"/>
      <c r="S18" s="131"/>
      <c r="T18" s="131"/>
      <c r="U18" s="131"/>
      <c r="V18" s="131"/>
      <c r="W18" s="131"/>
      <c r="X18" s="131"/>
      <c r="Y18" s="131"/>
      <c r="Z18" s="131"/>
      <c r="AA18" s="131"/>
      <c r="AB18" s="131"/>
      <c r="AC18" s="131"/>
      <c r="AD18" s="131"/>
      <c r="AE18" s="131"/>
      <c r="AF18" s="131"/>
      <c r="AG18" s="131"/>
      <c r="AH18" s="131"/>
      <c r="AI18" s="131"/>
      <c r="AJ18" s="131"/>
      <c r="AK18" s="131"/>
      <c r="AL18" s="131"/>
      <c r="AM18" s="131"/>
      <c r="AN18" s="131"/>
      <c r="AO18" s="131"/>
      <c r="AP18" s="131"/>
      <c r="AQ18" s="131"/>
    </row>
    <row r="19" spans="1:43" x14ac:dyDescent="0.2">
      <c r="A19" s="273" t="s">
        <v>316</v>
      </c>
      <c r="B19" s="273" t="s">
        <v>235</v>
      </c>
      <c r="C19" s="273" t="s">
        <v>236</v>
      </c>
      <c r="D19" s="273" t="s">
        <v>236</v>
      </c>
      <c r="E19" s="131"/>
      <c r="F19" s="131"/>
      <c r="G19" s="131" t="str">
        <f t="shared" si="0"/>
        <v>1MÉDIOBAIXO</v>
      </c>
      <c r="H19" s="278">
        <v>1</v>
      </c>
      <c r="I19" s="279" t="s">
        <v>291</v>
      </c>
      <c r="J19" s="279" t="s">
        <v>295</v>
      </c>
      <c r="K19" s="280" t="s">
        <v>315</v>
      </c>
      <c r="L19" s="280">
        <v>3</v>
      </c>
      <c r="M19" s="281">
        <v>4</v>
      </c>
      <c r="N19" s="131"/>
      <c r="O19" s="131"/>
      <c r="P19" s="131"/>
      <c r="Q19" s="131"/>
      <c r="R19" s="131"/>
      <c r="S19" s="131"/>
      <c r="T19" s="131"/>
      <c r="U19" s="131"/>
      <c r="V19" s="131"/>
      <c r="W19" s="131"/>
      <c r="X19" s="131"/>
      <c r="Y19" s="131"/>
      <c r="Z19" s="131"/>
      <c r="AA19" s="131"/>
      <c r="AB19" s="131"/>
      <c r="AC19" s="131"/>
      <c r="AD19" s="131"/>
      <c r="AE19" s="131"/>
      <c r="AF19" s="131"/>
      <c r="AG19" s="131"/>
      <c r="AH19" s="131"/>
      <c r="AI19" s="131"/>
      <c r="AJ19" s="131"/>
      <c r="AK19" s="131"/>
      <c r="AL19" s="131"/>
      <c r="AM19" s="131"/>
      <c r="AN19" s="131"/>
      <c r="AO19" s="131"/>
      <c r="AP19" s="131"/>
      <c r="AQ19" s="131"/>
    </row>
    <row r="20" spans="1:43" x14ac:dyDescent="0.2">
      <c r="A20" s="131"/>
      <c r="B20" s="131"/>
      <c r="C20" s="131"/>
      <c r="D20" s="131"/>
      <c r="E20" s="131"/>
      <c r="F20" s="131"/>
      <c r="G20" s="131" t="str">
        <f t="shared" si="0"/>
        <v>1BAIXOALTO</v>
      </c>
      <c r="H20" s="278">
        <v>1</v>
      </c>
      <c r="I20" s="279" t="s">
        <v>295</v>
      </c>
      <c r="J20" s="279" t="s">
        <v>292</v>
      </c>
      <c r="K20" s="280" t="s">
        <v>317</v>
      </c>
      <c r="L20" s="280">
        <v>6</v>
      </c>
      <c r="M20" s="281">
        <v>8</v>
      </c>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row>
    <row r="21" spans="1:43" x14ac:dyDescent="0.2">
      <c r="A21" s="273" t="s">
        <v>240</v>
      </c>
      <c r="B21" s="273" t="s">
        <v>318</v>
      </c>
      <c r="C21" s="273" t="s">
        <v>319</v>
      </c>
      <c r="D21" s="273" t="s">
        <v>320</v>
      </c>
      <c r="E21" s="131"/>
      <c r="F21" s="131"/>
      <c r="G21" s="131" t="str">
        <f t="shared" si="0"/>
        <v>1MÉDIOMÉDIO</v>
      </c>
      <c r="H21" s="278">
        <v>1</v>
      </c>
      <c r="I21" s="279" t="s">
        <v>291</v>
      </c>
      <c r="J21" s="279" t="s">
        <v>291</v>
      </c>
      <c r="K21" s="280" t="s">
        <v>317</v>
      </c>
      <c r="L21" s="280">
        <v>6</v>
      </c>
      <c r="M21" s="281">
        <v>8</v>
      </c>
      <c r="N21" s="131"/>
      <c r="O21" s="131"/>
      <c r="P21" s="131"/>
      <c r="Q21" s="131"/>
      <c r="R21" s="131"/>
      <c r="S21" s="131"/>
      <c r="T21" s="131"/>
      <c r="U21" s="131"/>
      <c r="V21" s="131"/>
      <c r="W21" s="131"/>
      <c r="X21" s="131"/>
      <c r="Y21" s="131"/>
      <c r="Z21" s="131"/>
      <c r="AA21" s="131"/>
      <c r="AB21" s="131"/>
      <c r="AC21" s="131"/>
      <c r="AD21" s="131"/>
      <c r="AE21" s="131"/>
      <c r="AF21" s="131"/>
      <c r="AG21" s="131"/>
      <c r="AH21" s="131"/>
      <c r="AI21" s="131"/>
      <c r="AJ21" s="131"/>
      <c r="AK21" s="131"/>
      <c r="AL21" s="131"/>
      <c r="AM21" s="131"/>
      <c r="AN21" s="131"/>
      <c r="AO21" s="131"/>
      <c r="AP21" s="131"/>
      <c r="AQ21" s="131"/>
    </row>
    <row r="22" spans="1:43" x14ac:dyDescent="0.2">
      <c r="A22" s="273" t="s">
        <v>321</v>
      </c>
      <c r="B22" s="273" t="s">
        <v>234</v>
      </c>
      <c r="C22" s="273" t="s">
        <v>234</v>
      </c>
      <c r="D22" s="273" t="s">
        <v>235</v>
      </c>
      <c r="E22" s="131"/>
      <c r="F22" s="131"/>
      <c r="G22" s="131" t="str">
        <f t="shared" si="0"/>
        <v>1ALTOBAIXO</v>
      </c>
      <c r="H22" s="278">
        <v>1</v>
      </c>
      <c r="I22" s="279" t="s">
        <v>292</v>
      </c>
      <c r="J22" s="279" t="s">
        <v>295</v>
      </c>
      <c r="K22" s="280" t="s">
        <v>317</v>
      </c>
      <c r="L22" s="280">
        <v>6</v>
      </c>
      <c r="M22" s="281">
        <v>8</v>
      </c>
      <c r="N22" s="131"/>
      <c r="O22" s="131"/>
      <c r="P22" s="131"/>
      <c r="Q22" s="131"/>
      <c r="R22" s="131"/>
      <c r="S22" s="131"/>
      <c r="T22" s="131"/>
      <c r="U22" s="131"/>
      <c r="V22" s="131"/>
      <c r="W22" s="131"/>
      <c r="X22" s="131"/>
      <c r="Y22" s="131"/>
      <c r="Z22" s="131"/>
      <c r="AA22" s="131"/>
      <c r="AB22" s="131"/>
      <c r="AC22" s="131"/>
      <c r="AD22" s="131"/>
      <c r="AE22" s="131"/>
      <c r="AF22" s="131"/>
      <c r="AG22" s="131"/>
      <c r="AH22" s="131"/>
      <c r="AI22" s="131"/>
      <c r="AJ22" s="131"/>
      <c r="AK22" s="131"/>
      <c r="AL22" s="131"/>
      <c r="AM22" s="131"/>
      <c r="AN22" s="131"/>
      <c r="AO22" s="131"/>
      <c r="AP22" s="131"/>
      <c r="AQ22" s="131"/>
    </row>
    <row r="23" spans="1:43" x14ac:dyDescent="0.2">
      <c r="A23" s="273" t="s">
        <v>322</v>
      </c>
      <c r="B23" s="273" t="s">
        <v>234</v>
      </c>
      <c r="C23" s="273" t="s">
        <v>235</v>
      </c>
      <c r="D23" s="273" t="s">
        <v>236</v>
      </c>
      <c r="E23" s="131"/>
      <c r="F23" s="131"/>
      <c r="G23" s="131" t="str">
        <f t="shared" si="0"/>
        <v>1MÉDIOALTO</v>
      </c>
      <c r="H23" s="278">
        <v>1</v>
      </c>
      <c r="I23" s="279" t="s">
        <v>291</v>
      </c>
      <c r="J23" s="279" t="s">
        <v>292</v>
      </c>
      <c r="K23" s="280" t="s">
        <v>323</v>
      </c>
      <c r="L23" s="280">
        <v>12</v>
      </c>
      <c r="M23" s="281">
        <v>16</v>
      </c>
      <c r="N23" s="131"/>
      <c r="O23" s="131"/>
      <c r="P23" s="131"/>
      <c r="Q23" s="131"/>
      <c r="R23" s="131"/>
      <c r="S23" s="131"/>
      <c r="T23" s="131"/>
      <c r="U23" s="131"/>
      <c r="V23" s="131"/>
      <c r="W23" s="131"/>
      <c r="X23" s="131"/>
      <c r="Y23" s="131"/>
      <c r="Z23" s="131"/>
      <c r="AA23" s="131"/>
      <c r="AB23" s="131"/>
      <c r="AC23" s="131"/>
      <c r="AD23" s="131"/>
      <c r="AE23" s="131"/>
      <c r="AF23" s="131"/>
      <c r="AG23" s="131"/>
      <c r="AH23" s="131"/>
      <c r="AI23" s="131"/>
      <c r="AJ23" s="131"/>
      <c r="AK23" s="131"/>
      <c r="AL23" s="131"/>
      <c r="AM23" s="131"/>
      <c r="AN23" s="131"/>
      <c r="AO23" s="131"/>
      <c r="AP23" s="131"/>
      <c r="AQ23" s="131"/>
    </row>
    <row r="24" spans="1:43" x14ac:dyDescent="0.2">
      <c r="A24" s="273" t="s">
        <v>324</v>
      </c>
      <c r="B24" s="273" t="s">
        <v>235</v>
      </c>
      <c r="C24" s="273" t="s">
        <v>236</v>
      </c>
      <c r="D24" s="273" t="s">
        <v>236</v>
      </c>
      <c r="E24" s="131"/>
      <c r="F24" s="131"/>
      <c r="G24" s="131" t="str">
        <f t="shared" si="0"/>
        <v>1ALTOMÉDIO</v>
      </c>
      <c r="H24" s="278">
        <v>1</v>
      </c>
      <c r="I24" s="279" t="s">
        <v>292</v>
      </c>
      <c r="J24" s="279" t="s">
        <v>291</v>
      </c>
      <c r="K24" s="280" t="s">
        <v>323</v>
      </c>
      <c r="L24" s="280">
        <v>12</v>
      </c>
      <c r="M24" s="281">
        <v>16</v>
      </c>
      <c r="N24" s="131"/>
      <c r="O24" s="131"/>
      <c r="P24" s="131"/>
      <c r="Q24" s="131"/>
      <c r="R24" s="131"/>
      <c r="S24" s="131"/>
      <c r="T24" s="131"/>
      <c r="U24" s="131"/>
      <c r="V24" s="131"/>
      <c r="W24" s="131"/>
      <c r="X24" s="131"/>
      <c r="Y24" s="131"/>
      <c r="Z24" s="131"/>
      <c r="AA24" s="131"/>
      <c r="AB24" s="131"/>
      <c r="AC24" s="131"/>
      <c r="AD24" s="131"/>
      <c r="AE24" s="131"/>
      <c r="AF24" s="131"/>
      <c r="AG24" s="131"/>
      <c r="AH24" s="131"/>
      <c r="AI24" s="131"/>
      <c r="AJ24" s="131"/>
      <c r="AK24" s="131"/>
      <c r="AL24" s="131"/>
      <c r="AM24" s="131"/>
      <c r="AN24" s="131"/>
      <c r="AO24" s="131"/>
      <c r="AP24" s="131"/>
      <c r="AQ24" s="131"/>
    </row>
    <row r="25" spans="1:43" ht="13.5" thickBot="1" x14ac:dyDescent="0.25">
      <c r="A25" s="131"/>
      <c r="B25" s="131"/>
      <c r="C25" s="131"/>
      <c r="D25" s="131"/>
      <c r="E25" s="131"/>
      <c r="F25" s="131"/>
      <c r="G25" s="131" t="str">
        <f t="shared" si="0"/>
        <v>1ALTOALTO</v>
      </c>
      <c r="H25" s="282">
        <v>1</v>
      </c>
      <c r="I25" s="283" t="s">
        <v>292</v>
      </c>
      <c r="J25" s="283" t="s">
        <v>292</v>
      </c>
      <c r="K25" s="284" t="s">
        <v>325</v>
      </c>
      <c r="L25" s="284">
        <v>20</v>
      </c>
      <c r="M25" s="285">
        <v>24</v>
      </c>
      <c r="N25" s="131"/>
      <c r="O25" s="131"/>
      <c r="P25" s="131"/>
      <c r="Q25" s="131"/>
      <c r="R25" s="131"/>
      <c r="S25" s="131"/>
      <c r="T25" s="131"/>
      <c r="U25" s="131"/>
      <c r="V25" s="131"/>
      <c r="W25" s="131"/>
      <c r="X25" s="131"/>
      <c r="Y25" s="131"/>
      <c r="Z25" s="131"/>
      <c r="AA25" s="131"/>
      <c r="AB25" s="131"/>
      <c r="AC25" s="131"/>
      <c r="AD25" s="131"/>
      <c r="AE25" s="131"/>
      <c r="AF25" s="131"/>
      <c r="AG25" s="131"/>
      <c r="AH25" s="131"/>
      <c r="AI25" s="131"/>
      <c r="AJ25" s="131"/>
      <c r="AK25" s="131"/>
      <c r="AL25" s="131"/>
      <c r="AM25" s="131"/>
      <c r="AN25" s="131"/>
      <c r="AO25" s="131"/>
      <c r="AP25" s="131"/>
      <c r="AQ25" s="131"/>
    </row>
    <row r="26" spans="1:43" x14ac:dyDescent="0.2">
      <c r="A26" s="273" t="s">
        <v>326</v>
      </c>
      <c r="B26" s="273" t="s">
        <v>327</v>
      </c>
      <c r="C26" s="273" t="s">
        <v>328</v>
      </c>
      <c r="D26" s="273" t="s">
        <v>329</v>
      </c>
      <c r="E26" s="131"/>
      <c r="F26" s="131"/>
      <c r="G26" s="131" t="str">
        <f t="shared" si="0"/>
        <v>2BAIXOBAIXO</v>
      </c>
      <c r="H26" s="274">
        <v>2</v>
      </c>
      <c r="I26" s="275" t="s">
        <v>295</v>
      </c>
      <c r="J26" s="275" t="s">
        <v>295</v>
      </c>
      <c r="K26" s="276" t="s">
        <v>315</v>
      </c>
      <c r="L26" s="276">
        <v>3</v>
      </c>
      <c r="M26" s="277">
        <v>4</v>
      </c>
      <c r="N26" s="131"/>
      <c r="O26" s="131"/>
      <c r="P26" s="131"/>
      <c r="Q26" s="131"/>
      <c r="R26" s="131"/>
      <c r="S26" s="131"/>
      <c r="T26" s="131"/>
      <c r="U26" s="131"/>
      <c r="V26" s="131"/>
      <c r="W26" s="131"/>
      <c r="X26" s="131"/>
      <c r="Y26" s="131"/>
      <c r="Z26" s="131"/>
      <c r="AA26" s="131"/>
      <c r="AB26" s="131"/>
      <c r="AC26" s="131"/>
      <c r="AD26" s="131"/>
      <c r="AE26" s="131"/>
      <c r="AF26" s="131"/>
      <c r="AG26" s="131"/>
      <c r="AH26" s="131"/>
      <c r="AI26" s="131"/>
      <c r="AJ26" s="131"/>
      <c r="AK26" s="131"/>
      <c r="AL26" s="131"/>
      <c r="AM26" s="131"/>
      <c r="AN26" s="131"/>
      <c r="AO26" s="131"/>
      <c r="AP26" s="131"/>
      <c r="AQ26" s="131"/>
    </row>
    <row r="27" spans="1:43" x14ac:dyDescent="0.2">
      <c r="A27" s="273" t="s">
        <v>321</v>
      </c>
      <c r="B27" s="273" t="s">
        <v>234</v>
      </c>
      <c r="C27" s="273" t="s">
        <v>234</v>
      </c>
      <c r="D27" s="273" t="s">
        <v>235</v>
      </c>
      <c r="E27" s="131"/>
      <c r="F27" s="131"/>
      <c r="G27" s="131" t="str">
        <f t="shared" si="0"/>
        <v>2BAIXOMÉDIO</v>
      </c>
      <c r="H27" s="278">
        <v>2</v>
      </c>
      <c r="I27" s="279" t="s">
        <v>295</v>
      </c>
      <c r="J27" s="279" t="s">
        <v>291</v>
      </c>
      <c r="K27" s="280" t="s">
        <v>317</v>
      </c>
      <c r="L27" s="280">
        <v>6</v>
      </c>
      <c r="M27" s="281">
        <v>8</v>
      </c>
      <c r="N27" s="131"/>
      <c r="O27" s="131"/>
      <c r="P27" s="131"/>
      <c r="Q27" s="131"/>
      <c r="R27" s="131"/>
      <c r="S27" s="131"/>
      <c r="T27" s="131"/>
      <c r="U27" s="131"/>
      <c r="V27" s="131"/>
      <c r="W27" s="131"/>
      <c r="X27" s="131"/>
      <c r="Y27" s="131"/>
      <c r="Z27" s="131"/>
      <c r="AA27" s="131"/>
      <c r="AB27" s="131"/>
      <c r="AC27" s="131"/>
      <c r="AD27" s="131"/>
      <c r="AE27" s="131"/>
      <c r="AF27" s="131"/>
      <c r="AG27" s="131"/>
      <c r="AH27" s="131"/>
      <c r="AI27" s="131"/>
      <c r="AJ27" s="131"/>
      <c r="AK27" s="131"/>
      <c r="AL27" s="131"/>
      <c r="AM27" s="131"/>
      <c r="AN27" s="131"/>
      <c r="AO27" s="131"/>
      <c r="AP27" s="131"/>
      <c r="AQ27" s="131"/>
    </row>
    <row r="28" spans="1:43" x14ac:dyDescent="0.2">
      <c r="A28" s="273" t="s">
        <v>330</v>
      </c>
      <c r="B28" s="273" t="s">
        <v>234</v>
      </c>
      <c r="C28" s="273" t="s">
        <v>235</v>
      </c>
      <c r="D28" s="273" t="s">
        <v>236</v>
      </c>
      <c r="E28" s="131"/>
      <c r="F28" s="131"/>
      <c r="G28" s="131" t="str">
        <f t="shared" si="0"/>
        <v>2MÉDIOBAIXO</v>
      </c>
      <c r="H28" s="278">
        <v>2</v>
      </c>
      <c r="I28" s="279" t="s">
        <v>291</v>
      </c>
      <c r="J28" s="279" t="s">
        <v>295</v>
      </c>
      <c r="K28" s="280" t="s">
        <v>317</v>
      </c>
      <c r="L28" s="280">
        <v>6</v>
      </c>
      <c r="M28" s="281">
        <v>8</v>
      </c>
      <c r="N28" s="131"/>
      <c r="O28" s="131"/>
      <c r="P28" s="131"/>
      <c r="Q28" s="131"/>
      <c r="R28" s="131"/>
      <c r="S28" s="131"/>
      <c r="T28" s="131"/>
      <c r="U28" s="131"/>
      <c r="V28" s="131"/>
      <c r="W28" s="131"/>
      <c r="X28" s="131"/>
      <c r="Y28" s="131"/>
      <c r="Z28" s="131"/>
      <c r="AA28" s="131"/>
      <c r="AB28" s="131"/>
      <c r="AC28" s="131"/>
      <c r="AD28" s="131"/>
      <c r="AE28" s="131"/>
      <c r="AF28" s="131"/>
      <c r="AG28" s="131"/>
      <c r="AH28" s="131"/>
      <c r="AI28" s="131"/>
      <c r="AJ28" s="131"/>
      <c r="AK28" s="131"/>
      <c r="AL28" s="131"/>
      <c r="AM28" s="131"/>
      <c r="AN28" s="131"/>
      <c r="AO28" s="131"/>
      <c r="AP28" s="131"/>
      <c r="AQ28" s="131"/>
    </row>
    <row r="29" spans="1:43" x14ac:dyDescent="0.2">
      <c r="A29" s="273" t="s">
        <v>331</v>
      </c>
      <c r="B29" s="273" t="s">
        <v>235</v>
      </c>
      <c r="C29" s="273" t="s">
        <v>236</v>
      </c>
      <c r="D29" s="273" t="s">
        <v>236</v>
      </c>
      <c r="E29" s="131"/>
      <c r="F29" s="131"/>
      <c r="G29" s="131" t="str">
        <f t="shared" si="0"/>
        <v>2BAIXOALTO</v>
      </c>
      <c r="H29" s="278">
        <v>2</v>
      </c>
      <c r="I29" s="279" t="s">
        <v>295</v>
      </c>
      <c r="J29" s="279" t="s">
        <v>292</v>
      </c>
      <c r="K29" s="280" t="s">
        <v>323</v>
      </c>
      <c r="L29" s="280">
        <v>12</v>
      </c>
      <c r="M29" s="281">
        <v>16</v>
      </c>
      <c r="N29" s="131"/>
      <c r="O29" s="131"/>
      <c r="P29" s="131"/>
      <c r="Q29" s="131"/>
      <c r="R29" s="131"/>
      <c r="S29" s="131"/>
      <c r="T29" s="131"/>
      <c r="U29" s="131"/>
      <c r="V29" s="131"/>
      <c r="W29" s="131"/>
      <c r="X29" s="131"/>
      <c r="Y29" s="131"/>
      <c r="Z29" s="131"/>
      <c r="AA29" s="131"/>
      <c r="AB29" s="131"/>
      <c r="AC29" s="131"/>
      <c r="AD29" s="131"/>
      <c r="AE29" s="131"/>
      <c r="AF29" s="131"/>
      <c r="AG29" s="131"/>
      <c r="AH29" s="131"/>
      <c r="AI29" s="131"/>
      <c r="AJ29" s="131"/>
      <c r="AK29" s="131"/>
      <c r="AL29" s="131"/>
      <c r="AM29" s="131"/>
      <c r="AN29" s="131"/>
      <c r="AO29" s="131"/>
      <c r="AP29" s="131"/>
      <c r="AQ29" s="131"/>
    </row>
    <row r="30" spans="1:43" x14ac:dyDescent="0.2">
      <c r="A30" s="131"/>
      <c r="B30" s="131"/>
      <c r="C30" s="131"/>
      <c r="D30" s="131"/>
      <c r="E30" s="131"/>
      <c r="F30" s="131"/>
      <c r="G30" s="131" t="str">
        <f t="shared" si="0"/>
        <v>2MÉDIOMÉDIO</v>
      </c>
      <c r="H30" s="278">
        <v>2</v>
      </c>
      <c r="I30" s="279" t="s">
        <v>291</v>
      </c>
      <c r="J30" s="279" t="s">
        <v>291</v>
      </c>
      <c r="K30" s="280" t="s">
        <v>323</v>
      </c>
      <c r="L30" s="280">
        <v>12</v>
      </c>
      <c r="M30" s="281">
        <v>16</v>
      </c>
      <c r="N30" s="131"/>
      <c r="O30" s="131"/>
      <c r="P30" s="131"/>
      <c r="Q30" s="131"/>
      <c r="R30" s="131"/>
      <c r="S30" s="131"/>
      <c r="T30" s="131"/>
      <c r="U30" s="131"/>
      <c r="V30" s="131"/>
      <c r="W30" s="131"/>
      <c r="X30" s="131"/>
      <c r="Y30" s="131"/>
      <c r="Z30" s="131"/>
      <c r="AA30" s="131"/>
      <c r="AB30" s="131"/>
      <c r="AC30" s="131"/>
      <c r="AD30" s="131"/>
      <c r="AE30" s="131"/>
      <c r="AF30" s="131"/>
      <c r="AG30" s="131"/>
      <c r="AH30" s="131"/>
      <c r="AI30" s="131"/>
      <c r="AJ30" s="131"/>
      <c r="AK30" s="131"/>
      <c r="AL30" s="131"/>
      <c r="AM30" s="131"/>
      <c r="AN30" s="131"/>
      <c r="AO30" s="131"/>
      <c r="AP30" s="131"/>
      <c r="AQ30" s="131"/>
    </row>
    <row r="31" spans="1:43" x14ac:dyDescent="0.2">
      <c r="A31" s="485" t="s">
        <v>332</v>
      </c>
      <c r="B31" s="485"/>
      <c r="C31" s="485"/>
      <c r="D31" s="485"/>
      <c r="E31" s="131"/>
      <c r="F31" s="131"/>
      <c r="G31" s="131" t="str">
        <f t="shared" si="0"/>
        <v>2ALTOBAIXO</v>
      </c>
      <c r="H31" s="278">
        <v>2</v>
      </c>
      <c r="I31" s="279" t="s">
        <v>292</v>
      </c>
      <c r="J31" s="279" t="s">
        <v>295</v>
      </c>
      <c r="K31" s="280" t="s">
        <v>323</v>
      </c>
      <c r="L31" s="280">
        <v>12</v>
      </c>
      <c r="M31" s="281">
        <v>16</v>
      </c>
      <c r="N31" s="131"/>
      <c r="O31" s="131"/>
      <c r="P31" s="131"/>
      <c r="Q31" s="131"/>
      <c r="R31" s="131"/>
      <c r="S31" s="131"/>
      <c r="T31" s="131"/>
      <c r="U31" s="131"/>
      <c r="V31" s="131"/>
      <c r="W31" s="131"/>
      <c r="X31" s="131"/>
      <c r="Y31" s="131"/>
      <c r="Z31" s="131"/>
      <c r="AA31" s="131"/>
      <c r="AB31" s="131"/>
      <c r="AC31" s="131"/>
      <c r="AD31" s="131"/>
      <c r="AE31" s="131"/>
      <c r="AF31" s="131"/>
      <c r="AG31" s="131"/>
      <c r="AH31" s="131"/>
      <c r="AI31" s="131"/>
      <c r="AJ31" s="131"/>
      <c r="AK31" s="131"/>
      <c r="AL31" s="131"/>
      <c r="AM31" s="131"/>
      <c r="AN31" s="131"/>
      <c r="AO31" s="131"/>
      <c r="AP31" s="131"/>
      <c r="AQ31" s="131"/>
    </row>
    <row r="32" spans="1:43" x14ac:dyDescent="0.2">
      <c r="A32" s="273" t="s">
        <v>333</v>
      </c>
      <c r="B32" s="273" t="s">
        <v>234</v>
      </c>
      <c r="C32" s="273" t="s">
        <v>235</v>
      </c>
      <c r="D32" s="273" t="s">
        <v>236</v>
      </c>
      <c r="E32" s="131"/>
      <c r="F32" s="131"/>
      <c r="G32" s="131" t="str">
        <f t="shared" si="0"/>
        <v>2MÉDIOALTO</v>
      </c>
      <c r="H32" s="278">
        <v>2</v>
      </c>
      <c r="I32" s="279" t="s">
        <v>291</v>
      </c>
      <c r="J32" s="279" t="s">
        <v>292</v>
      </c>
      <c r="K32" s="280" t="s">
        <v>325</v>
      </c>
      <c r="L32" s="280">
        <v>20</v>
      </c>
      <c r="M32" s="281">
        <v>24</v>
      </c>
      <c r="N32" s="131"/>
      <c r="O32" s="131"/>
      <c r="P32" s="131"/>
      <c r="Q32" s="131"/>
      <c r="R32" s="131"/>
      <c r="S32" s="131"/>
      <c r="T32" s="131"/>
      <c r="U32" s="131"/>
      <c r="V32" s="131"/>
      <c r="W32" s="131"/>
      <c r="X32" s="131"/>
      <c r="Y32" s="131"/>
      <c r="Z32" s="131"/>
      <c r="AA32" s="131"/>
      <c r="AB32" s="131"/>
      <c r="AC32" s="131"/>
      <c r="AD32" s="131"/>
      <c r="AE32" s="131"/>
      <c r="AF32" s="131"/>
      <c r="AG32" s="131"/>
      <c r="AH32" s="131"/>
      <c r="AI32" s="131"/>
      <c r="AJ32" s="131"/>
      <c r="AK32" s="131"/>
      <c r="AL32" s="131"/>
      <c r="AM32" s="131"/>
      <c r="AN32" s="131"/>
      <c r="AO32" s="131"/>
      <c r="AP32" s="131"/>
      <c r="AQ32" s="131"/>
    </row>
    <row r="33" spans="1:43" x14ac:dyDescent="0.2">
      <c r="A33" s="273" t="s">
        <v>239</v>
      </c>
      <c r="B33" s="273">
        <v>7</v>
      </c>
      <c r="C33" s="273">
        <v>10</v>
      </c>
      <c r="D33" s="273">
        <v>15</v>
      </c>
      <c r="E33" s="131">
        <v>35</v>
      </c>
      <c r="F33" s="131"/>
      <c r="G33" s="131" t="str">
        <f t="shared" si="0"/>
        <v>2ALTOMÉDIO</v>
      </c>
      <c r="H33" s="278">
        <v>2</v>
      </c>
      <c r="I33" s="279" t="s">
        <v>292</v>
      </c>
      <c r="J33" s="279" t="s">
        <v>291</v>
      </c>
      <c r="K33" s="280" t="s">
        <v>325</v>
      </c>
      <c r="L33" s="280">
        <v>20</v>
      </c>
      <c r="M33" s="281">
        <v>24</v>
      </c>
      <c r="N33" s="131"/>
      <c r="O33" s="131"/>
      <c r="P33" s="131"/>
      <c r="Q33" s="131"/>
      <c r="R33" s="131"/>
      <c r="S33" s="131"/>
      <c r="T33" s="131"/>
      <c r="U33" s="131"/>
      <c r="V33" s="131"/>
      <c r="W33" s="131"/>
      <c r="X33" s="131"/>
      <c r="Y33" s="131"/>
      <c r="Z33" s="131"/>
      <c r="AA33" s="131"/>
      <c r="AB33" s="131"/>
      <c r="AC33" s="131"/>
      <c r="AD33" s="131"/>
      <c r="AE33" s="131"/>
      <c r="AF33" s="131"/>
      <c r="AG33" s="131"/>
      <c r="AH33" s="131"/>
      <c r="AI33" s="131"/>
      <c r="AJ33" s="131"/>
      <c r="AK33" s="131"/>
      <c r="AL33" s="131"/>
      <c r="AM33" s="131"/>
      <c r="AN33" s="131"/>
      <c r="AO33" s="131"/>
      <c r="AP33" s="131"/>
      <c r="AQ33" s="131"/>
    </row>
    <row r="34" spans="1:43" ht="13.5" thickBot="1" x14ac:dyDescent="0.25">
      <c r="A34" s="273" t="s">
        <v>237</v>
      </c>
      <c r="B34" s="273">
        <v>5</v>
      </c>
      <c r="C34" s="273">
        <v>7</v>
      </c>
      <c r="D34" s="273">
        <v>10</v>
      </c>
      <c r="E34" s="131">
        <v>15</v>
      </c>
      <c r="F34" s="131"/>
      <c r="G34" s="131" t="str">
        <f t="shared" si="0"/>
        <v>2ALTOALTO</v>
      </c>
      <c r="H34" s="282">
        <v>2</v>
      </c>
      <c r="I34" s="283" t="s">
        <v>292</v>
      </c>
      <c r="J34" s="283" t="s">
        <v>292</v>
      </c>
      <c r="K34" s="284" t="s">
        <v>334</v>
      </c>
      <c r="L34" s="284">
        <v>28</v>
      </c>
      <c r="M34" s="285">
        <v>32</v>
      </c>
      <c r="N34" s="131"/>
      <c r="O34" s="131"/>
      <c r="P34" s="131"/>
      <c r="Q34" s="131"/>
      <c r="R34" s="131"/>
      <c r="S34" s="131"/>
      <c r="T34" s="131"/>
      <c r="U34" s="131"/>
      <c r="V34" s="131"/>
      <c r="W34" s="131"/>
      <c r="X34" s="131"/>
      <c r="Y34" s="131"/>
      <c r="Z34" s="131"/>
      <c r="AA34" s="131"/>
      <c r="AB34" s="131"/>
      <c r="AC34" s="131"/>
      <c r="AD34" s="131"/>
      <c r="AE34" s="131"/>
      <c r="AF34" s="131"/>
      <c r="AG34" s="131"/>
      <c r="AH34" s="131"/>
      <c r="AI34" s="131"/>
      <c r="AJ34" s="131"/>
      <c r="AK34" s="131"/>
      <c r="AL34" s="131"/>
      <c r="AM34" s="131"/>
      <c r="AN34" s="131"/>
      <c r="AO34" s="131"/>
      <c r="AP34" s="131"/>
      <c r="AQ34" s="131"/>
    </row>
    <row r="35" spans="1:43" x14ac:dyDescent="0.2">
      <c r="A35" s="273" t="s">
        <v>240</v>
      </c>
      <c r="B35" s="273">
        <v>3</v>
      </c>
      <c r="C35" s="273">
        <v>4</v>
      </c>
      <c r="D35" s="273">
        <v>6</v>
      </c>
      <c r="E35" s="131"/>
      <c r="F35" s="131"/>
      <c r="G35" s="131" t="str">
        <f t="shared" si="0"/>
        <v>3BAIXOBAIXO</v>
      </c>
      <c r="H35" s="274">
        <v>3</v>
      </c>
      <c r="I35" s="275" t="s">
        <v>295</v>
      </c>
      <c r="J35" s="275" t="s">
        <v>295</v>
      </c>
      <c r="K35" s="276" t="s">
        <v>317</v>
      </c>
      <c r="L35" s="276">
        <v>6</v>
      </c>
      <c r="M35" s="277">
        <v>8</v>
      </c>
      <c r="N35" s="131"/>
      <c r="O35" s="131"/>
      <c r="P35" s="131"/>
      <c r="Q35" s="131"/>
      <c r="R35" s="131"/>
      <c r="S35" s="131"/>
      <c r="T35" s="131"/>
      <c r="U35" s="131"/>
      <c r="V35" s="131"/>
      <c r="W35" s="131"/>
      <c r="X35" s="131"/>
      <c r="Y35" s="131"/>
      <c r="Z35" s="131"/>
      <c r="AA35" s="131"/>
      <c r="AB35" s="131"/>
      <c r="AC35" s="131"/>
      <c r="AD35" s="131"/>
      <c r="AE35" s="131"/>
      <c r="AF35" s="131"/>
      <c r="AG35" s="131"/>
      <c r="AH35" s="131"/>
      <c r="AI35" s="131"/>
      <c r="AJ35" s="131"/>
      <c r="AK35" s="131"/>
      <c r="AL35" s="131"/>
      <c r="AM35" s="131"/>
      <c r="AN35" s="131"/>
      <c r="AO35" s="131"/>
      <c r="AP35" s="131"/>
      <c r="AQ35" s="131"/>
    </row>
    <row r="36" spans="1:43" x14ac:dyDescent="0.2">
      <c r="A36" s="273" t="s">
        <v>241</v>
      </c>
      <c r="B36" s="273">
        <v>4</v>
      </c>
      <c r="C36" s="273">
        <v>5</v>
      </c>
      <c r="D36" s="273">
        <v>7</v>
      </c>
      <c r="E36" s="131"/>
      <c r="F36" s="131"/>
      <c r="G36" s="131" t="str">
        <f t="shared" si="0"/>
        <v>3BAIXOMÉDIO</v>
      </c>
      <c r="H36" s="278">
        <v>3</v>
      </c>
      <c r="I36" s="279" t="s">
        <v>295</v>
      </c>
      <c r="J36" s="279" t="s">
        <v>291</v>
      </c>
      <c r="K36" s="280" t="s">
        <v>323</v>
      </c>
      <c r="L36" s="280">
        <v>12</v>
      </c>
      <c r="M36" s="281">
        <v>16</v>
      </c>
      <c r="N36" s="131"/>
      <c r="O36" s="131"/>
      <c r="P36" s="131"/>
      <c r="Q36" s="131"/>
      <c r="R36" s="131"/>
      <c r="S36" s="131"/>
      <c r="T36" s="131"/>
      <c r="U36" s="131"/>
      <c r="V36" s="131"/>
      <c r="W36" s="131"/>
      <c r="X36" s="131"/>
      <c r="Y36" s="131"/>
      <c r="Z36" s="131"/>
      <c r="AA36" s="131"/>
      <c r="AB36" s="131"/>
      <c r="AC36" s="131"/>
      <c r="AD36" s="131"/>
      <c r="AE36" s="131"/>
      <c r="AF36" s="131"/>
      <c r="AG36" s="131"/>
      <c r="AH36" s="131"/>
      <c r="AI36" s="131"/>
      <c r="AJ36" s="131"/>
      <c r="AK36" s="131"/>
      <c r="AL36" s="131"/>
      <c r="AM36" s="131"/>
      <c r="AN36" s="131"/>
      <c r="AO36" s="131"/>
      <c r="AP36" s="131"/>
      <c r="AQ36" s="131"/>
    </row>
    <row r="37" spans="1:43" x14ac:dyDescent="0.2">
      <c r="A37" s="273" t="s">
        <v>242</v>
      </c>
      <c r="B37" s="273">
        <v>3</v>
      </c>
      <c r="C37" s="273">
        <v>4</v>
      </c>
      <c r="D37" s="273">
        <v>6</v>
      </c>
      <c r="E37" s="131"/>
      <c r="F37" s="131"/>
      <c r="G37" s="131" t="str">
        <f t="shared" si="0"/>
        <v>3MÉDIOBAIXO</v>
      </c>
      <c r="H37" s="278">
        <v>3</v>
      </c>
      <c r="I37" s="279" t="s">
        <v>291</v>
      </c>
      <c r="J37" s="279" t="s">
        <v>295</v>
      </c>
      <c r="K37" s="280" t="s">
        <v>323</v>
      </c>
      <c r="L37" s="280">
        <v>12</v>
      </c>
      <c r="M37" s="281">
        <v>16</v>
      </c>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131"/>
      <c r="AK37" s="131"/>
      <c r="AL37" s="131"/>
      <c r="AM37" s="131"/>
      <c r="AN37" s="131"/>
      <c r="AO37" s="131"/>
      <c r="AP37" s="131"/>
      <c r="AQ37" s="131"/>
    </row>
    <row r="38" spans="1:43" x14ac:dyDescent="0.2">
      <c r="A38" s="131"/>
      <c r="B38" s="131"/>
      <c r="C38" s="131"/>
      <c r="D38" s="131"/>
      <c r="E38" s="131"/>
      <c r="F38" s="131"/>
      <c r="G38" s="131" t="str">
        <f t="shared" si="0"/>
        <v>3BAIXOALTO</v>
      </c>
      <c r="H38" s="278">
        <v>3</v>
      </c>
      <c r="I38" s="279" t="s">
        <v>295</v>
      </c>
      <c r="J38" s="279" t="s">
        <v>292</v>
      </c>
      <c r="K38" s="280" t="s">
        <v>325</v>
      </c>
      <c r="L38" s="280">
        <v>20</v>
      </c>
      <c r="M38" s="281">
        <v>24</v>
      </c>
      <c r="N38" s="131"/>
      <c r="O38" s="131"/>
      <c r="P38" s="131"/>
      <c r="Q38" s="131"/>
      <c r="R38" s="131"/>
      <c r="S38" s="131"/>
      <c r="T38" s="131"/>
      <c r="U38" s="131"/>
      <c r="V38" s="131"/>
      <c r="W38" s="131"/>
      <c r="X38" s="131"/>
      <c r="Y38" s="131"/>
      <c r="Z38" s="131"/>
      <c r="AA38" s="131"/>
      <c r="AB38" s="131"/>
      <c r="AC38" s="131"/>
      <c r="AD38" s="131"/>
      <c r="AE38" s="131"/>
      <c r="AF38" s="131"/>
      <c r="AG38" s="131"/>
      <c r="AH38" s="131"/>
      <c r="AI38" s="131"/>
      <c r="AJ38" s="131"/>
      <c r="AK38" s="131"/>
      <c r="AL38" s="131"/>
      <c r="AM38" s="131"/>
      <c r="AN38" s="131"/>
      <c r="AO38" s="131"/>
      <c r="AP38" s="131"/>
      <c r="AQ38" s="131"/>
    </row>
    <row r="39" spans="1:43" x14ac:dyDescent="0.2">
      <c r="A39" s="272" t="s">
        <v>335</v>
      </c>
      <c r="B39" s="131"/>
      <c r="C39" s="131"/>
      <c r="D39" s="131"/>
      <c r="E39" s="131"/>
      <c r="F39" s="131"/>
      <c r="G39" s="131" t="str">
        <f t="shared" si="0"/>
        <v>3MÉDIOMÉDIO</v>
      </c>
      <c r="H39" s="278">
        <v>3</v>
      </c>
      <c r="I39" s="279" t="s">
        <v>291</v>
      </c>
      <c r="J39" s="279" t="s">
        <v>291</v>
      </c>
      <c r="K39" s="280" t="s">
        <v>325</v>
      </c>
      <c r="L39" s="280">
        <v>20</v>
      </c>
      <c r="M39" s="281">
        <v>24</v>
      </c>
      <c r="N39" s="131"/>
      <c r="O39" s="131"/>
      <c r="P39" s="131"/>
      <c r="Q39" s="131"/>
      <c r="R39" s="131"/>
      <c r="S39" s="131"/>
      <c r="T39" s="131"/>
      <c r="U39" s="131"/>
      <c r="V39" s="131"/>
      <c r="W39" s="131"/>
      <c r="X39" s="131"/>
      <c r="Y39" s="131"/>
      <c r="Z39" s="131"/>
      <c r="AA39" s="131"/>
      <c r="AB39" s="131"/>
      <c r="AC39" s="131"/>
      <c r="AD39" s="131"/>
      <c r="AE39" s="131"/>
      <c r="AF39" s="131"/>
      <c r="AG39" s="131"/>
      <c r="AH39" s="131"/>
      <c r="AI39" s="131"/>
      <c r="AJ39" s="131"/>
      <c r="AK39" s="131"/>
      <c r="AL39" s="131"/>
      <c r="AM39" s="131"/>
      <c r="AN39" s="131"/>
      <c r="AO39" s="131"/>
      <c r="AP39" s="131"/>
      <c r="AQ39" s="131"/>
    </row>
    <row r="40" spans="1:43" ht="15" x14ac:dyDescent="0.2">
      <c r="A40" s="286" t="s">
        <v>336</v>
      </c>
      <c r="B40" s="131"/>
      <c r="C40" s="131"/>
      <c r="D40" s="131"/>
      <c r="E40" s="131"/>
      <c r="F40" s="131"/>
      <c r="G40" s="131" t="str">
        <f t="shared" si="0"/>
        <v>3ALTOBAIXO</v>
      </c>
      <c r="H40" s="278">
        <v>3</v>
      </c>
      <c r="I40" s="279" t="s">
        <v>292</v>
      </c>
      <c r="J40" s="279" t="s">
        <v>295</v>
      </c>
      <c r="K40" s="280" t="s">
        <v>325</v>
      </c>
      <c r="L40" s="280">
        <v>20</v>
      </c>
      <c r="M40" s="281">
        <v>24</v>
      </c>
      <c r="N40" s="131"/>
      <c r="O40" s="131"/>
      <c r="P40" s="131"/>
      <c r="Q40" s="131"/>
      <c r="R40" s="131"/>
      <c r="S40" s="131"/>
      <c r="T40" s="131"/>
      <c r="U40" s="131"/>
      <c r="V40" s="131"/>
      <c r="W40" s="131"/>
      <c r="X40" s="131"/>
      <c r="Y40" s="131"/>
      <c r="Z40" s="131"/>
      <c r="AA40" s="131"/>
      <c r="AB40" s="131"/>
      <c r="AC40" s="131"/>
      <c r="AD40" s="131"/>
      <c r="AE40" s="131"/>
      <c r="AF40" s="131"/>
      <c r="AG40" s="131"/>
      <c r="AH40" s="131"/>
      <c r="AI40" s="131"/>
      <c r="AJ40" s="131"/>
      <c r="AK40" s="131"/>
      <c r="AL40" s="131"/>
      <c r="AM40" s="131"/>
      <c r="AN40" s="131"/>
      <c r="AO40" s="131"/>
      <c r="AP40" s="131"/>
      <c r="AQ40" s="131"/>
    </row>
    <row r="41" spans="1:43" ht="15" x14ac:dyDescent="0.2">
      <c r="A41" s="286" t="s">
        <v>117</v>
      </c>
      <c r="B41" s="131"/>
      <c r="C41" s="131"/>
      <c r="D41" s="131"/>
      <c r="E41" s="131"/>
      <c r="F41" s="131"/>
      <c r="G41" s="131" t="str">
        <f t="shared" si="0"/>
        <v>3MÉDIOALTO</v>
      </c>
      <c r="H41" s="278">
        <v>3</v>
      </c>
      <c r="I41" s="279" t="s">
        <v>291</v>
      </c>
      <c r="J41" s="279" t="s">
        <v>292</v>
      </c>
      <c r="K41" s="280" t="s">
        <v>334</v>
      </c>
      <c r="L41" s="280">
        <v>28</v>
      </c>
      <c r="M41" s="281">
        <v>32</v>
      </c>
      <c r="N41" s="131"/>
      <c r="O41" s="131"/>
      <c r="P41" s="131"/>
      <c r="Q41" s="131"/>
      <c r="R41" s="131"/>
      <c r="S41" s="131"/>
      <c r="T41" s="131"/>
      <c r="U41" s="131"/>
      <c r="V41" s="131"/>
      <c r="W41" s="131"/>
      <c r="X41" s="131"/>
      <c r="Y41" s="131"/>
      <c r="Z41" s="131"/>
      <c r="AA41" s="131"/>
      <c r="AB41" s="131"/>
      <c r="AC41" s="131"/>
      <c r="AD41" s="131"/>
      <c r="AE41" s="131"/>
      <c r="AF41" s="131"/>
      <c r="AG41" s="131"/>
      <c r="AH41" s="131"/>
      <c r="AI41" s="131"/>
      <c r="AJ41" s="131"/>
      <c r="AK41" s="131"/>
      <c r="AL41" s="131"/>
      <c r="AM41" s="131"/>
      <c r="AN41" s="131"/>
      <c r="AO41" s="131"/>
      <c r="AP41" s="131"/>
      <c r="AQ41" s="131"/>
    </row>
    <row r="42" spans="1:43" ht="15" x14ac:dyDescent="0.2">
      <c r="A42" s="286" t="s">
        <v>337</v>
      </c>
      <c r="B42" s="131"/>
      <c r="C42" s="131"/>
      <c r="D42" s="131"/>
      <c r="E42" s="131"/>
      <c r="F42" s="131"/>
      <c r="G42" s="131" t="str">
        <f t="shared" si="0"/>
        <v>3ALTOMÉDIO</v>
      </c>
      <c r="H42" s="278">
        <v>3</v>
      </c>
      <c r="I42" s="279" t="s">
        <v>292</v>
      </c>
      <c r="J42" s="279" t="s">
        <v>291</v>
      </c>
      <c r="K42" s="280" t="s">
        <v>334</v>
      </c>
      <c r="L42" s="280">
        <v>28</v>
      </c>
      <c r="M42" s="281">
        <v>32</v>
      </c>
      <c r="N42" s="131"/>
      <c r="O42" s="131"/>
      <c r="P42" s="131"/>
      <c r="Q42" s="131"/>
      <c r="R42" s="131"/>
      <c r="S42" s="131"/>
      <c r="T42" s="131"/>
      <c r="U42" s="131"/>
      <c r="V42" s="131"/>
      <c r="W42" s="131"/>
      <c r="X42" s="131"/>
      <c r="Y42" s="131"/>
      <c r="Z42" s="131"/>
      <c r="AA42" s="131"/>
      <c r="AB42" s="131"/>
      <c r="AC42" s="131"/>
      <c r="AD42" s="131"/>
      <c r="AE42" s="131"/>
      <c r="AF42" s="131"/>
      <c r="AG42" s="131"/>
      <c r="AH42" s="131"/>
      <c r="AI42" s="131"/>
      <c r="AJ42" s="131"/>
      <c r="AK42" s="131"/>
      <c r="AL42" s="131"/>
      <c r="AM42" s="131"/>
      <c r="AN42" s="131"/>
      <c r="AO42" s="131"/>
      <c r="AP42" s="131"/>
      <c r="AQ42" s="131"/>
    </row>
    <row r="43" spans="1:43" ht="15.75" thickBot="1" x14ac:dyDescent="0.25">
      <c r="A43" s="286"/>
      <c r="B43" s="131"/>
      <c r="C43" s="131"/>
      <c r="D43" s="131"/>
      <c r="E43" s="131"/>
      <c r="F43" s="131"/>
      <c r="G43" s="131" t="str">
        <f t="shared" si="0"/>
        <v>3ALTOALTO</v>
      </c>
      <c r="H43" s="287">
        <v>3</v>
      </c>
      <c r="I43" s="288" t="s">
        <v>292</v>
      </c>
      <c r="J43" s="288" t="s">
        <v>292</v>
      </c>
      <c r="K43" s="289" t="s">
        <v>338</v>
      </c>
      <c r="L43" s="289">
        <v>36</v>
      </c>
      <c r="M43" s="290">
        <v>40</v>
      </c>
      <c r="N43" s="131"/>
      <c r="O43" s="131"/>
      <c r="P43" s="131"/>
      <c r="Q43" s="131"/>
      <c r="R43" s="131"/>
      <c r="S43" s="131"/>
      <c r="T43" s="131"/>
      <c r="U43" s="131"/>
      <c r="V43" s="131"/>
      <c r="W43" s="131"/>
      <c r="X43" s="131"/>
      <c r="Y43" s="131"/>
      <c r="Z43" s="131"/>
      <c r="AA43" s="131"/>
      <c r="AB43" s="131"/>
      <c r="AC43" s="131"/>
      <c r="AD43" s="131"/>
      <c r="AE43" s="131"/>
      <c r="AF43" s="131"/>
      <c r="AG43" s="131"/>
      <c r="AH43" s="131"/>
      <c r="AI43" s="131"/>
      <c r="AJ43" s="131"/>
      <c r="AK43" s="131"/>
      <c r="AL43" s="131"/>
      <c r="AM43" s="131"/>
      <c r="AN43" s="131"/>
      <c r="AO43" s="131"/>
      <c r="AP43" s="131"/>
      <c r="AQ43" s="131"/>
    </row>
    <row r="44" spans="1:43" ht="15" x14ac:dyDescent="0.2">
      <c r="A44" s="286" t="s">
        <v>339</v>
      </c>
      <c r="B44" s="131"/>
      <c r="C44" s="131"/>
      <c r="D44" s="131"/>
      <c r="E44" s="131"/>
      <c r="F44" s="131"/>
      <c r="G44" s="131"/>
      <c r="H44" s="131"/>
      <c r="I44" s="131"/>
      <c r="J44" s="131"/>
      <c r="K44" s="131"/>
      <c r="L44" s="131"/>
      <c r="M44" s="131"/>
      <c r="N44" s="131"/>
      <c r="O44" s="131"/>
      <c r="P44" s="131"/>
      <c r="Q44" s="131"/>
      <c r="R44" s="131"/>
      <c r="S44" s="131"/>
      <c r="T44" s="131"/>
      <c r="U44" s="131"/>
      <c r="V44" s="131"/>
      <c r="W44" s="131"/>
      <c r="X44" s="131"/>
      <c r="Y44" s="131"/>
      <c r="Z44" s="131"/>
      <c r="AA44" s="131"/>
      <c r="AB44" s="131"/>
      <c r="AC44" s="131"/>
      <c r="AD44" s="131"/>
      <c r="AE44" s="131"/>
      <c r="AF44" s="131"/>
      <c r="AG44" s="131"/>
      <c r="AH44" s="131"/>
      <c r="AI44" s="131"/>
      <c r="AJ44" s="131"/>
      <c r="AK44" s="131"/>
      <c r="AL44" s="131"/>
      <c r="AM44" s="131"/>
      <c r="AN44" s="131"/>
      <c r="AO44" s="131"/>
      <c r="AP44" s="131"/>
      <c r="AQ44" s="131"/>
    </row>
    <row r="45" spans="1:43" ht="15" x14ac:dyDescent="0.2">
      <c r="A45" s="286" t="s">
        <v>313</v>
      </c>
      <c r="B45" s="131"/>
      <c r="C45" s="131"/>
      <c r="D45" s="131"/>
      <c r="E45" s="131"/>
      <c r="F45" s="131"/>
      <c r="G45" s="131"/>
      <c r="H45" s="131"/>
      <c r="I45" s="131"/>
      <c r="J45" s="131"/>
      <c r="K45" s="131"/>
      <c r="L45" s="131"/>
      <c r="M45" s="131"/>
      <c r="N45" s="131"/>
      <c r="O45" s="131"/>
      <c r="P45" s="131"/>
      <c r="Q45" s="131"/>
      <c r="R45" s="131"/>
      <c r="S45" s="131"/>
      <c r="T45" s="131"/>
      <c r="U45" s="131"/>
      <c r="V45" s="131"/>
      <c r="W45" s="131"/>
      <c r="X45" s="131"/>
      <c r="Y45" s="131"/>
      <c r="Z45" s="131"/>
      <c r="AA45" s="131"/>
      <c r="AB45" s="131"/>
      <c r="AC45" s="131"/>
      <c r="AD45" s="131"/>
      <c r="AE45" s="131"/>
      <c r="AF45" s="131"/>
      <c r="AG45" s="131"/>
      <c r="AH45" s="131"/>
      <c r="AI45" s="131"/>
      <c r="AJ45" s="131"/>
      <c r="AK45" s="131"/>
      <c r="AL45" s="131"/>
      <c r="AM45" s="131"/>
      <c r="AN45" s="131"/>
      <c r="AO45" s="131"/>
      <c r="AP45" s="131"/>
      <c r="AQ45" s="131"/>
    </row>
    <row r="46" spans="1:43" ht="15" x14ac:dyDescent="0.2">
      <c r="A46" s="286" t="s">
        <v>325</v>
      </c>
      <c r="B46" s="131"/>
      <c r="C46" s="291" t="s">
        <v>340</v>
      </c>
      <c r="D46" s="131"/>
      <c r="E46" s="132" t="s">
        <v>341</v>
      </c>
      <c r="F46" s="131"/>
      <c r="G46" s="131"/>
      <c r="H46" s="131"/>
      <c r="I46" s="131"/>
      <c r="J46" s="131"/>
      <c r="K46" s="131"/>
      <c r="L46" s="131"/>
      <c r="M46" s="131"/>
      <c r="N46" s="131"/>
      <c r="O46" s="131"/>
      <c r="P46" s="131"/>
      <c r="Q46" s="131"/>
      <c r="R46" s="131"/>
      <c r="S46" s="131"/>
      <c r="T46" s="131"/>
      <c r="U46" s="131"/>
      <c r="V46" s="131"/>
      <c r="W46" s="131"/>
      <c r="X46" s="131"/>
      <c r="Y46" s="131"/>
      <c r="Z46" s="131"/>
      <c r="AA46" s="131"/>
      <c r="AB46" s="131"/>
      <c r="AC46" s="131"/>
      <c r="AD46" s="131"/>
      <c r="AE46" s="131"/>
      <c r="AF46" s="131"/>
      <c r="AG46" s="131"/>
      <c r="AH46" s="131"/>
      <c r="AI46" s="131"/>
      <c r="AJ46" s="131"/>
      <c r="AK46" s="131"/>
      <c r="AL46" s="131"/>
      <c r="AM46" s="131"/>
      <c r="AN46" s="131"/>
      <c r="AO46" s="131"/>
      <c r="AP46" s="131"/>
      <c r="AQ46" s="131"/>
    </row>
    <row r="47" spans="1:43" ht="15" x14ac:dyDescent="0.2">
      <c r="A47" s="286"/>
      <c r="B47" s="131"/>
      <c r="C47" s="280" t="s">
        <v>342</v>
      </c>
      <c r="D47" s="131"/>
      <c r="E47" s="131" t="s">
        <v>343</v>
      </c>
      <c r="F47" s="131">
        <v>0.9</v>
      </c>
      <c r="G47" s="131"/>
      <c r="H47" s="131"/>
      <c r="I47" s="131"/>
      <c r="J47" s="131"/>
      <c r="K47" s="131"/>
      <c r="L47" s="131"/>
      <c r="M47" s="131"/>
      <c r="N47" s="131"/>
      <c r="O47" s="131"/>
      <c r="P47" s="131"/>
      <c r="Q47" s="131"/>
      <c r="R47" s="131"/>
      <c r="S47" s="131"/>
      <c r="T47" s="131"/>
      <c r="U47" s="131"/>
      <c r="V47" s="131"/>
      <c r="W47" s="131"/>
      <c r="X47" s="131"/>
      <c r="Y47" s="131"/>
      <c r="Z47" s="131"/>
      <c r="AA47" s="131"/>
      <c r="AB47" s="131"/>
      <c r="AC47" s="131"/>
      <c r="AD47" s="131"/>
      <c r="AE47" s="131"/>
      <c r="AF47" s="131"/>
      <c r="AG47" s="131"/>
      <c r="AH47" s="131"/>
      <c r="AI47" s="131"/>
      <c r="AJ47" s="131"/>
      <c r="AK47" s="131"/>
      <c r="AL47" s="131"/>
      <c r="AM47" s="131"/>
      <c r="AN47" s="131"/>
      <c r="AO47" s="131"/>
      <c r="AP47" s="131"/>
      <c r="AQ47" s="131"/>
    </row>
    <row r="48" spans="1:43" ht="15" x14ac:dyDescent="0.2">
      <c r="A48" s="286" t="s">
        <v>344</v>
      </c>
      <c r="B48" s="131" t="s">
        <v>345</v>
      </c>
      <c r="C48" s="280" t="s">
        <v>346</v>
      </c>
      <c r="D48" s="131"/>
      <c r="E48" s="131" t="s">
        <v>347</v>
      </c>
      <c r="F48" s="131">
        <v>0.8</v>
      </c>
      <c r="G48" s="131"/>
      <c r="H48" s="131"/>
      <c r="I48" s="131"/>
      <c r="J48" s="131"/>
      <c r="K48" s="131"/>
      <c r="L48" s="131"/>
      <c r="M48" s="131"/>
      <c r="N48" s="131"/>
      <c r="O48" s="131"/>
      <c r="P48" s="131"/>
      <c r="Q48" s="131"/>
      <c r="R48" s="131"/>
      <c r="S48" s="131"/>
      <c r="T48" s="131"/>
      <c r="U48" s="131"/>
      <c r="V48" s="131"/>
      <c r="W48" s="131"/>
      <c r="X48" s="131"/>
      <c r="Y48" s="131"/>
      <c r="Z48" s="131"/>
      <c r="AA48" s="131"/>
      <c r="AB48" s="131"/>
      <c r="AC48" s="131"/>
      <c r="AD48" s="131"/>
      <c r="AE48" s="131"/>
      <c r="AF48" s="131"/>
      <c r="AG48" s="131"/>
      <c r="AH48" s="131"/>
      <c r="AI48" s="131"/>
      <c r="AJ48" s="131"/>
      <c r="AK48" s="131"/>
      <c r="AL48" s="131"/>
      <c r="AM48" s="131"/>
      <c r="AN48" s="131"/>
      <c r="AO48" s="131"/>
      <c r="AP48" s="131"/>
      <c r="AQ48" s="131"/>
    </row>
    <row r="49" spans="1:43" ht="15" x14ac:dyDescent="0.2">
      <c r="A49" s="286" t="s">
        <v>344</v>
      </c>
      <c r="B49" s="131" t="s">
        <v>348</v>
      </c>
      <c r="C49" s="280" t="s">
        <v>349</v>
      </c>
      <c r="D49" s="131"/>
      <c r="E49" s="131"/>
      <c r="F49" s="131"/>
      <c r="G49" s="131"/>
      <c r="H49" s="131"/>
      <c r="I49" s="131"/>
      <c r="J49" s="131"/>
      <c r="K49" s="131"/>
      <c r="L49" s="131"/>
      <c r="M49" s="131"/>
      <c r="N49" s="131"/>
      <c r="O49" s="131"/>
      <c r="P49" s="131"/>
      <c r="Q49" s="131"/>
      <c r="R49" s="131"/>
      <c r="S49" s="131"/>
      <c r="T49" s="131"/>
      <c r="U49" s="131"/>
      <c r="V49" s="131"/>
      <c r="W49" s="131"/>
      <c r="X49" s="131"/>
      <c r="Y49" s="131"/>
      <c r="Z49" s="131"/>
      <c r="AA49" s="131"/>
      <c r="AB49" s="131"/>
      <c r="AC49" s="131"/>
      <c r="AD49" s="131"/>
      <c r="AE49" s="131"/>
      <c r="AF49" s="131"/>
      <c r="AG49" s="131"/>
      <c r="AH49" s="131"/>
      <c r="AI49" s="131"/>
      <c r="AJ49" s="131"/>
      <c r="AK49" s="131"/>
      <c r="AL49" s="131"/>
      <c r="AM49" s="131"/>
      <c r="AN49" s="131"/>
      <c r="AO49" s="131"/>
      <c r="AP49" s="131"/>
      <c r="AQ49" s="131"/>
    </row>
    <row r="50" spans="1:43" ht="15" x14ac:dyDescent="0.2">
      <c r="A50" s="286" t="s">
        <v>344</v>
      </c>
      <c r="B50" s="131" t="s">
        <v>350</v>
      </c>
      <c r="C50" s="280" t="s">
        <v>351</v>
      </c>
      <c r="D50" s="131"/>
      <c r="E50" s="131"/>
      <c r="F50" s="131"/>
      <c r="G50" s="131"/>
      <c r="H50" s="131"/>
      <c r="I50" s="131"/>
      <c r="J50" s="131"/>
      <c r="K50" s="131"/>
      <c r="L50" s="131"/>
      <c r="M50" s="131"/>
      <c r="N50" s="131"/>
      <c r="O50" s="131"/>
      <c r="P50" s="131"/>
      <c r="Q50" s="131"/>
      <c r="R50" s="131"/>
      <c r="S50" s="131"/>
      <c r="T50" s="131"/>
      <c r="U50" s="131"/>
      <c r="V50" s="131"/>
      <c r="W50" s="131"/>
      <c r="X50" s="131"/>
      <c r="Y50" s="131"/>
      <c r="Z50" s="131"/>
      <c r="AA50" s="131"/>
      <c r="AB50" s="131"/>
      <c r="AC50" s="131"/>
      <c r="AD50" s="131"/>
      <c r="AE50" s="131"/>
      <c r="AF50" s="131"/>
      <c r="AG50" s="131"/>
      <c r="AH50" s="131"/>
      <c r="AI50" s="131"/>
      <c r="AJ50" s="131"/>
      <c r="AK50" s="131"/>
      <c r="AL50" s="131"/>
      <c r="AM50" s="131"/>
      <c r="AN50" s="131"/>
      <c r="AO50" s="131"/>
      <c r="AP50" s="131"/>
      <c r="AQ50" s="131"/>
    </row>
    <row r="51" spans="1:43" ht="15" x14ac:dyDescent="0.2">
      <c r="A51" s="286" t="s">
        <v>344</v>
      </c>
      <c r="B51" s="131" t="s">
        <v>352</v>
      </c>
      <c r="C51" s="280" t="s">
        <v>353</v>
      </c>
      <c r="D51" s="131"/>
      <c r="E51" s="131"/>
      <c r="F51" s="131"/>
      <c r="G51" s="131"/>
      <c r="H51" s="131"/>
      <c r="I51" s="131"/>
      <c r="J51" s="131"/>
      <c r="K51" s="131"/>
      <c r="L51" s="131"/>
      <c r="M51" s="131"/>
      <c r="N51" s="131"/>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row>
    <row r="52" spans="1:43" ht="15" x14ac:dyDescent="0.2">
      <c r="A52" s="286" t="s">
        <v>344</v>
      </c>
      <c r="B52" s="131" t="s">
        <v>354</v>
      </c>
      <c r="C52" s="280" t="s">
        <v>355</v>
      </c>
      <c r="D52" s="131"/>
      <c r="E52" s="131"/>
      <c r="F52" s="131"/>
      <c r="G52" s="131"/>
      <c r="H52" s="131"/>
      <c r="I52" s="131"/>
      <c r="J52" s="131"/>
      <c r="K52" s="131"/>
      <c r="L52" s="131"/>
      <c r="M52" s="131"/>
      <c r="N52" s="131"/>
      <c r="O52" s="131"/>
      <c r="P52" s="131"/>
      <c r="Q52" s="131"/>
      <c r="R52" s="131"/>
      <c r="S52" s="131"/>
      <c r="T52" s="131"/>
      <c r="U52" s="131"/>
      <c r="V52" s="131"/>
      <c r="W52" s="131"/>
      <c r="X52" s="131"/>
      <c r="Y52" s="131"/>
      <c r="Z52" s="131"/>
      <c r="AA52" s="131"/>
      <c r="AB52" s="131"/>
      <c r="AC52" s="131"/>
      <c r="AD52" s="131"/>
      <c r="AE52" s="131"/>
      <c r="AF52" s="131"/>
      <c r="AG52" s="131"/>
      <c r="AH52" s="131"/>
      <c r="AI52" s="131"/>
      <c r="AJ52" s="131"/>
      <c r="AK52" s="131"/>
      <c r="AL52" s="131"/>
      <c r="AM52" s="131"/>
      <c r="AN52" s="131"/>
      <c r="AO52" s="131"/>
      <c r="AP52" s="131"/>
      <c r="AQ52" s="131"/>
    </row>
    <row r="53" spans="1:43" ht="15" x14ac:dyDescent="0.2">
      <c r="A53" s="286" t="s">
        <v>344</v>
      </c>
      <c r="B53" s="131" t="s">
        <v>356</v>
      </c>
      <c r="C53" s="280" t="s">
        <v>357</v>
      </c>
      <c r="D53" s="131"/>
      <c r="E53" s="131"/>
      <c r="F53" s="131"/>
      <c r="G53" s="131"/>
      <c r="H53" s="131"/>
      <c r="I53" s="131"/>
      <c r="J53" s="131"/>
      <c r="K53" s="131"/>
      <c r="L53" s="131"/>
      <c r="M53" s="131"/>
      <c r="N53" s="131"/>
      <c r="O53" s="131"/>
      <c r="P53" s="131"/>
      <c r="Q53" s="131"/>
      <c r="R53" s="131"/>
      <c r="S53" s="131"/>
      <c r="T53" s="131"/>
      <c r="U53" s="131"/>
      <c r="V53" s="131"/>
      <c r="W53" s="131"/>
      <c r="X53" s="131"/>
      <c r="Y53" s="131"/>
      <c r="Z53" s="131"/>
      <c r="AA53" s="131"/>
      <c r="AB53" s="131"/>
      <c r="AC53" s="131"/>
      <c r="AD53" s="131"/>
      <c r="AE53" s="131"/>
      <c r="AF53" s="131"/>
      <c r="AG53" s="131"/>
      <c r="AH53" s="131"/>
      <c r="AI53" s="131"/>
      <c r="AJ53" s="131"/>
      <c r="AK53" s="131"/>
      <c r="AL53" s="131"/>
      <c r="AM53" s="131"/>
      <c r="AN53" s="131"/>
      <c r="AO53" s="131"/>
      <c r="AP53" s="131"/>
      <c r="AQ53" s="131"/>
    </row>
    <row r="54" spans="1:43" ht="15" x14ac:dyDescent="0.2">
      <c r="A54" s="286" t="s">
        <v>344</v>
      </c>
      <c r="B54" s="131" t="s">
        <v>358</v>
      </c>
      <c r="C54" s="280" t="s">
        <v>359</v>
      </c>
      <c r="D54" s="131"/>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131"/>
      <c r="AI54" s="131"/>
      <c r="AJ54" s="131"/>
      <c r="AK54" s="131"/>
      <c r="AL54" s="131"/>
      <c r="AM54" s="131"/>
      <c r="AN54" s="131"/>
      <c r="AO54" s="131"/>
      <c r="AP54" s="131"/>
      <c r="AQ54" s="131"/>
    </row>
    <row r="55" spans="1:43" ht="15" x14ac:dyDescent="0.2">
      <c r="A55" s="286" t="s">
        <v>360</v>
      </c>
      <c r="B55" s="131" t="s">
        <v>361</v>
      </c>
      <c r="C55" s="280" t="s">
        <v>362</v>
      </c>
      <c r="D55" s="131"/>
      <c r="E55" s="131"/>
      <c r="F55" s="131"/>
      <c r="G55" s="131"/>
      <c r="H55" s="131"/>
      <c r="I55" s="131"/>
      <c r="J55" s="131"/>
      <c r="K55" s="131"/>
      <c r="L55" s="131"/>
      <c r="M55" s="131"/>
      <c r="N55" s="131"/>
      <c r="O55" s="131"/>
      <c r="P55" s="131"/>
      <c r="Q55" s="131"/>
      <c r="R55" s="131"/>
      <c r="S55" s="131"/>
      <c r="T55" s="131"/>
      <c r="U55" s="131"/>
      <c r="V55" s="131"/>
      <c r="W55" s="131"/>
      <c r="X55" s="131"/>
      <c r="Y55" s="131"/>
      <c r="Z55" s="131"/>
      <c r="AA55" s="131"/>
      <c r="AB55" s="131"/>
      <c r="AC55" s="131"/>
      <c r="AD55" s="131"/>
      <c r="AE55" s="131"/>
      <c r="AF55" s="131"/>
      <c r="AG55" s="131"/>
      <c r="AH55" s="131"/>
      <c r="AI55" s="131"/>
      <c r="AJ55" s="131"/>
      <c r="AK55" s="131"/>
      <c r="AL55" s="131"/>
      <c r="AM55" s="131"/>
      <c r="AN55" s="131"/>
      <c r="AO55" s="131"/>
      <c r="AP55" s="131"/>
      <c r="AQ55" s="131"/>
    </row>
    <row r="56" spans="1:43" ht="15" x14ac:dyDescent="0.2">
      <c r="A56" s="286" t="s">
        <v>360</v>
      </c>
      <c r="B56" s="131" t="s">
        <v>363</v>
      </c>
      <c r="C56" s="280" t="s">
        <v>364</v>
      </c>
      <c r="D56" s="131"/>
      <c r="E56" s="131"/>
      <c r="F56" s="131"/>
      <c r="G56" s="131"/>
      <c r="H56" s="131"/>
      <c r="I56" s="131"/>
      <c r="J56" s="131"/>
      <c r="K56" s="131"/>
      <c r="L56" s="131"/>
      <c r="M56" s="131"/>
      <c r="N56" s="131"/>
      <c r="O56" s="131"/>
      <c r="P56" s="131"/>
      <c r="Q56" s="131"/>
      <c r="R56" s="131"/>
      <c r="S56" s="131"/>
      <c r="T56" s="131"/>
      <c r="U56" s="131"/>
      <c r="V56" s="131"/>
      <c r="W56" s="131"/>
      <c r="X56" s="131"/>
      <c r="Y56" s="131"/>
      <c r="Z56" s="131"/>
      <c r="AA56" s="131"/>
      <c r="AB56" s="131"/>
      <c r="AC56" s="131"/>
      <c r="AD56" s="131"/>
      <c r="AE56" s="131"/>
      <c r="AF56" s="131"/>
      <c r="AG56" s="131"/>
      <c r="AH56" s="131"/>
      <c r="AI56" s="131"/>
      <c r="AJ56" s="131"/>
      <c r="AK56" s="131"/>
      <c r="AL56" s="131"/>
      <c r="AM56" s="131"/>
      <c r="AN56" s="131"/>
      <c r="AO56" s="131"/>
      <c r="AP56" s="131"/>
      <c r="AQ56" s="131"/>
    </row>
    <row r="57" spans="1:43" ht="15" x14ac:dyDescent="0.2">
      <c r="A57" s="286" t="s">
        <v>360</v>
      </c>
      <c r="B57" s="131" t="s">
        <v>365</v>
      </c>
      <c r="C57" s="280" t="s">
        <v>366</v>
      </c>
      <c r="D57" s="131"/>
      <c r="E57" s="131"/>
      <c r="F57" s="131"/>
      <c r="G57" s="131"/>
      <c r="H57" s="131"/>
      <c r="I57" s="131"/>
      <c r="J57" s="131"/>
      <c r="K57" s="131"/>
      <c r="L57" s="131"/>
      <c r="M57" s="131"/>
      <c r="N57" s="131"/>
      <c r="O57" s="131"/>
      <c r="P57" s="131"/>
      <c r="Q57" s="131"/>
      <c r="R57" s="131"/>
      <c r="S57" s="131"/>
      <c r="T57" s="131"/>
      <c r="U57" s="131"/>
      <c r="V57" s="131"/>
      <c r="W57" s="131"/>
      <c r="X57" s="131"/>
      <c r="Y57" s="131"/>
      <c r="Z57" s="131"/>
      <c r="AA57" s="131"/>
      <c r="AB57" s="131"/>
      <c r="AC57" s="131"/>
      <c r="AD57" s="131"/>
      <c r="AE57" s="131"/>
      <c r="AF57" s="131"/>
      <c r="AG57" s="131"/>
      <c r="AH57" s="131"/>
      <c r="AI57" s="131"/>
      <c r="AJ57" s="131"/>
      <c r="AK57" s="131"/>
      <c r="AL57" s="131"/>
      <c r="AM57" s="131"/>
      <c r="AN57" s="131"/>
      <c r="AO57" s="131"/>
      <c r="AP57" s="131"/>
      <c r="AQ57" s="131"/>
    </row>
    <row r="58" spans="1:43" ht="15" x14ac:dyDescent="0.2">
      <c r="A58" s="286" t="s">
        <v>360</v>
      </c>
      <c r="B58" s="131" t="s">
        <v>367</v>
      </c>
      <c r="C58" s="280" t="s">
        <v>368</v>
      </c>
      <c r="D58" s="131"/>
      <c r="E58" s="131"/>
      <c r="F58" s="131"/>
      <c r="G58" s="131"/>
      <c r="H58" s="131"/>
      <c r="I58" s="131"/>
      <c r="J58" s="131"/>
      <c r="K58" s="131"/>
      <c r="L58" s="131"/>
      <c r="M58" s="131"/>
      <c r="N58" s="131"/>
      <c r="O58" s="131"/>
      <c r="P58" s="131"/>
      <c r="Q58" s="131"/>
      <c r="R58" s="131"/>
      <c r="S58" s="131"/>
      <c r="T58" s="131"/>
      <c r="U58" s="131"/>
      <c r="V58" s="131"/>
      <c r="W58" s="131"/>
      <c r="X58" s="131"/>
      <c r="Y58" s="131"/>
      <c r="Z58" s="131"/>
      <c r="AA58" s="131"/>
      <c r="AB58" s="131"/>
      <c r="AC58" s="131"/>
      <c r="AD58" s="131"/>
      <c r="AE58" s="131"/>
      <c r="AF58" s="131"/>
      <c r="AG58" s="131"/>
      <c r="AH58" s="131"/>
      <c r="AI58" s="131"/>
      <c r="AJ58" s="131"/>
      <c r="AK58" s="131"/>
      <c r="AL58" s="131"/>
      <c r="AM58" s="131"/>
      <c r="AN58" s="131"/>
      <c r="AO58" s="131"/>
      <c r="AP58" s="131"/>
      <c r="AQ58" s="131"/>
    </row>
    <row r="59" spans="1:43" x14ac:dyDescent="0.2">
      <c r="A59" s="131"/>
      <c r="B59" s="131"/>
      <c r="C59" s="280" t="s">
        <v>369</v>
      </c>
      <c r="D59" s="131"/>
      <c r="E59" s="131"/>
      <c r="F59" s="131"/>
      <c r="G59" s="131"/>
      <c r="H59" s="131"/>
      <c r="I59" s="131"/>
      <c r="J59" s="131"/>
      <c r="K59" s="131"/>
      <c r="L59" s="131"/>
      <c r="M59" s="131"/>
      <c r="N59" s="131"/>
      <c r="O59" s="131"/>
      <c r="P59" s="131"/>
      <c r="Q59" s="131"/>
      <c r="R59" s="131"/>
      <c r="S59" s="131"/>
      <c r="T59" s="131"/>
      <c r="U59" s="131"/>
      <c r="V59" s="131"/>
      <c r="W59" s="131"/>
      <c r="X59" s="131"/>
      <c r="Y59" s="131"/>
      <c r="Z59" s="131"/>
      <c r="AA59" s="131"/>
      <c r="AB59" s="131"/>
      <c r="AC59" s="131"/>
      <c r="AD59" s="131"/>
      <c r="AE59" s="131"/>
      <c r="AF59" s="131"/>
      <c r="AG59" s="131"/>
      <c r="AH59" s="131"/>
      <c r="AI59" s="131"/>
      <c r="AJ59" s="131"/>
      <c r="AK59" s="131"/>
      <c r="AL59" s="131"/>
      <c r="AM59" s="131"/>
      <c r="AN59" s="131"/>
      <c r="AO59" s="131"/>
      <c r="AP59" s="131"/>
      <c r="AQ59" s="131"/>
    </row>
    <row r="60" spans="1:43" ht="15" x14ac:dyDescent="0.2">
      <c r="A60" s="286" t="s">
        <v>370</v>
      </c>
      <c r="B60" s="131"/>
      <c r="C60" s="280" t="s">
        <v>371</v>
      </c>
      <c r="D60" s="131"/>
      <c r="E60" s="131"/>
      <c r="F60" s="131"/>
      <c r="G60" s="131"/>
      <c r="H60" s="131"/>
      <c r="I60" s="131"/>
      <c r="J60" s="131"/>
      <c r="K60" s="131"/>
      <c r="L60" s="131"/>
      <c r="M60" s="131"/>
      <c r="N60" s="131"/>
      <c r="O60" s="131"/>
      <c r="P60" s="131"/>
      <c r="Q60" s="131"/>
      <c r="R60" s="131"/>
      <c r="S60" s="131"/>
      <c r="T60" s="131"/>
      <c r="U60" s="131"/>
      <c r="V60" s="131"/>
      <c r="W60" s="131"/>
      <c r="X60" s="131"/>
      <c r="Y60" s="131"/>
      <c r="Z60" s="131"/>
      <c r="AA60" s="131"/>
      <c r="AB60" s="131"/>
      <c r="AC60" s="131"/>
      <c r="AD60" s="131"/>
      <c r="AE60" s="131"/>
      <c r="AF60" s="131"/>
      <c r="AG60" s="131"/>
      <c r="AH60" s="131"/>
      <c r="AI60" s="131"/>
      <c r="AJ60" s="131"/>
      <c r="AK60" s="131"/>
      <c r="AL60" s="131"/>
      <c r="AM60" s="131"/>
      <c r="AN60" s="131"/>
      <c r="AO60" s="131"/>
      <c r="AP60" s="131"/>
      <c r="AQ60" s="131"/>
    </row>
    <row r="61" spans="1:43" x14ac:dyDescent="0.2">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c r="AA61" s="131"/>
      <c r="AB61" s="131"/>
      <c r="AC61" s="131"/>
      <c r="AD61" s="131"/>
      <c r="AE61" s="131"/>
      <c r="AF61" s="131"/>
      <c r="AG61" s="131"/>
      <c r="AH61" s="131"/>
      <c r="AI61" s="131"/>
      <c r="AJ61" s="131"/>
      <c r="AK61" s="131"/>
      <c r="AL61" s="131"/>
      <c r="AM61" s="131"/>
      <c r="AN61" s="131"/>
      <c r="AO61" s="131"/>
      <c r="AP61" s="131"/>
      <c r="AQ61" s="131"/>
    </row>
    <row r="62" spans="1:43" x14ac:dyDescent="0.2">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c r="AA62" s="131"/>
      <c r="AB62" s="131"/>
      <c r="AC62" s="131"/>
      <c r="AD62" s="131"/>
      <c r="AE62" s="131"/>
      <c r="AF62" s="131"/>
      <c r="AG62" s="131"/>
      <c r="AH62" s="131"/>
      <c r="AI62" s="131"/>
      <c r="AJ62" s="131"/>
      <c r="AK62" s="131"/>
      <c r="AL62" s="131"/>
      <c r="AM62" s="131"/>
      <c r="AN62" s="131"/>
      <c r="AO62" s="131"/>
      <c r="AP62" s="131"/>
      <c r="AQ62" s="131"/>
    </row>
    <row r="63" spans="1:43" x14ac:dyDescent="0.2">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c r="AA63" s="131"/>
      <c r="AB63" s="131"/>
      <c r="AC63" s="131"/>
      <c r="AD63" s="131"/>
      <c r="AE63" s="131"/>
      <c r="AF63" s="131"/>
      <c r="AG63" s="131"/>
      <c r="AH63" s="131"/>
      <c r="AI63" s="131"/>
      <c r="AJ63" s="131"/>
      <c r="AK63" s="131"/>
      <c r="AL63" s="131"/>
      <c r="AM63" s="131"/>
      <c r="AN63" s="131"/>
      <c r="AO63" s="131"/>
      <c r="AP63" s="131"/>
      <c r="AQ63" s="131"/>
    </row>
    <row r="64" spans="1:43" x14ac:dyDescent="0.2">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c r="AA64" s="131"/>
      <c r="AB64" s="131"/>
      <c r="AC64" s="131"/>
      <c r="AD64" s="131"/>
      <c r="AE64" s="131"/>
      <c r="AF64" s="131"/>
      <c r="AG64" s="131"/>
      <c r="AH64" s="131"/>
      <c r="AI64" s="131"/>
      <c r="AJ64" s="131"/>
      <c r="AK64" s="131"/>
      <c r="AL64" s="131"/>
      <c r="AM64" s="131"/>
      <c r="AN64" s="131"/>
      <c r="AO64" s="131"/>
      <c r="AP64" s="131"/>
      <c r="AQ64" s="131"/>
    </row>
    <row r="65" spans="1:43" x14ac:dyDescent="0.2">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c r="AA65" s="131"/>
      <c r="AB65" s="131"/>
      <c r="AC65" s="131"/>
      <c r="AD65" s="131"/>
      <c r="AE65" s="131"/>
      <c r="AF65" s="131"/>
      <c r="AG65" s="131"/>
      <c r="AH65" s="131"/>
      <c r="AI65" s="131"/>
      <c r="AJ65" s="131"/>
      <c r="AK65" s="131"/>
      <c r="AL65" s="131"/>
      <c r="AM65" s="131"/>
      <c r="AN65" s="131"/>
      <c r="AO65" s="131"/>
      <c r="AP65" s="131"/>
      <c r="AQ65" s="131"/>
    </row>
    <row r="66" spans="1:43" x14ac:dyDescent="0.2">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c r="AA66" s="131"/>
      <c r="AB66" s="131"/>
      <c r="AC66" s="131"/>
      <c r="AD66" s="131"/>
      <c r="AE66" s="131"/>
      <c r="AF66" s="131"/>
      <c r="AG66" s="131"/>
      <c r="AH66" s="131"/>
      <c r="AI66" s="131"/>
      <c r="AJ66" s="131"/>
      <c r="AK66" s="131"/>
      <c r="AL66" s="131"/>
      <c r="AM66" s="131"/>
      <c r="AN66" s="131"/>
      <c r="AO66" s="131"/>
      <c r="AP66" s="131"/>
      <c r="AQ66" s="131"/>
    </row>
    <row r="67" spans="1:43" x14ac:dyDescent="0.2">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31"/>
      <c r="AH67" s="131"/>
      <c r="AI67" s="131"/>
      <c r="AJ67" s="131"/>
      <c r="AK67" s="131"/>
      <c r="AL67" s="131"/>
      <c r="AM67" s="131"/>
      <c r="AN67" s="131"/>
      <c r="AO67" s="131"/>
      <c r="AP67" s="131"/>
      <c r="AQ67" s="131"/>
    </row>
    <row r="68" spans="1:43" x14ac:dyDescent="0.2">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c r="AA68" s="131"/>
      <c r="AB68" s="131"/>
      <c r="AC68" s="131"/>
      <c r="AD68" s="131"/>
      <c r="AE68" s="131"/>
      <c r="AF68" s="131"/>
      <c r="AG68" s="131"/>
      <c r="AH68" s="131"/>
      <c r="AI68" s="131"/>
      <c r="AJ68" s="131"/>
      <c r="AK68" s="131"/>
      <c r="AL68" s="131"/>
      <c r="AM68" s="131"/>
      <c r="AN68" s="131"/>
      <c r="AO68" s="131"/>
      <c r="AP68" s="131"/>
      <c r="AQ68" s="131"/>
    </row>
    <row r="69" spans="1:43" x14ac:dyDescent="0.2">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131"/>
      <c r="AB69" s="131"/>
      <c r="AC69" s="131"/>
      <c r="AD69" s="131"/>
      <c r="AE69" s="131"/>
      <c r="AF69" s="131"/>
      <c r="AG69" s="131"/>
      <c r="AH69" s="131"/>
      <c r="AI69" s="131"/>
      <c r="AJ69" s="131"/>
      <c r="AK69" s="131"/>
      <c r="AL69" s="131"/>
      <c r="AM69" s="131"/>
      <c r="AN69" s="131"/>
      <c r="AO69" s="131"/>
      <c r="AP69" s="131"/>
      <c r="AQ69" s="131"/>
    </row>
    <row r="70" spans="1:43" x14ac:dyDescent="0.2">
      <c r="A70" s="131" t="s">
        <v>372</v>
      </c>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31"/>
      <c r="AG70" s="131"/>
      <c r="AH70" s="131"/>
      <c r="AI70" s="131"/>
      <c r="AJ70" s="131"/>
      <c r="AK70" s="131"/>
      <c r="AL70" s="131"/>
      <c r="AM70" s="131"/>
      <c r="AN70" s="131"/>
      <c r="AO70" s="131"/>
      <c r="AP70" s="131"/>
      <c r="AQ70" s="131"/>
    </row>
    <row r="71" spans="1:43" x14ac:dyDescent="0.2">
      <c r="A71" s="131" t="s">
        <v>299</v>
      </c>
      <c r="B71" s="131"/>
      <c r="C71" s="131"/>
      <c r="D71" s="131"/>
      <c r="E71" s="131"/>
      <c r="F71" s="131"/>
      <c r="G71" s="131"/>
      <c r="H71" s="131"/>
      <c r="I71" s="131"/>
      <c r="J71" s="131"/>
      <c r="K71" s="607"/>
      <c r="L71" s="607"/>
      <c r="M71" s="607"/>
      <c r="N71" s="607"/>
      <c r="O71" s="607"/>
      <c r="P71" s="607"/>
      <c r="Q71" s="607"/>
      <c r="R71" s="607"/>
      <c r="S71" s="607"/>
      <c r="T71" s="607"/>
      <c r="U71" s="607"/>
      <c r="V71" s="607"/>
      <c r="W71" s="607"/>
      <c r="X71" s="607"/>
      <c r="Y71" s="131"/>
      <c r="Z71" s="131"/>
      <c r="AA71" s="131"/>
      <c r="AB71" s="131"/>
      <c r="AC71" s="131"/>
      <c r="AD71" s="131"/>
      <c r="AE71" s="131"/>
      <c r="AF71" s="131"/>
      <c r="AG71" s="131"/>
      <c r="AH71" s="131"/>
      <c r="AI71" s="131"/>
      <c r="AJ71" s="131"/>
      <c r="AK71" s="131"/>
      <c r="AL71" s="131"/>
      <c r="AM71" s="131"/>
      <c r="AN71" s="131"/>
      <c r="AO71" s="131"/>
      <c r="AP71" s="131"/>
      <c r="AQ71" s="131"/>
    </row>
    <row r="72" spans="1:43" x14ac:dyDescent="0.2">
      <c r="A72" s="131"/>
      <c r="B72" s="131"/>
      <c r="C72" s="131"/>
      <c r="D72" s="131"/>
      <c r="E72" s="131"/>
      <c r="F72" s="131"/>
      <c r="G72" s="131"/>
      <c r="H72" s="131"/>
      <c r="I72" s="131"/>
      <c r="J72" s="131"/>
      <c r="K72" s="131"/>
      <c r="L72" s="131"/>
      <c r="M72" s="131"/>
      <c r="N72" s="131"/>
      <c r="O72" s="131"/>
      <c r="P72" s="131"/>
      <c r="Q72" s="131"/>
      <c r="R72" s="292"/>
      <c r="S72" s="292"/>
      <c r="T72" s="131"/>
      <c r="U72" s="292"/>
      <c r="V72" s="131"/>
      <c r="W72" s="292"/>
      <c r="X72" s="131"/>
      <c r="Y72" s="131"/>
      <c r="Z72" s="131"/>
      <c r="AA72" s="131"/>
      <c r="AB72" s="131"/>
      <c r="AC72" s="131"/>
      <c r="AD72" s="131"/>
      <c r="AE72" s="131"/>
      <c r="AF72" s="131"/>
      <c r="AG72" s="131"/>
      <c r="AH72" s="131"/>
      <c r="AI72" s="131"/>
      <c r="AJ72" s="131"/>
      <c r="AK72" s="131"/>
      <c r="AL72" s="131"/>
      <c r="AM72" s="131"/>
      <c r="AN72" s="131"/>
      <c r="AO72" s="131"/>
      <c r="AP72" s="131"/>
      <c r="AQ72" s="131"/>
    </row>
    <row r="73" spans="1:43" x14ac:dyDescent="0.2">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c r="AA73" s="131"/>
      <c r="AB73" s="131"/>
      <c r="AC73" s="131"/>
      <c r="AD73" s="131"/>
      <c r="AE73" s="131"/>
      <c r="AF73" s="131"/>
      <c r="AG73" s="131"/>
      <c r="AH73" s="131"/>
      <c r="AI73" s="131"/>
      <c r="AJ73" s="131"/>
      <c r="AK73" s="131"/>
      <c r="AL73" s="131"/>
      <c r="AM73" s="131"/>
      <c r="AN73" s="131"/>
      <c r="AO73" s="131"/>
      <c r="AP73" s="131"/>
      <c r="AQ73" s="131"/>
    </row>
    <row r="74" spans="1:43" x14ac:dyDescent="0.2">
      <c r="A74" s="131"/>
      <c r="B74" s="131"/>
      <c r="C74" s="131"/>
      <c r="D74" s="131"/>
      <c r="E74" s="131"/>
      <c r="F74" s="131"/>
      <c r="G74" s="131"/>
      <c r="H74" s="131"/>
      <c r="I74" s="131"/>
      <c r="J74" s="131" t="str">
        <f>A75</f>
        <v>Nº FSW</v>
      </c>
      <c r="K74" s="604" t="s">
        <v>373</v>
      </c>
      <c r="L74" s="605"/>
      <c r="M74" s="605"/>
      <c r="N74" s="605"/>
      <c r="O74" s="605"/>
      <c r="P74" s="605"/>
      <c r="Q74" s="605"/>
      <c r="R74" s="605"/>
      <c r="S74" s="605"/>
      <c r="T74" s="605"/>
      <c r="U74" s="605"/>
      <c r="V74" s="605"/>
      <c r="W74" s="605"/>
      <c r="X74" s="606"/>
      <c r="Y74" s="608" t="s">
        <v>374</v>
      </c>
      <c r="Z74" s="600" t="s">
        <v>375</v>
      </c>
      <c r="AA74" s="131"/>
      <c r="AB74" s="131"/>
      <c r="AC74" s="131"/>
      <c r="AD74" s="131"/>
      <c r="AE74" s="131"/>
      <c r="AF74" s="131"/>
      <c r="AG74" s="131"/>
      <c r="AH74" s="131"/>
      <c r="AI74" s="131"/>
      <c r="AJ74" s="131"/>
      <c r="AK74" s="131"/>
      <c r="AL74" s="131"/>
      <c r="AM74" s="131"/>
      <c r="AN74" s="131"/>
      <c r="AO74" s="131"/>
      <c r="AP74" s="131"/>
      <c r="AQ74" s="131"/>
    </row>
    <row r="75" spans="1:43" x14ac:dyDescent="0.2">
      <c r="A75" s="131" t="s">
        <v>376</v>
      </c>
      <c r="B75" s="131" t="s">
        <v>377</v>
      </c>
      <c r="C75" s="131" t="s">
        <v>378</v>
      </c>
      <c r="D75" s="131" t="s">
        <v>379</v>
      </c>
      <c r="E75" s="131" t="s">
        <v>380</v>
      </c>
      <c r="F75" s="131" t="s">
        <v>381</v>
      </c>
      <c r="G75" s="131" t="s">
        <v>382</v>
      </c>
      <c r="H75" s="131" t="s">
        <v>383</v>
      </c>
      <c r="I75" s="131"/>
      <c r="J75" s="293">
        <f>IF(FSDMS!E43&lt;&gt;"",VLOOKUP(FSDMS!E43,FABRICAS,2,FALSE),1)</f>
        <v>67</v>
      </c>
      <c r="K75" s="280" t="s">
        <v>384</v>
      </c>
      <c r="L75" s="280" t="s">
        <v>385</v>
      </c>
      <c r="M75" s="280" t="s">
        <v>386</v>
      </c>
      <c r="N75" s="280" t="s">
        <v>387</v>
      </c>
      <c r="O75" s="280" t="s">
        <v>388</v>
      </c>
      <c r="P75" s="280" t="s">
        <v>389</v>
      </c>
      <c r="Q75" s="280" t="s">
        <v>390</v>
      </c>
      <c r="R75" s="280" t="s">
        <v>391</v>
      </c>
      <c r="S75" s="280" t="s">
        <v>392</v>
      </c>
      <c r="T75" s="280" t="s">
        <v>393</v>
      </c>
      <c r="U75" s="280" t="s">
        <v>394</v>
      </c>
      <c r="V75" s="280" t="s">
        <v>395</v>
      </c>
      <c r="W75" s="280" t="s">
        <v>396</v>
      </c>
      <c r="X75" s="280" t="s">
        <v>397</v>
      </c>
      <c r="Y75" s="609"/>
      <c r="Z75" s="600"/>
      <c r="AA75" s="131"/>
      <c r="AB75" s="131"/>
      <c r="AC75" s="131"/>
      <c r="AD75" s="131"/>
      <c r="AE75" s="131"/>
      <c r="AF75" s="131"/>
      <c r="AG75" s="131"/>
      <c r="AH75" s="131"/>
      <c r="AI75" s="131"/>
      <c r="AJ75" s="131"/>
      <c r="AK75" s="131"/>
      <c r="AL75" s="131"/>
      <c r="AM75" s="131"/>
      <c r="AN75" s="131"/>
      <c r="AO75" s="131"/>
      <c r="AP75" s="131"/>
      <c r="AQ75" s="131"/>
    </row>
    <row r="76" spans="1:43" x14ac:dyDescent="0.2">
      <c r="A76" s="131">
        <v>1</v>
      </c>
      <c r="B76" s="294" t="s">
        <v>398</v>
      </c>
      <c r="C76" s="131" t="s">
        <v>399</v>
      </c>
      <c r="D76" s="131">
        <v>18</v>
      </c>
      <c r="E76" s="295">
        <v>737.9</v>
      </c>
      <c r="F76" s="296">
        <v>0</v>
      </c>
      <c r="G76" s="296"/>
      <c r="H76" s="131"/>
      <c r="I76" s="131" t="str">
        <f t="shared" ref="I76:I107" si="1">TEXT(B76,"##")</f>
        <v>DBA - IBM/IDMS</v>
      </c>
      <c r="J76" s="131">
        <f t="shared" ref="J76:J107" si="2">A76</f>
        <v>1</v>
      </c>
      <c r="K76" s="280" t="s">
        <v>400</v>
      </c>
      <c r="L76" s="280" t="s">
        <v>400</v>
      </c>
      <c r="M76" s="280" t="s">
        <v>400</v>
      </c>
      <c r="N76" s="280" t="s">
        <v>400</v>
      </c>
      <c r="O76" s="280" t="s">
        <v>400</v>
      </c>
      <c r="P76" s="280" t="s">
        <v>400</v>
      </c>
      <c r="Q76" s="280" t="s">
        <v>400</v>
      </c>
      <c r="R76" s="280" t="s">
        <v>400</v>
      </c>
      <c r="S76" s="280" t="s">
        <v>400</v>
      </c>
      <c r="T76" s="280" t="s">
        <v>400</v>
      </c>
      <c r="U76" s="280" t="s">
        <v>400</v>
      </c>
      <c r="V76" s="280" t="s">
        <v>400</v>
      </c>
      <c r="W76" s="280" t="s">
        <v>400</v>
      </c>
      <c r="X76" s="280" t="s">
        <v>400</v>
      </c>
      <c r="Y76" s="280"/>
      <c r="Z76" s="131">
        <v>1</v>
      </c>
      <c r="AA76" s="131"/>
      <c r="AB76" s="131"/>
      <c r="AC76" s="131"/>
      <c r="AD76" s="131"/>
      <c r="AE76" s="131"/>
      <c r="AF76" s="131"/>
      <c r="AG76" s="131"/>
      <c r="AH76" s="131"/>
      <c r="AI76" s="131"/>
      <c r="AJ76" s="131"/>
      <c r="AK76" s="131"/>
      <c r="AL76" s="131"/>
      <c r="AM76" s="131"/>
      <c r="AN76" s="131"/>
      <c r="AO76" s="131"/>
      <c r="AP76" s="131"/>
      <c r="AQ76" s="131"/>
    </row>
    <row r="77" spans="1:43" x14ac:dyDescent="0.2">
      <c r="A77" s="131">
        <v>2</v>
      </c>
      <c r="B77" s="294" t="s">
        <v>401</v>
      </c>
      <c r="C77" s="131" t="s">
        <v>402</v>
      </c>
      <c r="D77" s="131">
        <v>9</v>
      </c>
      <c r="E77" s="295">
        <v>561.73</v>
      </c>
      <c r="F77" s="296">
        <v>0</v>
      </c>
      <c r="G77" s="296"/>
      <c r="H77" s="131"/>
      <c r="I77" s="131" t="str">
        <f t="shared" si="1"/>
        <v>STEFANINI - IBM/DB2</v>
      </c>
      <c r="J77" s="131">
        <f t="shared" si="2"/>
        <v>2</v>
      </c>
      <c r="K77" s="280"/>
      <c r="L77" s="280"/>
      <c r="M77" s="280"/>
      <c r="N77" s="280"/>
      <c r="O77" s="280"/>
      <c r="P77" s="280"/>
      <c r="Q77" s="280"/>
      <c r="R77" s="280"/>
      <c r="S77" s="280"/>
      <c r="T77" s="280"/>
      <c r="U77" s="280"/>
      <c r="V77" s="280"/>
      <c r="W77" s="280"/>
      <c r="X77" s="280"/>
      <c r="Y77" s="280"/>
      <c r="Z77" s="131">
        <v>1</v>
      </c>
      <c r="AA77" s="131"/>
      <c r="AB77" s="131"/>
      <c r="AC77" s="131"/>
      <c r="AD77" s="131"/>
      <c r="AE77" s="131"/>
      <c r="AF77" s="131"/>
      <c r="AG77" s="131"/>
      <c r="AH77" s="131"/>
      <c r="AI77" s="131"/>
      <c r="AJ77" s="131"/>
      <c r="AK77" s="131"/>
      <c r="AL77" s="131"/>
      <c r="AM77" s="131"/>
      <c r="AN77" s="131"/>
      <c r="AO77" s="131"/>
      <c r="AP77" s="131"/>
      <c r="AQ77" s="131"/>
    </row>
    <row r="78" spans="1:43" x14ac:dyDescent="0.2">
      <c r="A78" s="131">
        <v>3</v>
      </c>
      <c r="B78" s="294" t="s">
        <v>403</v>
      </c>
      <c r="C78" s="131" t="s">
        <v>404</v>
      </c>
      <c r="D78" s="131">
        <v>7.2</v>
      </c>
      <c r="E78" s="295">
        <v>612.85</v>
      </c>
      <c r="F78" s="296">
        <v>0</v>
      </c>
      <c r="G78" s="296"/>
      <c r="H78" s="131"/>
      <c r="I78" s="131" t="str">
        <f t="shared" si="1"/>
        <v>DBA - SUN/ORACLE</v>
      </c>
      <c r="J78" s="131">
        <f t="shared" si="2"/>
        <v>3</v>
      </c>
      <c r="K78" s="280"/>
      <c r="L78" s="280"/>
      <c r="M78" s="280"/>
      <c r="N78" s="280"/>
      <c r="O78" s="280"/>
      <c r="P78" s="280"/>
      <c r="Q78" s="280"/>
      <c r="R78" s="280"/>
      <c r="S78" s="280"/>
      <c r="T78" s="280"/>
      <c r="U78" s="280"/>
      <c r="V78" s="280"/>
      <c r="W78" s="280"/>
      <c r="X78" s="280"/>
      <c r="Y78" s="280"/>
      <c r="Z78" s="131">
        <v>1</v>
      </c>
      <c r="AA78" s="131"/>
      <c r="AB78" s="131"/>
      <c r="AC78" s="131"/>
      <c r="AD78" s="131"/>
      <c r="AE78" s="131"/>
      <c r="AF78" s="131"/>
      <c r="AG78" s="131"/>
      <c r="AH78" s="131"/>
      <c r="AI78" s="131"/>
      <c r="AJ78" s="131"/>
      <c r="AK78" s="131"/>
      <c r="AL78" s="131"/>
      <c r="AM78" s="131"/>
      <c r="AN78" s="131"/>
      <c r="AO78" s="131"/>
      <c r="AP78" s="131"/>
      <c r="AQ78" s="131"/>
    </row>
    <row r="79" spans="1:43" x14ac:dyDescent="0.2">
      <c r="A79" s="131">
        <v>4</v>
      </c>
      <c r="B79" s="294" t="s">
        <v>405</v>
      </c>
      <c r="C79" s="131" t="s">
        <v>406</v>
      </c>
      <c r="D79" s="131">
        <v>15.3</v>
      </c>
      <c r="E79" s="295">
        <v>940.61</v>
      </c>
      <c r="F79" s="296">
        <v>0</v>
      </c>
      <c r="G79" s="296"/>
      <c r="H79" s="131"/>
      <c r="I79" s="131" t="str">
        <f t="shared" si="1"/>
        <v>POLITEC - CACHÉ/MUMPS</v>
      </c>
      <c r="J79" s="131">
        <f t="shared" si="2"/>
        <v>4</v>
      </c>
      <c r="K79" s="280"/>
      <c r="L79" s="280"/>
      <c r="M79" s="280"/>
      <c r="N79" s="280"/>
      <c r="O79" s="280"/>
      <c r="P79" s="280"/>
      <c r="Q79" s="280"/>
      <c r="R79" s="280"/>
      <c r="S79" s="280"/>
      <c r="T79" s="280"/>
      <c r="U79" s="280"/>
      <c r="V79" s="280"/>
      <c r="W79" s="280"/>
      <c r="X79" s="280"/>
      <c r="Y79" s="280"/>
      <c r="Z79" s="131">
        <v>1</v>
      </c>
      <c r="AA79" s="131"/>
      <c r="AB79" s="131"/>
      <c r="AC79" s="131"/>
      <c r="AD79" s="131"/>
      <c r="AE79" s="131"/>
      <c r="AF79" s="131"/>
      <c r="AG79" s="131"/>
      <c r="AH79" s="131"/>
      <c r="AI79" s="131"/>
      <c r="AJ79" s="131"/>
      <c r="AK79" s="131"/>
      <c r="AL79" s="131"/>
      <c r="AM79" s="131"/>
      <c r="AN79" s="131"/>
      <c r="AO79" s="131"/>
      <c r="AP79" s="131"/>
      <c r="AQ79" s="131"/>
    </row>
    <row r="80" spans="1:43" x14ac:dyDescent="0.2">
      <c r="A80" s="131">
        <v>5</v>
      </c>
      <c r="B80" s="294" t="s">
        <v>407</v>
      </c>
      <c r="C80" s="131" t="s">
        <v>408</v>
      </c>
      <c r="D80" s="131">
        <v>8.73</v>
      </c>
      <c r="E80" s="295">
        <v>563.86</v>
      </c>
      <c r="F80" s="296">
        <v>0</v>
      </c>
      <c r="G80" s="296"/>
      <c r="H80" s="131"/>
      <c r="I80" s="131" t="str">
        <f t="shared" si="1"/>
        <v>DBA - WEB</v>
      </c>
      <c r="J80" s="131">
        <f t="shared" si="2"/>
        <v>5</v>
      </c>
      <c r="K80" s="280"/>
      <c r="L80" s="280"/>
      <c r="M80" s="280"/>
      <c r="N80" s="280"/>
      <c r="O80" s="280"/>
      <c r="P80" s="280"/>
      <c r="Q80" s="280"/>
      <c r="R80" s="280"/>
      <c r="S80" s="280"/>
      <c r="T80" s="280"/>
      <c r="U80" s="280"/>
      <c r="V80" s="280"/>
      <c r="W80" s="280"/>
      <c r="X80" s="280"/>
      <c r="Y80" s="280"/>
      <c r="Z80" s="131">
        <v>1</v>
      </c>
      <c r="AA80" s="131"/>
      <c r="AB80" s="131"/>
      <c r="AC80" s="131"/>
      <c r="AD80" s="131"/>
      <c r="AE80" s="131"/>
      <c r="AF80" s="131"/>
      <c r="AG80" s="131"/>
      <c r="AH80" s="131"/>
      <c r="AI80" s="131"/>
      <c r="AJ80" s="131"/>
      <c r="AK80" s="131"/>
      <c r="AL80" s="131"/>
      <c r="AM80" s="131"/>
      <c r="AN80" s="131"/>
      <c r="AO80" s="131"/>
      <c r="AP80" s="131"/>
      <c r="AQ80" s="131"/>
    </row>
    <row r="81" spans="1:43" x14ac:dyDescent="0.2">
      <c r="A81" s="131">
        <v>6</v>
      </c>
      <c r="B81" s="294" t="s">
        <v>409</v>
      </c>
      <c r="C81" s="131" t="s">
        <v>410</v>
      </c>
      <c r="D81" s="131">
        <v>16</v>
      </c>
      <c r="E81" s="295">
        <v>745.94</v>
      </c>
      <c r="F81" s="296"/>
      <c r="G81" s="296"/>
      <c r="H81" s="131"/>
      <c r="I81" s="131" t="str">
        <f t="shared" si="1"/>
        <v>DIEBOLD</v>
      </c>
      <c r="J81" s="131">
        <f t="shared" si="2"/>
        <v>6</v>
      </c>
      <c r="K81" s="280"/>
      <c r="L81" s="280"/>
      <c r="M81" s="280"/>
      <c r="N81" s="280"/>
      <c r="O81" s="280"/>
      <c r="P81" s="280"/>
      <c r="Q81" s="280"/>
      <c r="R81" s="280"/>
      <c r="S81" s="280"/>
      <c r="T81" s="280"/>
      <c r="U81" s="280"/>
      <c r="V81" s="280"/>
      <c r="W81" s="280"/>
      <c r="X81" s="280"/>
      <c r="Y81" s="280"/>
      <c r="Z81" s="131">
        <v>1</v>
      </c>
      <c r="AA81" s="131"/>
      <c r="AB81" s="131"/>
      <c r="AC81" s="131"/>
      <c r="AD81" s="131"/>
      <c r="AE81" s="131"/>
      <c r="AF81" s="131"/>
      <c r="AG81" s="131"/>
      <c r="AH81" s="131"/>
      <c r="AI81" s="131"/>
      <c r="AJ81" s="131"/>
      <c r="AK81" s="131"/>
      <c r="AL81" s="131"/>
      <c r="AM81" s="131"/>
      <c r="AN81" s="131"/>
      <c r="AO81" s="131"/>
      <c r="AP81" s="131"/>
      <c r="AQ81" s="131"/>
    </row>
    <row r="82" spans="1:43" x14ac:dyDescent="0.2">
      <c r="A82" s="131">
        <v>7</v>
      </c>
      <c r="B82" s="294" t="s">
        <v>411</v>
      </c>
      <c r="C82" s="131" t="s">
        <v>412</v>
      </c>
      <c r="D82" s="131">
        <v>13.24</v>
      </c>
      <c r="E82" s="295">
        <v>703.83</v>
      </c>
      <c r="F82" s="296"/>
      <c r="G82" s="296"/>
      <c r="H82" s="131"/>
      <c r="I82" s="131" t="str">
        <f t="shared" si="1"/>
        <v>INDRA/POLITEC EF</v>
      </c>
      <c r="J82" s="131">
        <f t="shared" si="2"/>
        <v>7</v>
      </c>
      <c r="K82" s="280"/>
      <c r="L82" s="280"/>
      <c r="M82" s="280"/>
      <c r="N82" s="280"/>
      <c r="O82" s="280"/>
      <c r="P82" s="280"/>
      <c r="Q82" s="280"/>
      <c r="R82" s="280"/>
      <c r="S82" s="280"/>
      <c r="T82" s="280"/>
      <c r="U82" s="280"/>
      <c r="V82" s="280"/>
      <c r="W82" s="280"/>
      <c r="X82" s="280"/>
      <c r="Y82" s="280"/>
      <c r="Z82" s="131">
        <v>1.35</v>
      </c>
      <c r="AA82" s="131"/>
      <c r="AB82" s="131"/>
      <c r="AC82" s="131"/>
      <c r="AD82" s="131"/>
      <c r="AE82" s="131"/>
      <c r="AF82" s="131"/>
      <c r="AG82" s="131"/>
      <c r="AH82" s="131"/>
      <c r="AI82" s="131"/>
      <c r="AJ82" s="131"/>
      <c r="AK82" s="131"/>
      <c r="AL82" s="131"/>
      <c r="AM82" s="131"/>
      <c r="AN82" s="131"/>
      <c r="AO82" s="131"/>
      <c r="AP82" s="131"/>
      <c r="AQ82" s="131"/>
    </row>
    <row r="83" spans="1:43" x14ac:dyDescent="0.2">
      <c r="A83" s="131">
        <v>8</v>
      </c>
      <c r="B83" s="294" t="s">
        <v>413</v>
      </c>
      <c r="C83" s="131" t="s">
        <v>414</v>
      </c>
      <c r="D83" s="131">
        <v>11.89</v>
      </c>
      <c r="E83" s="295">
        <v>638.65</v>
      </c>
      <c r="F83" s="296"/>
      <c r="G83" s="296"/>
      <c r="H83" s="131"/>
      <c r="I83" s="131" t="str">
        <f t="shared" si="1"/>
        <v>POLITEC - Risco</v>
      </c>
      <c r="J83" s="131">
        <f t="shared" si="2"/>
        <v>8</v>
      </c>
      <c r="K83" s="280"/>
      <c r="L83" s="280"/>
      <c r="M83" s="280"/>
      <c r="N83" s="280"/>
      <c r="O83" s="280"/>
      <c r="P83" s="280"/>
      <c r="Q83" s="280"/>
      <c r="R83" s="280"/>
      <c r="S83" s="280"/>
      <c r="T83" s="280"/>
      <c r="U83" s="280"/>
      <c r="V83" s="280"/>
      <c r="W83" s="280"/>
      <c r="X83" s="280"/>
      <c r="Y83" s="280"/>
      <c r="Z83" s="131">
        <v>1.35</v>
      </c>
      <c r="AA83" s="131"/>
      <c r="AB83" s="131"/>
      <c r="AC83" s="131"/>
      <c r="AD83" s="131"/>
      <c r="AE83" s="131"/>
      <c r="AF83" s="131"/>
      <c r="AG83" s="131"/>
      <c r="AH83" s="131"/>
      <c r="AI83" s="131"/>
      <c r="AJ83" s="131"/>
      <c r="AK83" s="131"/>
      <c r="AL83" s="131"/>
      <c r="AM83" s="131"/>
      <c r="AN83" s="131"/>
      <c r="AO83" s="131"/>
      <c r="AP83" s="131"/>
      <c r="AQ83" s="131"/>
    </row>
    <row r="84" spans="1:43" x14ac:dyDescent="0.2">
      <c r="A84" s="131">
        <v>9</v>
      </c>
      <c r="B84" s="294" t="s">
        <v>415</v>
      </c>
      <c r="C84" s="131" t="s">
        <v>416</v>
      </c>
      <c r="D84" s="131">
        <v>13.5</v>
      </c>
      <c r="E84" s="295">
        <v>835.1</v>
      </c>
      <c r="F84" s="296"/>
      <c r="G84" s="296"/>
      <c r="H84" s="131"/>
      <c r="I84" s="131" t="str">
        <f t="shared" si="1"/>
        <v>CMA - Home Broker</v>
      </c>
      <c r="J84" s="131">
        <f t="shared" si="2"/>
        <v>9</v>
      </c>
      <c r="K84" s="280"/>
      <c r="L84" s="280"/>
      <c r="M84" s="280"/>
      <c r="N84" s="280"/>
      <c r="O84" s="280"/>
      <c r="P84" s="280"/>
      <c r="Q84" s="280"/>
      <c r="R84" s="280"/>
      <c r="S84" s="280"/>
      <c r="T84" s="280"/>
      <c r="U84" s="280"/>
      <c r="V84" s="280"/>
      <c r="W84" s="280"/>
      <c r="X84" s="280"/>
      <c r="Y84" s="280"/>
      <c r="Z84" s="131">
        <v>1.35</v>
      </c>
      <c r="AA84" s="131"/>
      <c r="AB84" s="131"/>
      <c r="AC84" s="131"/>
      <c r="AD84" s="131"/>
      <c r="AE84" s="131"/>
      <c r="AF84" s="131"/>
      <c r="AG84" s="131"/>
      <c r="AH84" s="131"/>
      <c r="AI84" s="131"/>
      <c r="AJ84" s="131"/>
      <c r="AK84" s="131"/>
      <c r="AL84" s="131"/>
      <c r="AM84" s="131"/>
      <c r="AN84" s="131"/>
      <c r="AO84" s="131"/>
      <c r="AP84" s="131"/>
      <c r="AQ84" s="131"/>
    </row>
    <row r="85" spans="1:43" x14ac:dyDescent="0.2">
      <c r="A85" s="131">
        <v>10</v>
      </c>
      <c r="B85" s="294" t="s">
        <v>417</v>
      </c>
      <c r="C85" s="131" t="s">
        <v>418</v>
      </c>
      <c r="D85" s="131">
        <v>14.06</v>
      </c>
      <c r="E85" s="295">
        <v>623.19000000000005</v>
      </c>
      <c r="F85" s="296"/>
      <c r="G85" s="296"/>
      <c r="H85" s="131"/>
      <c r="I85" s="131" t="str">
        <f t="shared" si="1"/>
        <v>MSA - Bancarios Backoffice (Cnt. 4423/2012)</v>
      </c>
      <c r="J85" s="131">
        <f t="shared" si="2"/>
        <v>10</v>
      </c>
      <c r="K85" s="280"/>
      <c r="L85" s="280"/>
      <c r="M85" s="280"/>
      <c r="N85" s="280"/>
      <c r="O85" s="280"/>
      <c r="P85" s="280"/>
      <c r="Q85" s="280"/>
      <c r="R85" s="280"/>
      <c r="S85" s="280"/>
      <c r="T85" s="280"/>
      <c r="U85" s="280"/>
      <c r="V85" s="280"/>
      <c r="W85" s="280"/>
      <c r="X85" s="280"/>
      <c r="Y85" s="280">
        <v>2</v>
      </c>
      <c r="Z85" s="131">
        <v>1.35</v>
      </c>
      <c r="AA85" s="131"/>
      <c r="AB85" s="131"/>
      <c r="AC85" s="131"/>
      <c r="AD85" s="131"/>
      <c r="AE85" s="131"/>
      <c r="AF85" s="131"/>
      <c r="AG85" s="131"/>
      <c r="AH85" s="131"/>
      <c r="AI85" s="131"/>
      <c r="AJ85" s="131"/>
      <c r="AK85" s="131"/>
      <c r="AL85" s="131"/>
      <c r="AM85" s="131"/>
      <c r="AN85" s="131"/>
      <c r="AO85" s="131"/>
      <c r="AP85" s="131"/>
      <c r="AQ85" s="131"/>
    </row>
    <row r="86" spans="1:43" x14ac:dyDescent="0.2">
      <c r="A86" s="131">
        <v>11</v>
      </c>
      <c r="B86" s="294" t="s">
        <v>419</v>
      </c>
      <c r="C86" s="131" t="s">
        <v>420</v>
      </c>
      <c r="D86" s="131">
        <v>11.88</v>
      </c>
      <c r="E86" s="295">
        <v>661.65</v>
      </c>
      <c r="F86" s="296"/>
      <c r="G86" s="296"/>
      <c r="H86" s="131"/>
      <c r="I86" s="131" t="str">
        <f t="shared" si="1"/>
        <v>MSA - Administrativos e Cadastros</v>
      </c>
      <c r="J86" s="131">
        <f t="shared" si="2"/>
        <v>11</v>
      </c>
      <c r="K86" s="280"/>
      <c r="L86" s="280"/>
      <c r="M86" s="280"/>
      <c r="N86" s="280"/>
      <c r="O86" s="280"/>
      <c r="P86" s="280"/>
      <c r="Q86" s="280"/>
      <c r="R86" s="280"/>
      <c r="S86" s="280"/>
      <c r="T86" s="280"/>
      <c r="U86" s="280"/>
      <c r="V86" s="280"/>
      <c r="W86" s="280"/>
      <c r="X86" s="280"/>
      <c r="Y86" s="280"/>
      <c r="Z86" s="131">
        <v>1.35</v>
      </c>
      <c r="AA86" s="131"/>
      <c r="AB86" s="131"/>
      <c r="AC86" s="131"/>
      <c r="AD86" s="131"/>
      <c r="AE86" s="131"/>
      <c r="AF86" s="131"/>
      <c r="AG86" s="131"/>
      <c r="AH86" s="131"/>
      <c r="AI86" s="131"/>
      <c r="AJ86" s="131"/>
      <c r="AK86" s="131"/>
      <c r="AL86" s="131"/>
      <c r="AM86" s="131"/>
      <c r="AN86" s="131"/>
      <c r="AO86" s="131"/>
      <c r="AP86" s="131"/>
      <c r="AQ86" s="131"/>
    </row>
    <row r="87" spans="1:43" x14ac:dyDescent="0.2">
      <c r="A87" s="131">
        <v>12</v>
      </c>
      <c r="B87" s="294" t="s">
        <v>421</v>
      </c>
      <c r="C87" s="131" t="s">
        <v>422</v>
      </c>
      <c r="D87" s="131">
        <v>14.7</v>
      </c>
      <c r="E87" s="295">
        <v>639.87</v>
      </c>
      <c r="F87" s="296"/>
      <c r="G87" s="296"/>
      <c r="H87" s="131"/>
      <c r="I87" s="131" t="str">
        <f t="shared" si="1"/>
        <v>STEFANINI - Programas Sociais</v>
      </c>
      <c r="J87" s="131">
        <f t="shared" si="2"/>
        <v>12</v>
      </c>
      <c r="K87" s="280"/>
      <c r="L87" s="280"/>
      <c r="M87" s="280"/>
      <c r="N87" s="280"/>
      <c r="O87" s="280"/>
      <c r="P87" s="280"/>
      <c r="Q87" s="280"/>
      <c r="R87" s="280"/>
      <c r="S87" s="280"/>
      <c r="T87" s="280"/>
      <c r="U87" s="280"/>
      <c r="V87" s="280"/>
      <c r="W87" s="280"/>
      <c r="X87" s="280"/>
      <c r="Y87" s="280"/>
      <c r="Z87" s="131">
        <v>1.35</v>
      </c>
      <c r="AA87" s="131"/>
      <c r="AB87" s="131"/>
      <c r="AC87" s="131"/>
      <c r="AD87" s="131"/>
      <c r="AE87" s="131"/>
      <c r="AF87" s="131"/>
      <c r="AG87" s="131"/>
      <c r="AH87" s="131"/>
      <c r="AI87" s="131"/>
      <c r="AJ87" s="131"/>
      <c r="AK87" s="131"/>
      <c r="AL87" s="131"/>
      <c r="AM87" s="131"/>
      <c r="AN87" s="131"/>
      <c r="AO87" s="131"/>
      <c r="AP87" s="131"/>
      <c r="AQ87" s="131"/>
    </row>
    <row r="88" spans="1:43" x14ac:dyDescent="0.2">
      <c r="A88" s="131">
        <v>13</v>
      </c>
      <c r="B88" s="294" t="s">
        <v>423</v>
      </c>
      <c r="C88" s="131" t="s">
        <v>424</v>
      </c>
      <c r="D88" s="131">
        <v>12.6</v>
      </c>
      <c r="E88" s="295">
        <v>1035</v>
      </c>
      <c r="F88" s="296"/>
      <c r="G88" s="296"/>
      <c r="H88" s="131"/>
      <c r="I88" s="131" t="str">
        <f t="shared" si="1"/>
        <v>STEFANINI - Fundos e Seguros</v>
      </c>
      <c r="J88" s="131">
        <f t="shared" si="2"/>
        <v>13</v>
      </c>
      <c r="K88" s="280"/>
      <c r="L88" s="280"/>
      <c r="M88" s="280"/>
      <c r="N88" s="280"/>
      <c r="O88" s="280"/>
      <c r="P88" s="280"/>
      <c r="Q88" s="280"/>
      <c r="R88" s="280"/>
      <c r="S88" s="280"/>
      <c r="T88" s="280"/>
      <c r="U88" s="280"/>
      <c r="V88" s="280"/>
      <c r="W88" s="280"/>
      <c r="X88" s="280"/>
      <c r="Y88" s="280"/>
      <c r="Z88" s="131">
        <v>1.35</v>
      </c>
      <c r="AA88" s="131"/>
      <c r="AB88" s="131"/>
      <c r="AC88" s="131"/>
      <c r="AD88" s="131"/>
      <c r="AE88" s="131"/>
      <c r="AF88" s="131"/>
      <c r="AG88" s="131"/>
      <c r="AH88" s="131"/>
      <c r="AI88" s="131"/>
      <c r="AJ88" s="131"/>
      <c r="AK88" s="131"/>
      <c r="AL88" s="131"/>
      <c r="AM88" s="131"/>
      <c r="AN88" s="131"/>
      <c r="AO88" s="131"/>
      <c r="AP88" s="131"/>
      <c r="AQ88" s="131"/>
    </row>
    <row r="89" spans="1:43" x14ac:dyDescent="0.2">
      <c r="A89" s="131">
        <v>14</v>
      </c>
      <c r="B89" s="294" t="s">
        <v>425</v>
      </c>
      <c r="C89" s="131" t="s">
        <v>426</v>
      </c>
      <c r="D89" s="131">
        <v>14.78</v>
      </c>
      <c r="E89" s="295">
        <v>795.92</v>
      </c>
      <c r="F89" s="296"/>
      <c r="G89" s="296"/>
      <c r="H89" s="131"/>
      <c r="I89" s="131" t="str">
        <f t="shared" si="1"/>
        <v>STEFANINI - Captar Recursos  (Cnt. 5405/2012)</v>
      </c>
      <c r="J89" s="131">
        <f t="shared" si="2"/>
        <v>14</v>
      </c>
      <c r="K89" s="280"/>
      <c r="L89" s="280"/>
      <c r="M89" s="280"/>
      <c r="N89" s="280"/>
      <c r="O89" s="280"/>
      <c r="P89" s="280"/>
      <c r="Q89" s="280"/>
      <c r="R89" s="280"/>
      <c r="S89" s="280"/>
      <c r="T89" s="280"/>
      <c r="U89" s="280"/>
      <c r="V89" s="280"/>
      <c r="W89" s="280"/>
      <c r="X89" s="280"/>
      <c r="Y89" s="280">
        <v>2</v>
      </c>
      <c r="Z89" s="131">
        <v>1.35</v>
      </c>
      <c r="AA89" s="131"/>
      <c r="AB89" s="131"/>
      <c r="AC89" s="131"/>
      <c r="AD89" s="131"/>
      <c r="AE89" s="131"/>
      <c r="AF89" s="131"/>
      <c r="AG89" s="131"/>
      <c r="AH89" s="131"/>
      <c r="AI89" s="131"/>
      <c r="AJ89" s="131"/>
      <c r="AK89" s="131"/>
      <c r="AL89" s="131"/>
      <c r="AM89" s="131"/>
      <c r="AN89" s="131"/>
      <c r="AO89" s="131"/>
      <c r="AP89" s="131"/>
      <c r="AQ89" s="131"/>
    </row>
    <row r="90" spans="1:43" x14ac:dyDescent="0.2">
      <c r="A90" s="131">
        <v>15</v>
      </c>
      <c r="B90" s="294" t="s">
        <v>427</v>
      </c>
      <c r="C90" s="131" t="s">
        <v>428</v>
      </c>
      <c r="D90" s="131">
        <v>13.15</v>
      </c>
      <c r="E90" s="295">
        <v>636.24</v>
      </c>
      <c r="F90" s="296"/>
      <c r="G90" s="296"/>
      <c r="H90" s="131"/>
      <c r="I90" s="131" t="str">
        <f t="shared" si="1"/>
        <v>BRQ/CAST/BSI - Financeiro e Controladoria</v>
      </c>
      <c r="J90" s="131">
        <f t="shared" si="2"/>
        <v>15</v>
      </c>
      <c r="K90" s="280"/>
      <c r="L90" s="280"/>
      <c r="M90" s="280"/>
      <c r="N90" s="280"/>
      <c r="O90" s="280"/>
      <c r="P90" s="280"/>
      <c r="Q90" s="280"/>
      <c r="R90" s="280"/>
      <c r="S90" s="280"/>
      <c r="T90" s="280"/>
      <c r="U90" s="280"/>
      <c r="V90" s="280"/>
      <c r="W90" s="280"/>
      <c r="X90" s="280"/>
      <c r="Y90" s="280"/>
      <c r="Z90" s="131">
        <v>1.35</v>
      </c>
      <c r="AA90" s="131"/>
      <c r="AB90" s="131"/>
      <c r="AC90" s="131"/>
      <c r="AD90" s="131"/>
      <c r="AE90" s="131"/>
      <c r="AF90" s="131"/>
      <c r="AG90" s="131"/>
      <c r="AH90" s="131"/>
      <c r="AI90" s="131"/>
      <c r="AJ90" s="131"/>
      <c r="AK90" s="131"/>
      <c r="AL90" s="131"/>
      <c r="AM90" s="131"/>
      <c r="AN90" s="131"/>
      <c r="AO90" s="131"/>
      <c r="AP90" s="131"/>
      <c r="AQ90" s="131"/>
    </row>
    <row r="91" spans="1:43" x14ac:dyDescent="0.2">
      <c r="A91" s="131">
        <v>16</v>
      </c>
      <c r="B91" s="294" t="s">
        <v>429</v>
      </c>
      <c r="C91" s="131" t="s">
        <v>430</v>
      </c>
      <c r="D91" s="131">
        <v>10.88</v>
      </c>
      <c r="E91" s="295">
        <v>863.45</v>
      </c>
      <c r="F91" s="296"/>
      <c r="G91" s="296"/>
      <c r="H91" s="131"/>
      <c r="I91" s="131" t="str">
        <f t="shared" si="1"/>
        <v>GLOBALWEB/DBA - Desenv. Urbano Habitação</v>
      </c>
      <c r="J91" s="131">
        <f t="shared" si="2"/>
        <v>16</v>
      </c>
      <c r="K91" s="280"/>
      <c r="L91" s="280"/>
      <c r="M91" s="280"/>
      <c r="N91" s="280"/>
      <c r="O91" s="280"/>
      <c r="P91" s="280"/>
      <c r="Q91" s="280"/>
      <c r="R91" s="280"/>
      <c r="S91" s="280"/>
      <c r="T91" s="280"/>
      <c r="U91" s="280"/>
      <c r="V91" s="280"/>
      <c r="W91" s="280"/>
      <c r="X91" s="280"/>
      <c r="Y91" s="280"/>
      <c r="Z91" s="131">
        <v>1.35</v>
      </c>
      <c r="AA91" s="131"/>
      <c r="AB91" s="131"/>
      <c r="AC91" s="131"/>
      <c r="AD91" s="131"/>
      <c r="AE91" s="131"/>
      <c r="AF91" s="131"/>
      <c r="AG91" s="131"/>
      <c r="AH91" s="131"/>
      <c r="AI91" s="131"/>
      <c r="AJ91" s="131"/>
      <c r="AK91" s="131"/>
      <c r="AL91" s="131"/>
      <c r="AM91" s="131"/>
      <c r="AN91" s="131"/>
      <c r="AO91" s="131"/>
      <c r="AP91" s="131"/>
      <c r="AQ91" s="131"/>
    </row>
    <row r="92" spans="1:43" x14ac:dyDescent="0.2">
      <c r="A92" s="131">
        <v>17</v>
      </c>
      <c r="B92" s="294" t="s">
        <v>431</v>
      </c>
      <c r="C92" s="131" t="s">
        <v>432</v>
      </c>
      <c r="D92" s="131">
        <v>10</v>
      </c>
      <c r="E92" s="295">
        <v>977.02</v>
      </c>
      <c r="F92" s="296"/>
      <c r="G92" s="296"/>
      <c r="H92" s="131"/>
      <c r="I92" s="131" t="str">
        <f t="shared" si="1"/>
        <v>BRQ - Multicanal</v>
      </c>
      <c r="J92" s="131">
        <f t="shared" si="2"/>
        <v>17</v>
      </c>
      <c r="K92" s="280"/>
      <c r="L92" s="280"/>
      <c r="M92" s="280"/>
      <c r="N92" s="280"/>
      <c r="O92" s="280"/>
      <c r="P92" s="280"/>
      <c r="Q92" s="280"/>
      <c r="R92" s="280"/>
      <c r="S92" s="280"/>
      <c r="T92" s="280"/>
      <c r="U92" s="280"/>
      <c r="V92" s="280"/>
      <c r="W92" s="280"/>
      <c r="X92" s="280"/>
      <c r="Y92" s="280"/>
      <c r="Z92" s="131">
        <v>1.35</v>
      </c>
      <c r="AA92" s="131"/>
      <c r="AB92" s="131"/>
      <c r="AC92" s="131"/>
      <c r="AD92" s="131"/>
      <c r="AE92" s="131"/>
      <c r="AF92" s="131"/>
      <c r="AG92" s="131"/>
      <c r="AH92" s="131"/>
      <c r="AI92" s="131"/>
      <c r="AJ92" s="131"/>
      <c r="AK92" s="131"/>
      <c r="AL92" s="131"/>
      <c r="AM92" s="131"/>
      <c r="AN92" s="131"/>
      <c r="AO92" s="131"/>
      <c r="AP92" s="131"/>
      <c r="AQ92" s="131"/>
    </row>
    <row r="93" spans="1:43" x14ac:dyDescent="0.2">
      <c r="A93" s="131">
        <v>18</v>
      </c>
      <c r="B93" s="294" t="s">
        <v>433</v>
      </c>
      <c r="C93" s="131" t="s">
        <v>434</v>
      </c>
      <c r="D93" s="131">
        <v>13.28</v>
      </c>
      <c r="E93" s="295">
        <v>849.59</v>
      </c>
      <c r="F93" s="296"/>
      <c r="G93" s="296"/>
      <c r="H93" s="131"/>
      <c r="I93" s="131" t="str">
        <f t="shared" si="1"/>
        <v>BRQ/CAST/BSI - Canais (Cnt. 6428/2012)</v>
      </c>
      <c r="J93" s="131">
        <f t="shared" si="2"/>
        <v>18</v>
      </c>
      <c r="K93" s="280"/>
      <c r="L93" s="280"/>
      <c r="M93" s="280"/>
      <c r="N93" s="280"/>
      <c r="O93" s="280"/>
      <c r="P93" s="280"/>
      <c r="Q93" s="280"/>
      <c r="R93" s="280"/>
      <c r="S93" s="280"/>
      <c r="T93" s="280"/>
      <c r="U93" s="280"/>
      <c r="V93" s="280"/>
      <c r="W93" s="280"/>
      <c r="X93" s="280"/>
      <c r="Y93" s="280">
        <v>2</v>
      </c>
      <c r="Z93" s="131">
        <v>1.35</v>
      </c>
      <c r="AA93" s="131"/>
      <c r="AB93" s="131"/>
      <c r="AC93" s="131"/>
      <c r="AD93" s="131"/>
      <c r="AE93" s="131"/>
      <c r="AF93" s="131"/>
      <c r="AG93" s="131"/>
      <c r="AH93" s="131"/>
      <c r="AI93" s="131"/>
      <c r="AJ93" s="131"/>
      <c r="AK93" s="131"/>
      <c r="AL93" s="131"/>
      <c r="AM93" s="131"/>
      <c r="AN93" s="131"/>
      <c r="AO93" s="131"/>
      <c r="AP93" s="131"/>
      <c r="AQ93" s="131"/>
    </row>
    <row r="94" spans="1:43" x14ac:dyDescent="0.2">
      <c r="A94" s="131">
        <v>19</v>
      </c>
      <c r="B94" s="294" t="s">
        <v>435</v>
      </c>
      <c r="C94" s="131" t="s">
        <v>436</v>
      </c>
      <c r="D94" s="131">
        <v>13.28</v>
      </c>
      <c r="E94" s="295">
        <v>825</v>
      </c>
      <c r="F94" s="296"/>
      <c r="G94" s="296"/>
      <c r="H94" s="131"/>
      <c r="I94" s="131" t="str">
        <f t="shared" si="1"/>
        <v>CPM BRAXIS - Novo Banking</v>
      </c>
      <c r="J94" s="131">
        <f t="shared" si="2"/>
        <v>19</v>
      </c>
      <c r="K94" s="280"/>
      <c r="L94" s="280"/>
      <c r="M94" s="280"/>
      <c r="N94" s="280"/>
      <c r="O94" s="280"/>
      <c r="P94" s="280"/>
      <c r="Q94" s="280"/>
      <c r="R94" s="280"/>
      <c r="S94" s="280"/>
      <c r="T94" s="280"/>
      <c r="U94" s="280"/>
      <c r="V94" s="280"/>
      <c r="W94" s="280"/>
      <c r="X94" s="280"/>
      <c r="Y94" s="280"/>
      <c r="Z94" s="131">
        <v>1.35</v>
      </c>
      <c r="AA94" s="131"/>
      <c r="AB94" s="131"/>
      <c r="AC94" s="131"/>
      <c r="AD94" s="131"/>
      <c r="AE94" s="131"/>
      <c r="AF94" s="131"/>
      <c r="AG94" s="131"/>
      <c r="AH94" s="131"/>
      <c r="AI94" s="131"/>
      <c r="AJ94" s="131"/>
      <c r="AK94" s="131"/>
      <c r="AL94" s="131"/>
      <c r="AM94" s="131"/>
      <c r="AN94" s="131"/>
      <c r="AO94" s="131"/>
      <c r="AP94" s="131"/>
      <c r="AQ94" s="131"/>
    </row>
    <row r="95" spans="1:43" x14ac:dyDescent="0.2">
      <c r="A95" s="131">
        <v>20</v>
      </c>
      <c r="B95" s="294" t="s">
        <v>437</v>
      </c>
      <c r="C95" s="131" t="s">
        <v>438</v>
      </c>
      <c r="D95" s="131">
        <v>16.02</v>
      </c>
      <c r="E95" s="295">
        <v>572.95000000000005</v>
      </c>
      <c r="F95" s="296"/>
      <c r="G95" s="296"/>
      <c r="H95" s="131"/>
      <c r="I95" s="131" t="str">
        <f t="shared" si="1"/>
        <v>INDRA/POLITEC Cartões</v>
      </c>
      <c r="J95" s="131">
        <f t="shared" si="2"/>
        <v>20</v>
      </c>
      <c r="K95" s="280"/>
      <c r="L95" s="280"/>
      <c r="M95" s="280"/>
      <c r="N95" s="280"/>
      <c r="O95" s="280"/>
      <c r="P95" s="280"/>
      <c r="Q95" s="280"/>
      <c r="R95" s="280"/>
      <c r="S95" s="280"/>
      <c r="T95" s="280"/>
      <c r="U95" s="280"/>
      <c r="V95" s="280"/>
      <c r="W95" s="280"/>
      <c r="X95" s="280"/>
      <c r="Y95" s="280">
        <v>3</v>
      </c>
      <c r="Z95" s="131">
        <v>1.35</v>
      </c>
      <c r="AA95" s="131"/>
      <c r="AB95" s="131"/>
      <c r="AC95" s="131"/>
      <c r="AD95" s="131"/>
      <c r="AE95" s="131"/>
      <c r="AF95" s="131"/>
      <c r="AG95" s="131"/>
      <c r="AH95" s="131"/>
      <c r="AI95" s="131"/>
      <c r="AJ95" s="131"/>
      <c r="AK95" s="131"/>
      <c r="AL95" s="131"/>
      <c r="AM95" s="131"/>
      <c r="AN95" s="131"/>
      <c r="AO95" s="131"/>
      <c r="AP95" s="131"/>
      <c r="AQ95" s="131"/>
    </row>
    <row r="96" spans="1:43" x14ac:dyDescent="0.2">
      <c r="A96" s="131">
        <v>21</v>
      </c>
      <c r="B96" s="294" t="s">
        <v>439</v>
      </c>
      <c r="C96" s="131" t="s">
        <v>440</v>
      </c>
      <c r="D96" s="131">
        <v>11.55</v>
      </c>
      <c r="E96" s="295">
        <v>722.7</v>
      </c>
      <c r="F96" s="296"/>
      <c r="G96" s="296"/>
      <c r="H96" s="131"/>
      <c r="I96" s="131" t="str">
        <f t="shared" si="1"/>
        <v>DBA/WEB - Infraestrutura/Georeferenc (Cnt. 1497/2013)</v>
      </c>
      <c r="J96" s="131">
        <f t="shared" si="2"/>
        <v>21</v>
      </c>
      <c r="K96" s="280"/>
      <c r="L96" s="280"/>
      <c r="M96" s="280"/>
      <c r="N96" s="280"/>
      <c r="O96" s="280"/>
      <c r="P96" s="280"/>
      <c r="Q96" s="280"/>
      <c r="R96" s="280"/>
      <c r="S96" s="280"/>
      <c r="T96" s="280"/>
      <c r="U96" s="280"/>
      <c r="V96" s="280"/>
      <c r="W96" s="280"/>
      <c r="X96" s="280"/>
      <c r="Y96" s="280">
        <v>2</v>
      </c>
      <c r="Z96" s="131">
        <v>1.35</v>
      </c>
      <c r="AA96" s="131"/>
      <c r="AB96" s="131"/>
      <c r="AC96" s="131"/>
      <c r="AD96" s="131"/>
      <c r="AE96" s="131"/>
      <c r="AF96" s="131"/>
      <c r="AG96" s="131"/>
      <c r="AH96" s="131"/>
      <c r="AI96" s="131"/>
      <c r="AJ96" s="131"/>
      <c r="AK96" s="131"/>
      <c r="AL96" s="131"/>
      <c r="AM96" s="131"/>
      <c r="AN96" s="131"/>
      <c r="AO96" s="131"/>
      <c r="AP96" s="131"/>
      <c r="AQ96" s="131"/>
    </row>
    <row r="97" spans="1:43" x14ac:dyDescent="0.2">
      <c r="A97" s="131">
        <v>22</v>
      </c>
      <c r="B97" s="294" t="s">
        <v>441</v>
      </c>
      <c r="C97" s="131" t="s">
        <v>442</v>
      </c>
      <c r="D97" s="131">
        <v>11.55</v>
      </c>
      <c r="E97" s="295">
        <v>665.53</v>
      </c>
      <c r="F97" s="296"/>
      <c r="G97" s="296"/>
      <c r="H97" s="131"/>
      <c r="I97" s="131" t="str">
        <f t="shared" si="1"/>
        <v>DBA/WEB - Certificação Digital (Cnt. 1497/2013)</v>
      </c>
      <c r="J97" s="131">
        <f t="shared" si="2"/>
        <v>22</v>
      </c>
      <c r="K97" s="280"/>
      <c r="L97" s="280"/>
      <c r="M97" s="280"/>
      <c r="N97" s="280"/>
      <c r="O97" s="280"/>
      <c r="P97" s="280"/>
      <c r="Q97" s="280"/>
      <c r="R97" s="280"/>
      <c r="S97" s="280"/>
      <c r="T97" s="280"/>
      <c r="U97" s="280"/>
      <c r="V97" s="280"/>
      <c r="W97" s="280"/>
      <c r="X97" s="280"/>
      <c r="Y97" s="280">
        <v>2</v>
      </c>
      <c r="Z97" s="131">
        <v>1.35</v>
      </c>
      <c r="AA97" s="131"/>
      <c r="AB97" s="131"/>
      <c r="AC97" s="131"/>
      <c r="AD97" s="131"/>
      <c r="AE97" s="131"/>
      <c r="AF97" s="131"/>
      <c r="AG97" s="131"/>
      <c r="AH97" s="131"/>
      <c r="AI97" s="131"/>
      <c r="AJ97" s="131"/>
      <c r="AK97" s="131"/>
      <c r="AL97" s="131"/>
      <c r="AM97" s="131"/>
      <c r="AN97" s="131"/>
      <c r="AO97" s="131"/>
      <c r="AP97" s="131"/>
      <c r="AQ97" s="131"/>
    </row>
    <row r="98" spans="1:43" x14ac:dyDescent="0.2">
      <c r="A98" s="131">
        <v>23</v>
      </c>
      <c r="B98" s="294" t="s">
        <v>443</v>
      </c>
      <c r="C98" s="131" t="s">
        <v>444</v>
      </c>
      <c r="D98" s="131">
        <v>11.55</v>
      </c>
      <c r="E98" s="295">
        <v>728.08</v>
      </c>
      <c r="F98" s="296"/>
      <c r="G98" s="296"/>
      <c r="H98" s="131"/>
      <c r="I98" s="131" t="str">
        <f t="shared" si="1"/>
        <v>DBA/WEB - Aplicação Web (Cnt. 1497/2013)</v>
      </c>
      <c r="J98" s="131">
        <f t="shared" si="2"/>
        <v>23</v>
      </c>
      <c r="K98" s="280"/>
      <c r="L98" s="280"/>
      <c r="M98" s="280"/>
      <c r="N98" s="280"/>
      <c r="O98" s="280"/>
      <c r="P98" s="280"/>
      <c r="Q98" s="280"/>
      <c r="R98" s="280"/>
      <c r="S98" s="280"/>
      <c r="T98" s="280"/>
      <c r="U98" s="280"/>
      <c r="V98" s="280"/>
      <c r="W98" s="280"/>
      <c r="X98" s="280"/>
      <c r="Y98" s="280">
        <v>2</v>
      </c>
      <c r="Z98" s="131">
        <v>1.35</v>
      </c>
      <c r="AA98" s="131"/>
      <c r="AB98" s="131"/>
      <c r="AC98" s="131"/>
      <c r="AD98" s="131"/>
      <c r="AE98" s="131"/>
      <c r="AF98" s="131"/>
      <c r="AG98" s="131"/>
      <c r="AH98" s="131"/>
      <c r="AI98" s="131"/>
      <c r="AJ98" s="131"/>
      <c r="AK98" s="131"/>
      <c r="AL98" s="131"/>
      <c r="AM98" s="131"/>
      <c r="AN98" s="131"/>
      <c r="AO98" s="131"/>
      <c r="AP98" s="131"/>
      <c r="AQ98" s="131"/>
    </row>
    <row r="99" spans="1:43" x14ac:dyDescent="0.2">
      <c r="A99" s="131">
        <v>24</v>
      </c>
      <c r="B99" s="294" t="s">
        <v>445</v>
      </c>
      <c r="C99" s="131" t="s">
        <v>446</v>
      </c>
      <c r="D99" s="131">
        <v>18.79</v>
      </c>
      <c r="E99" s="295">
        <v>655.96</v>
      </c>
      <c r="F99" s="296"/>
      <c r="G99" s="296"/>
      <c r="H99" s="131"/>
      <c r="I99" s="131" t="str">
        <f t="shared" si="1"/>
        <v>DBA/WEB - Business Intelligence (Cnt. 1497/2013)</v>
      </c>
      <c r="J99" s="131">
        <f t="shared" si="2"/>
        <v>24</v>
      </c>
      <c r="K99" s="280"/>
      <c r="L99" s="280"/>
      <c r="M99" s="280"/>
      <c r="N99" s="280"/>
      <c r="O99" s="280"/>
      <c r="P99" s="280"/>
      <c r="Q99" s="280"/>
      <c r="R99" s="280"/>
      <c r="S99" s="280"/>
      <c r="T99" s="280"/>
      <c r="U99" s="280"/>
      <c r="V99" s="280"/>
      <c r="W99" s="280"/>
      <c r="X99" s="280"/>
      <c r="Y99" s="280">
        <v>2</v>
      </c>
      <c r="Z99" s="131">
        <v>1.35</v>
      </c>
      <c r="AA99" s="131"/>
      <c r="AB99" s="131"/>
      <c r="AC99" s="131"/>
      <c r="AD99" s="131"/>
      <c r="AE99" s="131"/>
      <c r="AF99" s="131"/>
      <c r="AG99" s="131"/>
      <c r="AH99" s="131"/>
      <c r="AI99" s="131"/>
      <c r="AJ99" s="131"/>
      <c r="AK99" s="131"/>
      <c r="AL99" s="131"/>
      <c r="AM99" s="131"/>
      <c r="AN99" s="131"/>
      <c r="AO99" s="131"/>
      <c r="AP99" s="131"/>
      <c r="AQ99" s="131"/>
    </row>
    <row r="100" spans="1:43" x14ac:dyDescent="0.2">
      <c r="A100" s="131">
        <v>25</v>
      </c>
      <c r="B100" s="294" t="s">
        <v>447</v>
      </c>
      <c r="C100" s="131" t="s">
        <v>448</v>
      </c>
      <c r="D100" s="131">
        <v>1</v>
      </c>
      <c r="E100" s="295">
        <v>684.22</v>
      </c>
      <c r="F100" s="296"/>
      <c r="G100" s="296"/>
      <c r="H100" s="131"/>
      <c r="I100" s="131" t="str">
        <f t="shared" si="1"/>
        <v>BULL</v>
      </c>
      <c r="J100" s="131">
        <f t="shared" si="2"/>
        <v>25</v>
      </c>
      <c r="K100" s="280"/>
      <c r="L100" s="280"/>
      <c r="M100" s="280"/>
      <c r="N100" s="280"/>
      <c r="O100" s="280"/>
      <c r="P100" s="280"/>
      <c r="Q100" s="280"/>
      <c r="R100" s="280"/>
      <c r="S100" s="280"/>
      <c r="T100" s="280"/>
      <c r="U100" s="280"/>
      <c r="V100" s="280"/>
      <c r="W100" s="280"/>
      <c r="X100" s="280"/>
      <c r="Y100" s="280"/>
      <c r="Z100" s="131">
        <v>1.35</v>
      </c>
      <c r="AA100" s="131"/>
      <c r="AB100" s="131"/>
      <c r="AC100" s="131"/>
      <c r="AD100" s="131"/>
      <c r="AE100" s="131"/>
      <c r="AF100" s="131"/>
      <c r="AG100" s="131"/>
      <c r="AH100" s="131"/>
      <c r="AI100" s="131"/>
      <c r="AJ100" s="131"/>
      <c r="AK100" s="131"/>
      <c r="AL100" s="131"/>
      <c r="AM100" s="131"/>
      <c r="AN100" s="131"/>
      <c r="AO100" s="131"/>
      <c r="AP100" s="131"/>
      <c r="AQ100" s="131"/>
    </row>
    <row r="101" spans="1:43" x14ac:dyDescent="0.2">
      <c r="A101" s="131">
        <v>26</v>
      </c>
      <c r="B101" s="294" t="s">
        <v>449</v>
      </c>
      <c r="C101" s="131" t="s">
        <v>410</v>
      </c>
      <c r="D101" s="131">
        <v>11</v>
      </c>
      <c r="E101" s="295">
        <v>930</v>
      </c>
      <c r="F101" s="296"/>
      <c r="G101" s="296"/>
      <c r="H101" s="131"/>
      <c r="I101" s="131" t="str">
        <f t="shared" si="1"/>
        <v>PROCOMP</v>
      </c>
      <c r="J101" s="131">
        <f t="shared" si="2"/>
        <v>26</v>
      </c>
      <c r="K101" s="280"/>
      <c r="L101" s="280"/>
      <c r="M101" s="280"/>
      <c r="N101" s="280"/>
      <c r="O101" s="280"/>
      <c r="P101" s="280"/>
      <c r="Q101" s="280"/>
      <c r="R101" s="280"/>
      <c r="S101" s="280"/>
      <c r="T101" s="280"/>
      <c r="U101" s="280"/>
      <c r="V101" s="280"/>
      <c r="W101" s="280"/>
      <c r="X101" s="280"/>
      <c r="Y101" s="280"/>
      <c r="Z101" s="131">
        <v>1.35</v>
      </c>
      <c r="AA101" s="131"/>
      <c r="AB101" s="131"/>
      <c r="AC101" s="131"/>
      <c r="AD101" s="131"/>
      <c r="AE101" s="131"/>
      <c r="AF101" s="131"/>
      <c r="AG101" s="131"/>
      <c r="AH101" s="131"/>
      <c r="AI101" s="131"/>
      <c r="AJ101" s="131"/>
      <c r="AK101" s="131"/>
      <c r="AL101" s="131"/>
      <c r="AM101" s="131"/>
      <c r="AN101" s="131"/>
      <c r="AO101" s="131"/>
      <c r="AP101" s="131"/>
      <c r="AQ101" s="131"/>
    </row>
    <row r="102" spans="1:43" x14ac:dyDescent="0.2">
      <c r="A102" s="131">
        <v>27</v>
      </c>
      <c r="B102" s="294" t="s">
        <v>450</v>
      </c>
      <c r="C102" s="131" t="s">
        <v>451</v>
      </c>
      <c r="D102" s="131">
        <v>10.02</v>
      </c>
      <c r="E102" s="295">
        <v>554</v>
      </c>
      <c r="F102" s="296"/>
      <c r="G102" s="296"/>
      <c r="H102" s="131"/>
      <c r="I102" s="131" t="str">
        <f t="shared" si="1"/>
        <v>INDRA/POLITEC - Habitação</v>
      </c>
      <c r="J102" s="131">
        <f t="shared" si="2"/>
        <v>27</v>
      </c>
      <c r="K102" s="280"/>
      <c r="L102" s="280"/>
      <c r="M102" s="280"/>
      <c r="N102" s="280"/>
      <c r="O102" s="280"/>
      <c r="P102" s="280"/>
      <c r="Q102" s="280"/>
      <c r="R102" s="280"/>
      <c r="S102" s="280"/>
      <c r="T102" s="280"/>
      <c r="U102" s="280"/>
      <c r="V102" s="280"/>
      <c r="W102" s="280"/>
      <c r="X102" s="280"/>
      <c r="Y102" s="280"/>
      <c r="Z102" s="131">
        <v>1.35</v>
      </c>
      <c r="AA102" s="131"/>
      <c r="AB102" s="131"/>
      <c r="AC102" s="131"/>
      <c r="AD102" s="131"/>
      <c r="AE102" s="131"/>
      <c r="AF102" s="131"/>
      <c r="AG102" s="131"/>
      <c r="AH102" s="131"/>
      <c r="AI102" s="131"/>
      <c r="AJ102" s="131"/>
      <c r="AK102" s="131"/>
      <c r="AL102" s="131"/>
      <c r="AM102" s="131"/>
      <c r="AN102" s="131"/>
      <c r="AO102" s="131"/>
      <c r="AP102" s="131"/>
      <c r="AQ102" s="131"/>
    </row>
    <row r="103" spans="1:43" x14ac:dyDescent="0.2">
      <c r="A103" s="131">
        <v>28</v>
      </c>
      <c r="B103" s="294" t="s">
        <v>452</v>
      </c>
      <c r="C103" s="131" t="s">
        <v>453</v>
      </c>
      <c r="D103" s="131">
        <v>13.43</v>
      </c>
      <c r="E103" s="295">
        <v>1835.33</v>
      </c>
      <c r="F103" s="296">
        <v>181.3</v>
      </c>
      <c r="G103" s="296"/>
      <c r="H103" s="131"/>
      <c r="I103" s="131" t="str">
        <f t="shared" si="1"/>
        <v>CPM/BRAXIS - Mobile (Cnt. 0656/2014)</v>
      </c>
      <c r="J103" s="131">
        <f t="shared" si="2"/>
        <v>28</v>
      </c>
      <c r="K103" s="280"/>
      <c r="L103" s="280"/>
      <c r="M103" s="280"/>
      <c r="N103" s="280"/>
      <c r="O103" s="280"/>
      <c r="P103" s="280"/>
      <c r="Q103" s="280"/>
      <c r="R103" s="280"/>
      <c r="S103" s="280"/>
      <c r="T103" s="280"/>
      <c r="U103" s="280"/>
      <c r="V103" s="280"/>
      <c r="W103" s="280"/>
      <c r="X103" s="280"/>
      <c r="Y103" s="280"/>
      <c r="Z103" s="131">
        <v>1.35</v>
      </c>
      <c r="AA103" s="131"/>
      <c r="AB103" s="131"/>
      <c r="AC103" s="131"/>
      <c r="AD103" s="131"/>
      <c r="AE103" s="131"/>
      <c r="AF103" s="131"/>
      <c r="AG103" s="131"/>
      <c r="AH103" s="131"/>
      <c r="AI103" s="131"/>
      <c r="AJ103" s="131"/>
      <c r="AK103" s="131"/>
      <c r="AL103" s="131"/>
      <c r="AM103" s="131"/>
      <c r="AN103" s="131"/>
      <c r="AO103" s="131"/>
      <c r="AP103" s="131"/>
      <c r="AQ103" s="131"/>
    </row>
    <row r="104" spans="1:43" x14ac:dyDescent="0.2">
      <c r="A104" s="131">
        <v>29</v>
      </c>
      <c r="B104" s="294" t="s">
        <v>454</v>
      </c>
      <c r="C104" s="131" t="s">
        <v>455</v>
      </c>
      <c r="D104" s="131"/>
      <c r="E104" s="295"/>
      <c r="F104" s="296">
        <v>56.08</v>
      </c>
      <c r="G104" s="296">
        <v>70.540000000000006</v>
      </c>
      <c r="H104" s="131"/>
      <c r="I104" s="131" t="str">
        <f t="shared" si="1"/>
        <v>DBA/WEB - Portal de Conteúdo (Cnt. 1497/2013)</v>
      </c>
      <c r="J104" s="131">
        <f t="shared" si="2"/>
        <v>29</v>
      </c>
      <c r="K104" s="280"/>
      <c r="L104" s="280"/>
      <c r="M104" s="280"/>
      <c r="N104" s="280"/>
      <c r="O104" s="280"/>
      <c r="P104" s="280"/>
      <c r="Q104" s="280"/>
      <c r="R104" s="280"/>
      <c r="S104" s="280"/>
      <c r="T104" s="280"/>
      <c r="U104" s="280"/>
      <c r="V104" s="280"/>
      <c r="W104" s="280"/>
      <c r="X104" s="280"/>
      <c r="Y104" s="280">
        <v>2</v>
      </c>
      <c r="Z104" s="131">
        <v>1.35</v>
      </c>
      <c r="AA104" s="131"/>
      <c r="AB104" s="131"/>
      <c r="AC104" s="131"/>
      <c r="AD104" s="131"/>
      <c r="AE104" s="131"/>
      <c r="AF104" s="131"/>
      <c r="AG104" s="131"/>
      <c r="AH104" s="131"/>
      <c r="AI104" s="131"/>
      <c r="AJ104" s="131"/>
      <c r="AK104" s="131"/>
      <c r="AL104" s="131"/>
      <c r="AM104" s="131"/>
      <c r="AN104" s="131"/>
      <c r="AO104" s="131"/>
      <c r="AP104" s="131"/>
      <c r="AQ104" s="131"/>
    </row>
    <row r="105" spans="1:43" x14ac:dyDescent="0.2">
      <c r="A105" s="131">
        <v>30</v>
      </c>
      <c r="B105" s="294" t="s">
        <v>456</v>
      </c>
      <c r="C105" s="131" t="s">
        <v>457</v>
      </c>
      <c r="D105" s="131">
        <v>10.8</v>
      </c>
      <c r="E105" s="295">
        <v>1502.06</v>
      </c>
      <c r="F105" s="296"/>
      <c r="G105" s="296"/>
      <c r="H105" s="131"/>
      <c r="I105" s="131" t="str">
        <f t="shared" si="1"/>
        <v>FÓTON (Cnt. 6870/2015)</v>
      </c>
      <c r="J105" s="131">
        <f t="shared" si="2"/>
        <v>30</v>
      </c>
      <c r="K105" s="280"/>
      <c r="L105" s="280"/>
      <c r="M105" s="280"/>
      <c r="N105" s="280"/>
      <c r="O105" s="280"/>
      <c r="P105" s="280"/>
      <c r="Q105" s="280"/>
      <c r="R105" s="280" t="s">
        <v>400</v>
      </c>
      <c r="S105" s="280" t="s">
        <v>400</v>
      </c>
      <c r="T105" s="280" t="s">
        <v>400</v>
      </c>
      <c r="U105" s="280"/>
      <c r="V105" s="280"/>
      <c r="W105" s="280"/>
      <c r="X105" s="280"/>
      <c r="Y105" s="280">
        <v>3</v>
      </c>
      <c r="Z105" s="131">
        <v>1.35</v>
      </c>
      <c r="AA105" s="131"/>
      <c r="AB105" s="131"/>
      <c r="AC105" s="131"/>
      <c r="AD105" s="131"/>
      <c r="AE105" s="131"/>
      <c r="AF105" s="131"/>
      <c r="AG105" s="131"/>
      <c r="AH105" s="131"/>
      <c r="AI105" s="131"/>
      <c r="AJ105" s="131"/>
      <c r="AK105" s="131"/>
      <c r="AL105" s="131"/>
      <c r="AM105" s="131"/>
      <c r="AN105" s="131"/>
      <c r="AO105" s="131"/>
      <c r="AP105" s="131"/>
      <c r="AQ105" s="131"/>
    </row>
    <row r="106" spans="1:43" x14ac:dyDescent="0.2">
      <c r="A106" s="131">
        <v>31</v>
      </c>
      <c r="B106" s="294" t="s">
        <v>458</v>
      </c>
      <c r="C106" s="131" t="s">
        <v>459</v>
      </c>
      <c r="D106" s="131">
        <v>1</v>
      </c>
      <c r="E106" s="295">
        <v>825</v>
      </c>
      <c r="F106" s="296"/>
      <c r="G106" s="296"/>
      <c r="H106" s="131"/>
      <c r="I106" s="131" t="str">
        <f t="shared" si="1"/>
        <v>CPM BRAXIS/VIVERE - Crédito Imobiliário</v>
      </c>
      <c r="J106" s="131">
        <f t="shared" si="2"/>
        <v>31</v>
      </c>
      <c r="K106" s="280"/>
      <c r="L106" s="280"/>
      <c r="M106" s="280"/>
      <c r="N106" s="280"/>
      <c r="O106" s="280"/>
      <c r="P106" s="280"/>
      <c r="Q106" s="280"/>
      <c r="R106" s="280"/>
      <c r="S106" s="280"/>
      <c r="T106" s="280"/>
      <c r="U106" s="280"/>
      <c r="V106" s="280"/>
      <c r="W106" s="280"/>
      <c r="X106" s="280"/>
      <c r="Y106" s="280">
        <v>4</v>
      </c>
      <c r="Z106" s="131">
        <v>1.35</v>
      </c>
      <c r="AA106" s="131"/>
      <c r="AB106" s="131"/>
      <c r="AC106" s="131"/>
      <c r="AD106" s="131"/>
      <c r="AE106" s="131"/>
      <c r="AF106" s="131"/>
      <c r="AG106" s="131"/>
      <c r="AH106" s="131"/>
      <c r="AI106" s="131"/>
      <c r="AJ106" s="131"/>
      <c r="AK106" s="131"/>
      <c r="AL106" s="131"/>
      <c r="AM106" s="131"/>
      <c r="AN106" s="131"/>
      <c r="AO106" s="131"/>
      <c r="AP106" s="131"/>
      <c r="AQ106" s="131"/>
    </row>
    <row r="107" spans="1:43" x14ac:dyDescent="0.2">
      <c r="A107" s="131">
        <v>32</v>
      </c>
      <c r="B107" s="294" t="s">
        <v>460</v>
      </c>
      <c r="C107" s="131" t="s">
        <v>461</v>
      </c>
      <c r="D107" s="131">
        <v>13.15</v>
      </c>
      <c r="E107" s="295">
        <v>1078.0999999999999</v>
      </c>
      <c r="F107" s="296"/>
      <c r="G107" s="296"/>
      <c r="H107" s="131"/>
      <c r="I107" s="131" t="str">
        <f t="shared" si="1"/>
        <v>MAPS - Custódia Qualificada</v>
      </c>
      <c r="J107" s="131">
        <f t="shared" si="2"/>
        <v>32</v>
      </c>
      <c r="K107" s="280"/>
      <c r="L107" s="280"/>
      <c r="M107" s="280"/>
      <c r="N107" s="280"/>
      <c r="O107" s="280"/>
      <c r="P107" s="280"/>
      <c r="Q107" s="280"/>
      <c r="R107" s="280"/>
      <c r="S107" s="280"/>
      <c r="T107" s="280"/>
      <c r="U107" s="280"/>
      <c r="V107" s="280"/>
      <c r="W107" s="280"/>
      <c r="X107" s="280"/>
      <c r="Y107" s="280"/>
      <c r="Z107" s="131">
        <v>1.35</v>
      </c>
      <c r="AA107" s="131"/>
      <c r="AB107" s="131"/>
      <c r="AC107" s="131"/>
      <c r="AD107" s="131"/>
      <c r="AE107" s="131"/>
      <c r="AF107" s="131"/>
      <c r="AG107" s="131"/>
      <c r="AH107" s="131"/>
      <c r="AI107" s="131"/>
      <c r="AJ107" s="131"/>
      <c r="AK107" s="131"/>
      <c r="AL107" s="131"/>
      <c r="AM107" s="131"/>
      <c r="AN107" s="131"/>
      <c r="AO107" s="131"/>
      <c r="AP107" s="131"/>
      <c r="AQ107" s="131"/>
    </row>
    <row r="108" spans="1:43" x14ac:dyDescent="0.2">
      <c r="A108" s="131">
        <v>33</v>
      </c>
      <c r="B108" s="294" t="s">
        <v>462</v>
      </c>
      <c r="C108" s="131" t="s">
        <v>463</v>
      </c>
      <c r="D108" s="131">
        <v>13.28</v>
      </c>
      <c r="E108" s="295">
        <v>937.68</v>
      </c>
      <c r="F108" s="296"/>
      <c r="G108" s="296"/>
      <c r="H108" s="131"/>
      <c r="I108" s="131" t="str">
        <f t="shared" ref="I108:I139" si="3">TEXT(B108,"##")</f>
        <v>CPM BRAXIS - SAP</v>
      </c>
      <c r="J108" s="131">
        <f t="shared" ref="J108:J139" si="4">A108</f>
        <v>33</v>
      </c>
      <c r="K108" s="280"/>
      <c r="L108" s="280"/>
      <c r="M108" s="280"/>
      <c r="N108" s="280"/>
      <c r="O108" s="280"/>
      <c r="P108" s="280"/>
      <c r="Q108" s="280"/>
      <c r="R108" s="280"/>
      <c r="S108" s="280"/>
      <c r="T108" s="280"/>
      <c r="U108" s="280"/>
      <c r="V108" s="280"/>
      <c r="W108" s="280"/>
      <c r="X108" s="280"/>
      <c r="Y108" s="280"/>
      <c r="Z108" s="131">
        <v>1.35</v>
      </c>
      <c r="AA108" s="131"/>
      <c r="AB108" s="131"/>
      <c r="AC108" s="131"/>
      <c r="AD108" s="131"/>
      <c r="AE108" s="131"/>
      <c r="AF108" s="131"/>
      <c r="AG108" s="131"/>
      <c r="AH108" s="131"/>
      <c r="AI108" s="131"/>
      <c r="AJ108" s="131"/>
      <c r="AK108" s="131"/>
      <c r="AL108" s="131"/>
      <c r="AM108" s="131"/>
      <c r="AN108" s="131"/>
      <c r="AO108" s="131"/>
      <c r="AP108" s="131"/>
      <c r="AQ108" s="131"/>
    </row>
    <row r="109" spans="1:43" x14ac:dyDescent="0.2">
      <c r="A109" s="131">
        <v>34</v>
      </c>
      <c r="B109" s="294" t="s">
        <v>464</v>
      </c>
      <c r="C109" s="131" t="s">
        <v>465</v>
      </c>
      <c r="D109" s="131">
        <v>15</v>
      </c>
      <c r="E109" s="295">
        <v>1157.96</v>
      </c>
      <c r="F109" s="296">
        <v>115.75</v>
      </c>
      <c r="G109" s="296"/>
      <c r="H109" s="131"/>
      <c r="I109" s="131" t="str">
        <f t="shared" si="3"/>
        <v>CAST - Financeiro (Cnt. 144/2017)</v>
      </c>
      <c r="J109" s="131">
        <f t="shared" si="4"/>
        <v>34</v>
      </c>
      <c r="K109" s="280"/>
      <c r="L109" s="280"/>
      <c r="M109" s="280"/>
      <c r="N109" s="280"/>
      <c r="O109" s="280"/>
      <c r="P109" s="280" t="s">
        <v>400</v>
      </c>
      <c r="Q109" s="280" t="s">
        <v>400</v>
      </c>
      <c r="R109" s="280" t="s">
        <v>400</v>
      </c>
      <c r="S109" s="280" t="s">
        <v>400</v>
      </c>
      <c r="T109" s="280" t="s">
        <v>400</v>
      </c>
      <c r="U109" s="280" t="s">
        <v>400</v>
      </c>
      <c r="V109" s="280"/>
      <c r="W109" s="280" t="s">
        <v>400</v>
      </c>
      <c r="X109" s="280"/>
      <c r="Y109" s="280">
        <v>3</v>
      </c>
      <c r="Z109" s="131">
        <v>1.35</v>
      </c>
      <c r="AA109" s="131"/>
      <c r="AB109" s="131"/>
      <c r="AC109" s="131"/>
      <c r="AD109" s="131"/>
      <c r="AE109" s="131"/>
      <c r="AF109" s="131"/>
      <c r="AG109" s="131"/>
      <c r="AH109" s="131"/>
      <c r="AI109" s="131"/>
      <c r="AJ109" s="131"/>
      <c r="AK109" s="131"/>
      <c r="AL109" s="131"/>
      <c r="AM109" s="131"/>
      <c r="AN109" s="131"/>
      <c r="AO109" s="131"/>
      <c r="AP109" s="131"/>
      <c r="AQ109" s="131"/>
    </row>
    <row r="110" spans="1:43" x14ac:dyDescent="0.2">
      <c r="A110" s="131">
        <v>35</v>
      </c>
      <c r="B110" s="294" t="s">
        <v>466</v>
      </c>
      <c r="C110" s="131" t="s">
        <v>467</v>
      </c>
      <c r="D110" s="131">
        <v>15</v>
      </c>
      <c r="E110" s="295">
        <v>938.59</v>
      </c>
      <c r="F110" s="296">
        <v>93.85</v>
      </c>
      <c r="G110" s="296"/>
      <c r="H110" s="131"/>
      <c r="I110" s="131" t="str">
        <f t="shared" si="3"/>
        <v>SPREAD - Controladoria (Cnt. 180/2017)</v>
      </c>
      <c r="J110" s="131">
        <f t="shared" si="4"/>
        <v>35</v>
      </c>
      <c r="K110" s="280"/>
      <c r="L110" s="280"/>
      <c r="M110" s="280"/>
      <c r="N110" s="280"/>
      <c r="O110" s="280"/>
      <c r="P110" s="280" t="s">
        <v>400</v>
      </c>
      <c r="Q110" s="280" t="s">
        <v>400</v>
      </c>
      <c r="R110" s="280" t="s">
        <v>400</v>
      </c>
      <c r="S110" s="280" t="s">
        <v>400</v>
      </c>
      <c r="T110" s="280" t="s">
        <v>400</v>
      </c>
      <c r="U110" s="280" t="s">
        <v>400</v>
      </c>
      <c r="V110" s="280"/>
      <c r="W110" s="280" t="s">
        <v>400</v>
      </c>
      <c r="X110" s="280"/>
      <c r="Y110" s="280">
        <v>3</v>
      </c>
      <c r="Z110" s="131">
        <v>1.35</v>
      </c>
      <c r="AA110" s="131"/>
      <c r="AB110" s="131"/>
      <c r="AC110" s="131"/>
      <c r="AD110" s="131"/>
      <c r="AE110" s="131"/>
      <c r="AF110" s="131"/>
      <c r="AG110" s="131"/>
      <c r="AH110" s="131"/>
      <c r="AI110" s="131"/>
      <c r="AJ110" s="131"/>
      <c r="AK110" s="131"/>
      <c r="AL110" s="131"/>
      <c r="AM110" s="131"/>
      <c r="AN110" s="131"/>
      <c r="AO110" s="131"/>
      <c r="AP110" s="131"/>
      <c r="AQ110" s="131"/>
    </row>
    <row r="111" spans="1:43" x14ac:dyDescent="0.2">
      <c r="A111" s="131">
        <v>36</v>
      </c>
      <c r="B111" s="294" t="s">
        <v>468</v>
      </c>
      <c r="C111" s="131" t="s">
        <v>469</v>
      </c>
      <c r="D111" s="131">
        <v>15</v>
      </c>
      <c r="E111" s="295">
        <v>1129.76</v>
      </c>
      <c r="F111" s="296">
        <v>112.97</v>
      </c>
      <c r="G111" s="296"/>
      <c r="H111" s="131"/>
      <c r="I111" s="131" t="str">
        <f t="shared" si="3"/>
        <v>TIVIT - Emprestar e Financiar (Cnt. 263/2017)</v>
      </c>
      <c r="J111" s="131">
        <f t="shared" si="4"/>
        <v>36</v>
      </c>
      <c r="K111" s="280"/>
      <c r="L111" s="280"/>
      <c r="M111" s="280"/>
      <c r="N111" s="280"/>
      <c r="O111" s="280"/>
      <c r="P111" s="280" t="s">
        <v>400</v>
      </c>
      <c r="Q111" s="280" t="s">
        <v>400</v>
      </c>
      <c r="R111" s="280" t="s">
        <v>400</v>
      </c>
      <c r="S111" s="280" t="s">
        <v>400</v>
      </c>
      <c r="T111" s="280" t="s">
        <v>400</v>
      </c>
      <c r="U111" s="280" t="s">
        <v>400</v>
      </c>
      <c r="V111" s="280"/>
      <c r="W111" s="280" t="s">
        <v>400</v>
      </c>
      <c r="X111" s="280"/>
      <c r="Y111" s="280">
        <v>3</v>
      </c>
      <c r="Z111" s="131">
        <v>1.35</v>
      </c>
      <c r="AA111" s="131"/>
      <c r="AB111" s="131"/>
      <c r="AC111" s="131"/>
      <c r="AD111" s="131"/>
      <c r="AE111" s="131"/>
      <c r="AF111" s="131"/>
      <c r="AG111" s="131"/>
      <c r="AH111" s="131"/>
      <c r="AI111" s="131"/>
      <c r="AJ111" s="131"/>
      <c r="AK111" s="131"/>
      <c r="AL111" s="131"/>
      <c r="AM111" s="131"/>
      <c r="AN111" s="131"/>
      <c r="AO111" s="131"/>
      <c r="AP111" s="131"/>
      <c r="AQ111" s="131"/>
    </row>
    <row r="112" spans="1:43" x14ac:dyDescent="0.2">
      <c r="A112" s="131">
        <v>37</v>
      </c>
      <c r="B112" s="294" t="s">
        <v>470</v>
      </c>
      <c r="C112" s="131" t="s">
        <v>471</v>
      </c>
      <c r="D112" s="131">
        <v>5</v>
      </c>
      <c r="E112" s="295">
        <v>979.17</v>
      </c>
      <c r="F112" s="296">
        <v>92.58</v>
      </c>
      <c r="G112" s="296"/>
      <c r="H112" s="131"/>
      <c r="I112" s="131" t="str">
        <f t="shared" si="3"/>
        <v>BRQ - Barramento (Cnt. 310/2017)</v>
      </c>
      <c r="J112" s="131">
        <f t="shared" si="4"/>
        <v>37</v>
      </c>
      <c r="K112" s="280"/>
      <c r="L112" s="280"/>
      <c r="M112" s="280"/>
      <c r="N112" s="280"/>
      <c r="O112" s="280"/>
      <c r="P112" s="280" t="s">
        <v>400</v>
      </c>
      <c r="Q112" s="280" t="s">
        <v>400</v>
      </c>
      <c r="R112" s="280" t="s">
        <v>400</v>
      </c>
      <c r="S112" s="280" t="s">
        <v>400</v>
      </c>
      <c r="T112" s="280" t="s">
        <v>400</v>
      </c>
      <c r="U112" s="280" t="s">
        <v>400</v>
      </c>
      <c r="V112" s="280"/>
      <c r="W112" s="280" t="s">
        <v>400</v>
      </c>
      <c r="X112" s="280"/>
      <c r="Y112" s="280">
        <v>3</v>
      </c>
      <c r="Z112" s="131">
        <v>1.35</v>
      </c>
      <c r="AA112" s="131"/>
      <c r="AB112" s="131"/>
      <c r="AC112" s="131"/>
      <c r="AD112" s="131"/>
      <c r="AE112" s="131"/>
      <c r="AF112" s="131"/>
      <c r="AG112" s="131"/>
      <c r="AH112" s="131"/>
      <c r="AI112" s="131"/>
      <c r="AJ112" s="131"/>
      <c r="AK112" s="131"/>
      <c r="AL112" s="131"/>
      <c r="AM112" s="131"/>
      <c r="AN112" s="131"/>
      <c r="AO112" s="131"/>
      <c r="AP112" s="131"/>
      <c r="AQ112" s="131"/>
    </row>
    <row r="113" spans="1:43" x14ac:dyDescent="0.2">
      <c r="A113" s="131">
        <v>38</v>
      </c>
      <c r="B113" s="294" t="s">
        <v>472</v>
      </c>
      <c r="C113" s="131" t="s">
        <v>473</v>
      </c>
      <c r="D113" s="131">
        <v>15</v>
      </c>
      <c r="E113" s="295">
        <v>1159.57</v>
      </c>
      <c r="F113" s="296">
        <v>115.96</v>
      </c>
      <c r="G113" s="296"/>
      <c r="H113" s="131"/>
      <c r="I113" s="131" t="str">
        <f t="shared" si="3"/>
        <v>FIRST DECISION - BI (Cnt. 326/2017)</v>
      </c>
      <c r="J113" s="131">
        <f t="shared" si="4"/>
        <v>38</v>
      </c>
      <c r="K113" s="280"/>
      <c r="L113" s="280"/>
      <c r="M113" s="280"/>
      <c r="N113" s="280" t="s">
        <v>400</v>
      </c>
      <c r="O113" s="280"/>
      <c r="P113" s="280" t="s">
        <v>400</v>
      </c>
      <c r="Q113" s="280" t="s">
        <v>400</v>
      </c>
      <c r="R113" s="280" t="s">
        <v>400</v>
      </c>
      <c r="S113" s="280" t="s">
        <v>400</v>
      </c>
      <c r="T113" s="280" t="s">
        <v>400</v>
      </c>
      <c r="U113" s="280" t="s">
        <v>400</v>
      </c>
      <c r="V113" s="280" t="s">
        <v>400</v>
      </c>
      <c r="W113" s="280" t="s">
        <v>400</v>
      </c>
      <c r="X113" s="280"/>
      <c r="Y113" s="280">
        <v>3</v>
      </c>
      <c r="Z113" s="131">
        <v>1.35</v>
      </c>
      <c r="AA113" s="131"/>
      <c r="AB113" s="131"/>
      <c r="AC113" s="131"/>
      <c r="AD113" s="131"/>
      <c r="AE113" s="131"/>
      <c r="AF113" s="131"/>
      <c r="AG113" s="131"/>
      <c r="AH113" s="131"/>
      <c r="AI113" s="131"/>
      <c r="AJ113" s="131"/>
      <c r="AK113" s="131"/>
      <c r="AL113" s="131"/>
      <c r="AM113" s="131"/>
      <c r="AN113" s="131"/>
      <c r="AO113" s="131"/>
      <c r="AP113" s="131"/>
      <c r="AQ113" s="131"/>
    </row>
    <row r="114" spans="1:43" x14ac:dyDescent="0.2">
      <c r="A114" s="131">
        <v>39</v>
      </c>
      <c r="B114" s="294" t="s">
        <v>474</v>
      </c>
      <c r="C114" s="131" t="s">
        <v>414</v>
      </c>
      <c r="D114" s="131">
        <v>15</v>
      </c>
      <c r="E114" s="295">
        <v>1010.68</v>
      </c>
      <c r="F114" s="296">
        <v>101.07</v>
      </c>
      <c r="G114" s="296"/>
      <c r="H114" s="131"/>
      <c r="I114" s="131" t="str">
        <f t="shared" si="3"/>
        <v>SPREAD - Risco (Cnt. 355/2017)</v>
      </c>
      <c r="J114" s="131">
        <f t="shared" si="4"/>
        <v>39</v>
      </c>
      <c r="K114" s="280"/>
      <c r="L114" s="280"/>
      <c r="M114" s="280"/>
      <c r="N114" s="280"/>
      <c r="O114" s="280"/>
      <c r="P114" s="280" t="s">
        <v>400</v>
      </c>
      <c r="Q114" s="280" t="s">
        <v>400</v>
      </c>
      <c r="R114" s="280" t="s">
        <v>400</v>
      </c>
      <c r="S114" s="280" t="s">
        <v>400</v>
      </c>
      <c r="T114" s="280" t="s">
        <v>400</v>
      </c>
      <c r="U114" s="280" t="s">
        <v>400</v>
      </c>
      <c r="V114" s="280"/>
      <c r="W114" s="280" t="s">
        <v>400</v>
      </c>
      <c r="X114" s="280"/>
      <c r="Y114" s="280">
        <v>3</v>
      </c>
      <c r="Z114" s="131">
        <v>1.35</v>
      </c>
      <c r="AA114" s="131"/>
      <c r="AB114" s="131"/>
      <c r="AC114" s="131"/>
      <c r="AD114" s="131"/>
      <c r="AE114" s="131"/>
      <c r="AF114" s="131"/>
      <c r="AG114" s="131"/>
      <c r="AH114" s="131"/>
      <c r="AI114" s="131"/>
      <c r="AJ114" s="131"/>
      <c r="AK114" s="131"/>
      <c r="AL114" s="131"/>
      <c r="AM114" s="131"/>
      <c r="AN114" s="131"/>
      <c r="AO114" s="131"/>
      <c r="AP114" s="131"/>
      <c r="AQ114" s="131"/>
    </row>
    <row r="115" spans="1:43" x14ac:dyDescent="0.2">
      <c r="A115" s="131">
        <v>40</v>
      </c>
      <c r="B115" s="294" t="s">
        <v>475</v>
      </c>
      <c r="C115" s="131" t="s">
        <v>476</v>
      </c>
      <c r="D115" s="131">
        <v>15</v>
      </c>
      <c r="E115" s="295">
        <v>1369.96</v>
      </c>
      <c r="F115" s="296">
        <v>136.99</v>
      </c>
      <c r="G115" s="296"/>
      <c r="H115" s="131"/>
      <c r="I115" s="131" t="str">
        <f t="shared" si="3"/>
        <v>SPREAD - Cartões de Débito (Cnt. 356/2017)</v>
      </c>
      <c r="J115" s="131">
        <f t="shared" si="4"/>
        <v>40</v>
      </c>
      <c r="K115" s="280"/>
      <c r="L115" s="280"/>
      <c r="M115" s="280"/>
      <c r="N115" s="280"/>
      <c r="O115" s="280"/>
      <c r="P115" s="280" t="s">
        <v>400</v>
      </c>
      <c r="Q115" s="280" t="s">
        <v>400</v>
      </c>
      <c r="R115" s="280" t="s">
        <v>400</v>
      </c>
      <c r="S115" s="280" t="s">
        <v>400</v>
      </c>
      <c r="T115" s="280" t="s">
        <v>400</v>
      </c>
      <c r="U115" s="280" t="s">
        <v>400</v>
      </c>
      <c r="V115" s="280"/>
      <c r="W115" s="280" t="s">
        <v>400</v>
      </c>
      <c r="X115" s="280"/>
      <c r="Y115" s="280">
        <v>3</v>
      </c>
      <c r="Z115" s="131">
        <v>1.35</v>
      </c>
      <c r="AA115" s="131"/>
      <c r="AB115" s="131"/>
      <c r="AC115" s="131"/>
      <c r="AD115" s="131"/>
      <c r="AE115" s="131"/>
      <c r="AF115" s="131"/>
      <c r="AG115" s="131"/>
      <c r="AH115" s="131"/>
      <c r="AI115" s="131"/>
      <c r="AJ115" s="131"/>
      <c r="AK115" s="131"/>
      <c r="AL115" s="131"/>
      <c r="AM115" s="131"/>
      <c r="AN115" s="131"/>
      <c r="AO115" s="131"/>
      <c r="AP115" s="131"/>
      <c r="AQ115" s="131"/>
    </row>
    <row r="116" spans="1:43" x14ac:dyDescent="0.2">
      <c r="A116" s="131">
        <v>41</v>
      </c>
      <c r="B116" s="294" t="s">
        <v>477</v>
      </c>
      <c r="C116" s="131" t="s">
        <v>478</v>
      </c>
      <c r="D116" s="131">
        <v>15</v>
      </c>
      <c r="E116" s="295">
        <v>756.68</v>
      </c>
      <c r="F116" s="296">
        <v>75.69</v>
      </c>
      <c r="G116" s="296"/>
      <c r="H116" s="131"/>
      <c r="I116" s="131" t="str">
        <f t="shared" si="3"/>
        <v>CPM/BRAXIS - Tecn.Móveis (Cnt. 9013/2016)</v>
      </c>
      <c r="J116" s="131">
        <f t="shared" si="4"/>
        <v>41</v>
      </c>
      <c r="K116" s="280"/>
      <c r="L116" s="280"/>
      <c r="M116" s="280"/>
      <c r="N116" s="280"/>
      <c r="O116" s="280"/>
      <c r="P116" s="280" t="s">
        <v>400</v>
      </c>
      <c r="Q116" s="280" t="s">
        <v>400</v>
      </c>
      <c r="R116" s="280" t="s">
        <v>400</v>
      </c>
      <c r="S116" s="280" t="s">
        <v>400</v>
      </c>
      <c r="T116" s="280" t="s">
        <v>400</v>
      </c>
      <c r="U116" s="280" t="s">
        <v>400</v>
      </c>
      <c r="V116" s="280"/>
      <c r="W116" s="280" t="s">
        <v>400</v>
      </c>
      <c r="X116" s="280"/>
      <c r="Y116" s="280">
        <v>3</v>
      </c>
      <c r="Z116" s="131">
        <v>1.35</v>
      </c>
      <c r="AA116" s="131"/>
      <c r="AB116" s="131"/>
      <c r="AC116" s="131"/>
      <c r="AD116" s="131"/>
      <c r="AE116" s="131"/>
      <c r="AF116" s="131"/>
      <c r="AG116" s="131"/>
      <c r="AH116" s="131"/>
      <c r="AI116" s="131"/>
      <c r="AJ116" s="131"/>
      <c r="AK116" s="131"/>
      <c r="AL116" s="131"/>
      <c r="AM116" s="131"/>
      <c r="AN116" s="131"/>
      <c r="AO116" s="131"/>
      <c r="AP116" s="131"/>
      <c r="AQ116" s="131"/>
    </row>
    <row r="117" spans="1:43" x14ac:dyDescent="0.2">
      <c r="A117" s="131">
        <v>42</v>
      </c>
      <c r="B117" s="294" t="s">
        <v>479</v>
      </c>
      <c r="C117" s="131" t="s">
        <v>480</v>
      </c>
      <c r="D117" s="131">
        <v>5</v>
      </c>
      <c r="E117" s="295">
        <v>979.25</v>
      </c>
      <c r="F117" s="296">
        <v>92.5</v>
      </c>
      <c r="G117" s="296"/>
      <c r="H117" s="131"/>
      <c r="I117" s="131" t="str">
        <f t="shared" si="3"/>
        <v>MAGNA - Barramento (Cnt.3483/2017)</v>
      </c>
      <c r="J117" s="131">
        <f t="shared" si="4"/>
        <v>42</v>
      </c>
      <c r="K117" s="280"/>
      <c r="L117" s="280"/>
      <c r="M117" s="280"/>
      <c r="N117" s="280"/>
      <c r="O117" s="280"/>
      <c r="P117" s="280" t="s">
        <v>400</v>
      </c>
      <c r="Q117" s="280" t="s">
        <v>400</v>
      </c>
      <c r="R117" s="280" t="s">
        <v>400</v>
      </c>
      <c r="S117" s="280" t="s">
        <v>400</v>
      </c>
      <c r="T117" s="280" t="s">
        <v>400</v>
      </c>
      <c r="U117" s="280" t="s">
        <v>400</v>
      </c>
      <c r="V117" s="280"/>
      <c r="W117" s="280" t="s">
        <v>400</v>
      </c>
      <c r="X117" s="280"/>
      <c r="Y117" s="280">
        <v>3</v>
      </c>
      <c r="Z117" s="131">
        <v>1.35</v>
      </c>
      <c r="AA117" s="131"/>
      <c r="AB117" s="131"/>
      <c r="AC117" s="131"/>
      <c r="AD117" s="131"/>
      <c r="AE117" s="131"/>
      <c r="AF117" s="131"/>
      <c r="AG117" s="131"/>
      <c r="AH117" s="131"/>
      <c r="AI117" s="131"/>
      <c r="AJ117" s="131"/>
      <c r="AK117" s="131"/>
      <c r="AL117" s="131"/>
      <c r="AM117" s="131"/>
      <c r="AN117" s="131"/>
      <c r="AO117" s="131"/>
      <c r="AP117" s="131"/>
      <c r="AQ117" s="131"/>
    </row>
    <row r="118" spans="1:43" x14ac:dyDescent="0.2">
      <c r="A118" s="131">
        <v>43</v>
      </c>
      <c r="B118" s="294" t="s">
        <v>481</v>
      </c>
      <c r="C118" s="131" t="s">
        <v>482</v>
      </c>
      <c r="D118" s="131">
        <v>15</v>
      </c>
      <c r="E118" s="295">
        <v>0</v>
      </c>
      <c r="F118" s="296">
        <v>0</v>
      </c>
      <c r="G118" s="296"/>
      <c r="H118" s="131"/>
      <c r="I118" s="131" t="str">
        <f t="shared" si="3"/>
        <v>BRQ - Ágil (Cnt. 14.132/2017</v>
      </c>
      <c r="J118" s="131">
        <f t="shared" si="4"/>
        <v>43</v>
      </c>
      <c r="K118" s="280"/>
      <c r="L118" s="280"/>
      <c r="M118" s="280"/>
      <c r="N118" s="280"/>
      <c r="O118" s="280"/>
      <c r="P118" s="280" t="s">
        <v>400</v>
      </c>
      <c r="Q118" s="280" t="s">
        <v>400</v>
      </c>
      <c r="R118" s="280" t="s">
        <v>400</v>
      </c>
      <c r="S118" s="280" t="s">
        <v>400</v>
      </c>
      <c r="T118" s="280" t="s">
        <v>400</v>
      </c>
      <c r="U118" s="280" t="s">
        <v>400</v>
      </c>
      <c r="V118" s="280"/>
      <c r="W118" s="280" t="s">
        <v>400</v>
      </c>
      <c r="X118" s="280"/>
      <c r="Y118" s="280">
        <v>1</v>
      </c>
      <c r="Z118" s="131">
        <v>1.35</v>
      </c>
      <c r="AA118" s="131"/>
      <c r="AB118" s="131"/>
      <c r="AC118" s="131"/>
      <c r="AD118" s="131"/>
      <c r="AE118" s="131"/>
      <c r="AF118" s="131"/>
      <c r="AG118" s="131"/>
      <c r="AH118" s="131"/>
      <c r="AI118" s="131"/>
      <c r="AJ118" s="131"/>
      <c r="AK118" s="131"/>
      <c r="AL118" s="131"/>
      <c r="AM118" s="131"/>
      <c r="AN118" s="131"/>
      <c r="AO118" s="131"/>
      <c r="AP118" s="131"/>
      <c r="AQ118" s="131"/>
    </row>
    <row r="119" spans="1:43" x14ac:dyDescent="0.2">
      <c r="A119" s="131">
        <v>44</v>
      </c>
      <c r="B119" s="294" t="s">
        <v>483</v>
      </c>
      <c r="C119" s="131" t="s">
        <v>420</v>
      </c>
      <c r="D119" s="131">
        <v>15</v>
      </c>
      <c r="E119" s="295">
        <v>995.08</v>
      </c>
      <c r="F119" s="296">
        <v>99.5</v>
      </c>
      <c r="G119" s="296"/>
      <c r="H119" s="131"/>
      <c r="I119" s="131" t="str">
        <f t="shared" si="3"/>
        <v>CAST - Administrativo/Cadastro (Cnt. 11.258/2017)</v>
      </c>
      <c r="J119" s="131">
        <f t="shared" si="4"/>
        <v>44</v>
      </c>
      <c r="K119" s="280"/>
      <c r="L119" s="280"/>
      <c r="M119" s="280"/>
      <c r="N119" s="280"/>
      <c r="O119" s="280"/>
      <c r="P119" s="280" t="s">
        <v>400</v>
      </c>
      <c r="Q119" s="280" t="s">
        <v>400</v>
      </c>
      <c r="R119" s="280" t="s">
        <v>400</v>
      </c>
      <c r="S119" s="280" t="s">
        <v>400</v>
      </c>
      <c r="T119" s="280" t="s">
        <v>400</v>
      </c>
      <c r="U119" s="280" t="s">
        <v>400</v>
      </c>
      <c r="V119" s="280"/>
      <c r="W119" s="280" t="s">
        <v>400</v>
      </c>
      <c r="X119" s="280"/>
      <c r="Y119" s="280">
        <v>3</v>
      </c>
      <c r="Z119" s="131">
        <v>1.35</v>
      </c>
      <c r="AA119" s="131"/>
      <c r="AB119" s="131"/>
      <c r="AC119" s="131"/>
      <c r="AD119" s="131"/>
      <c r="AE119" s="131"/>
      <c r="AF119" s="131"/>
      <c r="AG119" s="131"/>
      <c r="AH119" s="131"/>
      <c r="AI119" s="131"/>
      <c r="AJ119" s="131"/>
      <c r="AK119" s="131"/>
      <c r="AL119" s="131"/>
      <c r="AM119" s="131"/>
      <c r="AN119" s="131"/>
      <c r="AO119" s="131"/>
      <c r="AP119" s="131"/>
      <c r="AQ119" s="131"/>
    </row>
    <row r="120" spans="1:43" x14ac:dyDescent="0.2">
      <c r="A120" s="131">
        <v>45</v>
      </c>
      <c r="B120" s="294" t="s">
        <v>484</v>
      </c>
      <c r="C120" s="131" t="s">
        <v>485</v>
      </c>
      <c r="D120" s="131">
        <v>15</v>
      </c>
      <c r="E120" s="295">
        <v>887.37</v>
      </c>
      <c r="F120" s="296">
        <v>88.64</v>
      </c>
      <c r="G120" s="296"/>
      <c r="H120" s="131"/>
      <c r="I120" s="131" t="str">
        <f t="shared" si="3"/>
        <v>RESOURCE - Programas Sociais (Cnt. 11.410/2017)</v>
      </c>
      <c r="J120" s="131">
        <f t="shared" si="4"/>
        <v>45</v>
      </c>
      <c r="K120" s="280"/>
      <c r="L120" s="280"/>
      <c r="M120" s="280"/>
      <c r="N120" s="280"/>
      <c r="O120" s="280"/>
      <c r="P120" s="280" t="s">
        <v>400</v>
      </c>
      <c r="Q120" s="280" t="s">
        <v>400</v>
      </c>
      <c r="R120" s="280" t="s">
        <v>400</v>
      </c>
      <c r="S120" s="280" t="s">
        <v>400</v>
      </c>
      <c r="T120" s="280" t="s">
        <v>400</v>
      </c>
      <c r="U120" s="280" t="s">
        <v>400</v>
      </c>
      <c r="V120" s="280"/>
      <c r="W120" s="280" t="s">
        <v>400</v>
      </c>
      <c r="X120" s="280"/>
      <c r="Y120" s="280">
        <v>3</v>
      </c>
      <c r="Z120" s="131">
        <v>1.35</v>
      </c>
      <c r="AA120" s="131"/>
      <c r="AB120" s="131"/>
      <c r="AC120" s="131"/>
      <c r="AD120" s="131"/>
      <c r="AE120" s="131"/>
      <c r="AF120" s="131"/>
      <c r="AG120" s="131"/>
      <c r="AH120" s="131"/>
      <c r="AI120" s="131"/>
      <c r="AJ120" s="131"/>
      <c r="AK120" s="131"/>
      <c r="AL120" s="131"/>
      <c r="AM120" s="131"/>
      <c r="AN120" s="131"/>
      <c r="AO120" s="131"/>
      <c r="AP120" s="131"/>
      <c r="AQ120" s="131"/>
    </row>
    <row r="121" spans="1:43" x14ac:dyDescent="0.2">
      <c r="A121" s="131">
        <v>46</v>
      </c>
      <c r="B121" s="294" t="s">
        <v>486</v>
      </c>
      <c r="C121" s="131" t="s">
        <v>424</v>
      </c>
      <c r="D121" s="131">
        <v>15</v>
      </c>
      <c r="E121" s="295">
        <v>1171.03</v>
      </c>
      <c r="F121" s="296">
        <v>117.09</v>
      </c>
      <c r="G121" s="296"/>
      <c r="H121" s="131"/>
      <c r="I121" s="131" t="str">
        <f t="shared" si="3"/>
        <v>TTY - Fundos e Seguros (Cnt. 11.409/2017)</v>
      </c>
      <c r="J121" s="131">
        <f t="shared" si="4"/>
        <v>46</v>
      </c>
      <c r="K121" s="280"/>
      <c r="L121" s="280"/>
      <c r="M121" s="280"/>
      <c r="N121" s="280"/>
      <c r="O121" s="280"/>
      <c r="P121" s="280" t="s">
        <v>400</v>
      </c>
      <c r="Q121" s="280" t="s">
        <v>400</v>
      </c>
      <c r="R121" s="280" t="s">
        <v>400</v>
      </c>
      <c r="S121" s="280" t="s">
        <v>400</v>
      </c>
      <c r="T121" s="280" t="s">
        <v>400</v>
      </c>
      <c r="U121" s="280" t="s">
        <v>400</v>
      </c>
      <c r="V121" s="280"/>
      <c r="W121" s="280" t="s">
        <v>400</v>
      </c>
      <c r="X121" s="280"/>
      <c r="Y121" s="280">
        <v>3</v>
      </c>
      <c r="Z121" s="131">
        <v>1</v>
      </c>
      <c r="AA121" s="131"/>
      <c r="AB121" s="131"/>
      <c r="AC121" s="131"/>
      <c r="AD121" s="131"/>
      <c r="AE121" s="131"/>
      <c r="AF121" s="131"/>
      <c r="AG121" s="131"/>
      <c r="AH121" s="131"/>
      <c r="AI121" s="131"/>
      <c r="AJ121" s="131"/>
      <c r="AK121" s="131"/>
      <c r="AL121" s="131"/>
      <c r="AM121" s="131"/>
      <c r="AN121" s="131"/>
      <c r="AO121" s="131"/>
      <c r="AP121" s="131"/>
      <c r="AQ121" s="131"/>
    </row>
    <row r="122" spans="1:43" x14ac:dyDescent="0.2">
      <c r="A122" s="131">
        <v>47</v>
      </c>
      <c r="B122" s="294" t="s">
        <v>487</v>
      </c>
      <c r="C122" s="131" t="s">
        <v>488</v>
      </c>
      <c r="D122" s="131"/>
      <c r="E122" s="295">
        <v>508.76</v>
      </c>
      <c r="F122" s="296">
        <v>0</v>
      </c>
      <c r="G122" s="131">
        <v>0</v>
      </c>
      <c r="H122" s="131"/>
      <c r="I122" s="131" t="str">
        <f t="shared" si="3"/>
        <v>UNISYS - PeDes BH (Cnt. 1200/2013)</v>
      </c>
      <c r="J122" s="131">
        <f t="shared" si="4"/>
        <v>47</v>
      </c>
      <c r="K122" s="280"/>
      <c r="L122" s="280"/>
      <c r="M122" s="280"/>
      <c r="N122" s="280"/>
      <c r="O122" s="280"/>
      <c r="P122" s="280"/>
      <c r="Q122" s="280"/>
      <c r="R122" s="280"/>
      <c r="S122" s="280"/>
      <c r="T122" s="280"/>
      <c r="U122" s="280"/>
      <c r="V122" s="280"/>
      <c r="W122" s="280"/>
      <c r="X122" s="280"/>
      <c r="Y122" s="280">
        <v>2</v>
      </c>
      <c r="Z122" s="131">
        <v>1</v>
      </c>
      <c r="AA122" s="131"/>
      <c r="AB122" s="131"/>
      <c r="AC122" s="131"/>
      <c r="AD122" s="131"/>
      <c r="AE122" s="131"/>
      <c r="AF122" s="131"/>
      <c r="AG122" s="131"/>
      <c r="AH122" s="131"/>
      <c r="AI122" s="131"/>
      <c r="AJ122" s="131"/>
      <c r="AK122" s="131"/>
      <c r="AL122" s="131"/>
      <c r="AM122" s="131"/>
      <c r="AN122" s="131"/>
      <c r="AO122" s="131"/>
      <c r="AP122" s="131"/>
      <c r="AQ122" s="131"/>
    </row>
    <row r="123" spans="1:43" x14ac:dyDescent="0.2">
      <c r="A123" s="131">
        <v>48</v>
      </c>
      <c r="B123" s="294" t="s">
        <v>489</v>
      </c>
      <c r="C123" s="131" t="s">
        <v>490</v>
      </c>
      <c r="D123" s="131">
        <v>10.8</v>
      </c>
      <c r="E123" s="295">
        <v>517.30999999999995</v>
      </c>
      <c r="F123" s="296">
        <v>0</v>
      </c>
      <c r="G123" s="131">
        <v>0</v>
      </c>
      <c r="H123" s="131"/>
      <c r="I123" s="131" t="str">
        <f t="shared" si="3"/>
        <v>HITSS - PeDes DF-PE (Cnt. 1529/2017)</v>
      </c>
      <c r="J123" s="131">
        <f t="shared" si="4"/>
        <v>48</v>
      </c>
      <c r="K123" s="280"/>
      <c r="L123" s="280"/>
      <c r="M123" s="280"/>
      <c r="N123" s="280"/>
      <c r="O123" s="280"/>
      <c r="P123" s="280" t="s">
        <v>400</v>
      </c>
      <c r="Q123" s="280" t="s">
        <v>400</v>
      </c>
      <c r="R123" s="280" t="s">
        <v>400</v>
      </c>
      <c r="S123" s="280" t="s">
        <v>400</v>
      </c>
      <c r="T123" s="280" t="s">
        <v>400</v>
      </c>
      <c r="U123" s="280" t="s">
        <v>400</v>
      </c>
      <c r="V123" s="280"/>
      <c r="W123" s="280" t="s">
        <v>400</v>
      </c>
      <c r="X123" s="280"/>
      <c r="Y123" s="280">
        <v>1</v>
      </c>
      <c r="Z123" s="131">
        <v>1.35</v>
      </c>
      <c r="AA123" s="131"/>
      <c r="AB123" s="131"/>
      <c r="AC123" s="131"/>
      <c r="AD123" s="131"/>
      <c r="AE123" s="131"/>
      <c r="AF123" s="131"/>
      <c r="AG123" s="131"/>
      <c r="AH123" s="131"/>
      <c r="AI123" s="131"/>
      <c r="AJ123" s="131"/>
      <c r="AK123" s="131"/>
      <c r="AL123" s="131"/>
      <c r="AM123" s="131"/>
      <c r="AN123" s="131"/>
      <c r="AO123" s="131"/>
      <c r="AP123" s="131"/>
      <c r="AQ123" s="131"/>
    </row>
    <row r="124" spans="1:43" x14ac:dyDescent="0.2">
      <c r="A124" s="131">
        <v>49</v>
      </c>
      <c r="B124" s="294" t="s">
        <v>491</v>
      </c>
      <c r="C124" s="131" t="s">
        <v>492</v>
      </c>
      <c r="D124" s="131"/>
      <c r="E124" s="295">
        <v>593.29</v>
      </c>
      <c r="F124" s="296">
        <v>0</v>
      </c>
      <c r="G124" s="131">
        <v>0</v>
      </c>
      <c r="H124" s="131"/>
      <c r="I124" s="131" t="str">
        <f t="shared" si="3"/>
        <v>SPASSU - PeDes PR (Cnt. 3563/2013)</v>
      </c>
      <c r="J124" s="131">
        <f t="shared" si="4"/>
        <v>49</v>
      </c>
      <c r="K124" s="280"/>
      <c r="L124" s="280"/>
      <c r="M124" s="280"/>
      <c r="N124" s="280"/>
      <c r="O124" s="280"/>
      <c r="P124" s="280"/>
      <c r="Q124" s="280"/>
      <c r="R124" s="280"/>
      <c r="S124" s="280"/>
      <c r="T124" s="280"/>
      <c r="U124" s="280"/>
      <c r="V124" s="280"/>
      <c r="W124" s="280"/>
      <c r="X124" s="280"/>
      <c r="Y124" s="280">
        <v>2</v>
      </c>
      <c r="Z124" s="131">
        <v>1</v>
      </c>
      <c r="AA124" s="131"/>
      <c r="AB124" s="131"/>
      <c r="AC124" s="131"/>
      <c r="AD124" s="131"/>
      <c r="AE124" s="131"/>
      <c r="AF124" s="131"/>
      <c r="AG124" s="131"/>
      <c r="AH124" s="131"/>
      <c r="AI124" s="131"/>
      <c r="AJ124" s="131"/>
      <c r="AK124" s="131"/>
      <c r="AL124" s="131"/>
      <c r="AM124" s="131"/>
      <c r="AN124" s="131"/>
      <c r="AO124" s="131"/>
      <c r="AP124" s="131"/>
      <c r="AQ124" s="131"/>
    </row>
    <row r="125" spans="1:43" x14ac:dyDescent="0.2">
      <c r="A125" s="131">
        <v>50</v>
      </c>
      <c r="B125" s="294" t="s">
        <v>493</v>
      </c>
      <c r="C125" s="131" t="s">
        <v>494</v>
      </c>
      <c r="D125" s="131"/>
      <c r="E125" s="295">
        <v>644.12</v>
      </c>
      <c r="F125" s="296">
        <v>0</v>
      </c>
      <c r="G125" s="131">
        <v>0</v>
      </c>
      <c r="H125" s="131"/>
      <c r="I125" s="131" t="str">
        <f t="shared" si="3"/>
        <v>TOBRASIL - PeDes GO (Cnt. 5032/2014)</v>
      </c>
      <c r="J125" s="131">
        <f t="shared" si="4"/>
        <v>50</v>
      </c>
      <c r="K125" s="280"/>
      <c r="L125" s="280"/>
      <c r="M125" s="280"/>
      <c r="N125" s="280"/>
      <c r="O125" s="280"/>
      <c r="P125" s="280"/>
      <c r="Q125" s="280"/>
      <c r="R125" s="280"/>
      <c r="S125" s="280"/>
      <c r="T125" s="280"/>
      <c r="U125" s="280"/>
      <c r="V125" s="280"/>
      <c r="W125" s="280"/>
      <c r="X125" s="280"/>
      <c r="Y125" s="280">
        <v>2</v>
      </c>
      <c r="Z125" s="131">
        <v>1</v>
      </c>
      <c r="AA125" s="131"/>
      <c r="AB125" s="131"/>
      <c r="AC125" s="131"/>
      <c r="AD125" s="131"/>
      <c r="AE125" s="131"/>
      <c r="AF125" s="131"/>
      <c r="AG125" s="131"/>
      <c r="AH125" s="131"/>
      <c r="AI125" s="131"/>
      <c r="AJ125" s="131"/>
      <c r="AK125" s="131"/>
      <c r="AL125" s="131"/>
      <c r="AM125" s="131"/>
      <c r="AN125" s="131"/>
      <c r="AO125" s="131"/>
      <c r="AP125" s="131"/>
      <c r="AQ125" s="131"/>
    </row>
    <row r="126" spans="1:43" x14ac:dyDescent="0.2">
      <c r="A126" s="131">
        <v>51</v>
      </c>
      <c r="B126" s="294" t="s">
        <v>495</v>
      </c>
      <c r="C126" s="131" t="s">
        <v>496</v>
      </c>
      <c r="D126" s="131">
        <v>10.8</v>
      </c>
      <c r="E126" s="295">
        <v>620.54999999999995</v>
      </c>
      <c r="F126" s="296">
        <v>0</v>
      </c>
      <c r="G126" s="131">
        <v>0</v>
      </c>
      <c r="H126" s="131"/>
      <c r="I126" s="131" t="str">
        <f t="shared" si="3"/>
        <v>STEFANINI - PeDes CE (Cnt. 7910/2016)</v>
      </c>
      <c r="J126" s="131">
        <f t="shared" si="4"/>
        <v>51</v>
      </c>
      <c r="K126" s="280"/>
      <c r="L126" s="280"/>
      <c r="M126" s="280"/>
      <c r="N126" s="280"/>
      <c r="O126" s="280"/>
      <c r="P126" s="280" t="s">
        <v>400</v>
      </c>
      <c r="Q126" s="280" t="s">
        <v>400</v>
      </c>
      <c r="R126" s="280" t="s">
        <v>400</v>
      </c>
      <c r="S126" s="280" t="s">
        <v>400</v>
      </c>
      <c r="T126" s="280" t="s">
        <v>400</v>
      </c>
      <c r="U126" s="280" t="s">
        <v>400</v>
      </c>
      <c r="V126" s="280"/>
      <c r="W126" s="280" t="s">
        <v>400</v>
      </c>
      <c r="X126" s="280"/>
      <c r="Y126" s="280">
        <v>1</v>
      </c>
      <c r="Z126" s="131">
        <v>1.35</v>
      </c>
      <c r="AA126" s="131"/>
      <c r="AB126" s="131"/>
      <c r="AC126" s="131"/>
      <c r="AD126" s="131"/>
      <c r="AE126" s="131"/>
      <c r="AF126" s="131"/>
      <c r="AG126" s="131"/>
      <c r="AH126" s="131"/>
      <c r="AI126" s="131"/>
      <c r="AJ126" s="131"/>
      <c r="AK126" s="131"/>
      <c r="AL126" s="131"/>
      <c r="AM126" s="131"/>
      <c r="AN126" s="131"/>
      <c r="AO126" s="131"/>
      <c r="AP126" s="131"/>
      <c r="AQ126" s="131"/>
    </row>
    <row r="127" spans="1:43" x14ac:dyDescent="0.2">
      <c r="A127" s="131">
        <v>52</v>
      </c>
      <c r="B127" s="294" t="s">
        <v>497</v>
      </c>
      <c r="C127" s="131" t="s">
        <v>498</v>
      </c>
      <c r="D127" s="131">
        <v>10.8</v>
      </c>
      <c r="E127" s="295">
        <v>495</v>
      </c>
      <c r="F127" s="296">
        <v>0</v>
      </c>
      <c r="G127" s="131">
        <v>0</v>
      </c>
      <c r="H127" s="131"/>
      <c r="I127" s="131" t="str">
        <f t="shared" si="3"/>
        <v>DATAINFO - PeDes BA (Cnt. 9471/2017)</v>
      </c>
      <c r="J127" s="131">
        <f t="shared" si="4"/>
        <v>52</v>
      </c>
      <c r="K127" s="280"/>
      <c r="L127" s="280"/>
      <c r="M127" s="280"/>
      <c r="N127" s="280"/>
      <c r="O127" s="280"/>
      <c r="P127" s="280" t="s">
        <v>400</v>
      </c>
      <c r="Q127" s="280" t="s">
        <v>400</v>
      </c>
      <c r="R127" s="280" t="s">
        <v>400</v>
      </c>
      <c r="S127" s="280" t="s">
        <v>400</v>
      </c>
      <c r="T127" s="280" t="s">
        <v>400</v>
      </c>
      <c r="U127" s="280" t="s">
        <v>400</v>
      </c>
      <c r="V127" s="280"/>
      <c r="W127" s="280" t="s">
        <v>400</v>
      </c>
      <c r="X127" s="280"/>
      <c r="Y127" s="280">
        <v>1</v>
      </c>
      <c r="Z127" s="131">
        <v>1.35</v>
      </c>
      <c r="AA127" s="131"/>
      <c r="AB127" s="131"/>
      <c r="AC127" s="131"/>
      <c r="AD127" s="131"/>
      <c r="AE127" s="131"/>
      <c r="AF127" s="131"/>
      <c r="AG127" s="131"/>
      <c r="AH127" s="131"/>
      <c r="AI127" s="131"/>
      <c r="AJ127" s="131"/>
      <c r="AK127" s="131"/>
      <c r="AL127" s="131"/>
      <c r="AM127" s="131"/>
      <c r="AN127" s="131"/>
      <c r="AO127" s="131"/>
      <c r="AP127" s="131"/>
      <c r="AQ127" s="131"/>
    </row>
    <row r="128" spans="1:43" x14ac:dyDescent="0.2">
      <c r="A128" s="131">
        <v>53</v>
      </c>
      <c r="B128" s="294" t="s">
        <v>499</v>
      </c>
      <c r="C128" s="131" t="s">
        <v>500</v>
      </c>
      <c r="D128" s="131">
        <v>10.8</v>
      </c>
      <c r="E128" s="295">
        <v>512.78</v>
      </c>
      <c r="F128" s="296">
        <v>0</v>
      </c>
      <c r="G128" s="131">
        <v>0</v>
      </c>
      <c r="H128" s="131"/>
      <c r="I128" s="131" t="str">
        <f t="shared" si="3"/>
        <v>DATAINFO - PeDes SC (Cnt. 3934/2016)</v>
      </c>
      <c r="J128" s="131">
        <f t="shared" si="4"/>
        <v>53</v>
      </c>
      <c r="K128" s="280"/>
      <c r="L128" s="280"/>
      <c r="M128" s="280"/>
      <c r="N128" s="280"/>
      <c r="O128" s="280"/>
      <c r="P128" s="280" t="s">
        <v>400</v>
      </c>
      <c r="Q128" s="280" t="s">
        <v>400</v>
      </c>
      <c r="R128" s="280" t="s">
        <v>400</v>
      </c>
      <c r="S128" s="280" t="s">
        <v>400</v>
      </c>
      <c r="T128" s="280" t="s">
        <v>400</v>
      </c>
      <c r="U128" s="280" t="s">
        <v>400</v>
      </c>
      <c r="V128" s="280"/>
      <c r="W128" s="280" t="s">
        <v>400</v>
      </c>
      <c r="X128" s="280"/>
      <c r="Y128" s="280">
        <v>1</v>
      </c>
      <c r="Z128" s="131">
        <v>1.35</v>
      </c>
      <c r="AA128" s="131"/>
      <c r="AB128" s="131"/>
      <c r="AC128" s="131"/>
      <c r="AD128" s="131"/>
      <c r="AE128" s="131"/>
      <c r="AF128" s="131"/>
      <c r="AG128" s="131"/>
      <c r="AH128" s="131"/>
      <c r="AI128" s="131"/>
      <c r="AJ128" s="131"/>
      <c r="AK128" s="131"/>
      <c r="AL128" s="131"/>
      <c r="AM128" s="131"/>
      <c r="AN128" s="131"/>
      <c r="AO128" s="131"/>
      <c r="AP128" s="131"/>
      <c r="AQ128" s="131"/>
    </row>
    <row r="129" spans="1:43" x14ac:dyDescent="0.2">
      <c r="A129" s="131">
        <v>54</v>
      </c>
      <c r="B129" s="294" t="s">
        <v>501</v>
      </c>
      <c r="C129" s="131" t="s">
        <v>502</v>
      </c>
      <c r="D129" s="131">
        <v>15</v>
      </c>
      <c r="E129" s="295">
        <v>0</v>
      </c>
      <c r="F129" s="296">
        <v>0</v>
      </c>
      <c r="G129" s="131">
        <v>0</v>
      </c>
      <c r="H129" s="131"/>
      <c r="I129" s="131" t="str">
        <f t="shared" si="3"/>
        <v>GLOBALWEB - FGTS (Cnt. 14225/2017)</v>
      </c>
      <c r="J129" s="131">
        <f t="shared" si="4"/>
        <v>54</v>
      </c>
      <c r="K129" s="280"/>
      <c r="L129" s="280"/>
      <c r="M129" s="280"/>
      <c r="N129" s="280"/>
      <c r="O129" s="280"/>
      <c r="P129" s="280" t="s">
        <v>400</v>
      </c>
      <c r="Q129" s="280" t="s">
        <v>400</v>
      </c>
      <c r="R129" s="280" t="s">
        <v>400</v>
      </c>
      <c r="S129" s="280" t="s">
        <v>400</v>
      </c>
      <c r="T129" s="280" t="s">
        <v>400</v>
      </c>
      <c r="U129" s="280" t="s">
        <v>400</v>
      </c>
      <c r="V129" s="280"/>
      <c r="W129" s="280" t="s">
        <v>400</v>
      </c>
      <c r="X129" s="280"/>
      <c r="Y129" s="280">
        <v>1</v>
      </c>
      <c r="Z129" s="131">
        <v>1.35</v>
      </c>
      <c r="AA129" s="131"/>
      <c r="AB129" s="131"/>
      <c r="AC129" s="131"/>
      <c r="AD129" s="131"/>
      <c r="AE129" s="131"/>
      <c r="AF129" s="131"/>
      <c r="AG129" s="131"/>
      <c r="AH129" s="131"/>
      <c r="AI129" s="131"/>
      <c r="AJ129" s="131"/>
      <c r="AK129" s="131"/>
      <c r="AL129" s="131"/>
      <c r="AM129" s="131"/>
      <c r="AN129" s="131"/>
      <c r="AO129" s="131"/>
      <c r="AP129" s="131"/>
      <c r="AQ129" s="131"/>
    </row>
    <row r="130" spans="1:43" x14ac:dyDescent="0.2">
      <c r="A130" s="131">
        <v>55</v>
      </c>
      <c r="B130" s="294" t="s">
        <v>503</v>
      </c>
      <c r="C130" s="131" t="s">
        <v>504</v>
      </c>
      <c r="D130" s="131">
        <v>15</v>
      </c>
      <c r="E130" s="295">
        <v>857.84</v>
      </c>
      <c r="F130" s="296">
        <v>85.69</v>
      </c>
      <c r="G130" s="131">
        <v>0</v>
      </c>
      <c r="H130" s="131"/>
      <c r="I130" s="131" t="str">
        <f t="shared" si="3"/>
        <v>GLOBALWEB - Fomento (Cnt. 6548/2018)</v>
      </c>
      <c r="J130" s="131">
        <f t="shared" si="4"/>
        <v>55</v>
      </c>
      <c r="K130" s="280"/>
      <c r="L130" s="280"/>
      <c r="M130" s="280"/>
      <c r="N130" s="280"/>
      <c r="O130" s="280"/>
      <c r="P130" s="280" t="s">
        <v>400</v>
      </c>
      <c r="Q130" s="280" t="s">
        <v>400</v>
      </c>
      <c r="R130" s="280" t="s">
        <v>400</v>
      </c>
      <c r="S130" s="280" t="s">
        <v>400</v>
      </c>
      <c r="T130" s="280" t="s">
        <v>400</v>
      </c>
      <c r="U130" s="280" t="s">
        <v>400</v>
      </c>
      <c r="V130" s="280"/>
      <c r="W130" s="280" t="s">
        <v>400</v>
      </c>
      <c r="X130" s="280"/>
      <c r="Y130" s="280">
        <v>3</v>
      </c>
      <c r="Z130" s="131">
        <v>1.35</v>
      </c>
      <c r="AA130" s="131"/>
      <c r="AB130" s="131"/>
      <c r="AC130" s="131"/>
      <c r="AD130" s="131"/>
      <c r="AE130" s="131"/>
      <c r="AF130" s="131"/>
      <c r="AG130" s="131"/>
      <c r="AH130" s="131"/>
      <c r="AI130" s="131"/>
      <c r="AJ130" s="131"/>
      <c r="AK130" s="131"/>
      <c r="AL130" s="131"/>
      <c r="AM130" s="131"/>
      <c r="AN130" s="131"/>
      <c r="AO130" s="131"/>
      <c r="AP130" s="131"/>
      <c r="AQ130" s="131"/>
    </row>
    <row r="131" spans="1:43" x14ac:dyDescent="0.2">
      <c r="A131" s="131">
        <v>56</v>
      </c>
      <c r="B131" s="294" t="s">
        <v>505</v>
      </c>
      <c r="C131" s="131" t="s">
        <v>506</v>
      </c>
      <c r="D131" s="131">
        <v>15</v>
      </c>
      <c r="E131" s="295">
        <v>924.2</v>
      </c>
      <c r="F131" s="296">
        <v>92.35</v>
      </c>
      <c r="G131" s="131">
        <v>0</v>
      </c>
      <c r="H131" s="131"/>
      <c r="I131" s="131" t="str">
        <f t="shared" si="3"/>
        <v>STEFANINI - Canais (Cnt. 5606/2018)</v>
      </c>
      <c r="J131" s="131">
        <f t="shared" si="4"/>
        <v>56</v>
      </c>
      <c r="K131" s="280"/>
      <c r="L131" s="280"/>
      <c r="M131" s="280"/>
      <c r="N131" s="280"/>
      <c r="O131" s="280"/>
      <c r="P131" s="280" t="s">
        <v>400</v>
      </c>
      <c r="Q131" s="280" t="s">
        <v>400</v>
      </c>
      <c r="R131" s="280" t="s">
        <v>400</v>
      </c>
      <c r="S131" s="280" t="s">
        <v>400</v>
      </c>
      <c r="T131" s="280" t="s">
        <v>400</v>
      </c>
      <c r="U131" s="280" t="s">
        <v>400</v>
      </c>
      <c r="V131" s="280"/>
      <c r="W131" s="280" t="s">
        <v>400</v>
      </c>
      <c r="X131" s="280"/>
      <c r="Y131" s="280">
        <v>3</v>
      </c>
      <c r="Z131" s="131">
        <v>1.35</v>
      </c>
      <c r="AA131" s="131"/>
      <c r="AB131" s="131"/>
      <c r="AC131" s="131"/>
      <c r="AD131" s="131"/>
      <c r="AE131" s="131"/>
      <c r="AF131" s="131"/>
      <c r="AG131" s="131"/>
      <c r="AH131" s="131"/>
      <c r="AI131" s="131"/>
      <c r="AJ131" s="131"/>
      <c r="AK131" s="131"/>
      <c r="AL131" s="131"/>
      <c r="AM131" s="131"/>
      <c r="AN131" s="131"/>
      <c r="AO131" s="131"/>
      <c r="AP131" s="131"/>
      <c r="AQ131" s="131"/>
    </row>
    <row r="132" spans="1:43" x14ac:dyDescent="0.2">
      <c r="A132" s="131">
        <v>57</v>
      </c>
      <c r="B132" s="294" t="s">
        <v>507</v>
      </c>
      <c r="C132" s="131" t="s">
        <v>508</v>
      </c>
      <c r="D132" s="131">
        <v>15</v>
      </c>
      <c r="E132" s="295">
        <v>888.98</v>
      </c>
      <c r="F132" s="296">
        <v>88.68</v>
      </c>
      <c r="G132" s="131">
        <v>0</v>
      </c>
      <c r="H132" s="131"/>
      <c r="I132" s="131" t="str">
        <f t="shared" si="3"/>
        <v>GLOBALWEB - Serv. Bancários (Cnt. 6658/2018)</v>
      </c>
      <c r="J132" s="131">
        <f t="shared" si="4"/>
        <v>57</v>
      </c>
      <c r="K132" s="280"/>
      <c r="L132" s="280"/>
      <c r="M132" s="280"/>
      <c r="N132" s="280"/>
      <c r="O132" s="280"/>
      <c r="P132" s="280" t="s">
        <v>400</v>
      </c>
      <c r="Q132" s="280" t="s">
        <v>400</v>
      </c>
      <c r="R132" s="280" t="s">
        <v>400</v>
      </c>
      <c r="S132" s="280" t="s">
        <v>400</v>
      </c>
      <c r="T132" s="280" t="s">
        <v>400</v>
      </c>
      <c r="U132" s="280" t="s">
        <v>400</v>
      </c>
      <c r="V132" s="280"/>
      <c r="W132" s="280" t="s">
        <v>400</v>
      </c>
      <c r="X132" s="280"/>
      <c r="Y132" s="280">
        <v>3</v>
      </c>
      <c r="Z132" s="131">
        <v>1.35</v>
      </c>
      <c r="AA132" s="131"/>
      <c r="AB132" s="131"/>
      <c r="AC132" s="131"/>
      <c r="AD132" s="131"/>
      <c r="AE132" s="131"/>
      <c r="AF132" s="131"/>
      <c r="AG132" s="131"/>
      <c r="AH132" s="131"/>
      <c r="AI132" s="131"/>
      <c r="AJ132" s="131"/>
      <c r="AK132" s="131"/>
      <c r="AL132" s="131"/>
      <c r="AM132" s="131"/>
      <c r="AN132" s="131"/>
      <c r="AO132" s="131"/>
      <c r="AP132" s="131"/>
      <c r="AQ132" s="131"/>
    </row>
    <row r="133" spans="1:43" x14ac:dyDescent="0.2">
      <c r="A133" s="131">
        <v>58</v>
      </c>
      <c r="B133" s="294" t="s">
        <v>509</v>
      </c>
      <c r="C133" s="131" t="s">
        <v>510</v>
      </c>
      <c r="D133" s="131">
        <v>0</v>
      </c>
      <c r="E133" s="295">
        <v>0</v>
      </c>
      <c r="F133" s="296">
        <v>0</v>
      </c>
      <c r="G133" s="131">
        <v>0</v>
      </c>
      <c r="H133" s="131"/>
      <c r="I133" s="131" t="str">
        <f t="shared" si="3"/>
        <v>STEFANINI - Internet Banking (Cnt. 2812/2018)</v>
      </c>
      <c r="J133" s="131">
        <f t="shared" si="4"/>
        <v>58</v>
      </c>
      <c r="K133" s="280"/>
      <c r="L133" s="280"/>
      <c r="M133" s="280"/>
      <c r="N133" s="280"/>
      <c r="O133" s="280"/>
      <c r="P133" s="280" t="s">
        <v>400</v>
      </c>
      <c r="Q133" s="280" t="s">
        <v>400</v>
      </c>
      <c r="R133" s="280" t="s">
        <v>400</v>
      </c>
      <c r="S133" s="280" t="s">
        <v>400</v>
      </c>
      <c r="T133" s="280" t="s">
        <v>400</v>
      </c>
      <c r="U133" s="280" t="s">
        <v>400</v>
      </c>
      <c r="V133" s="280"/>
      <c r="W133" s="280" t="s">
        <v>400</v>
      </c>
      <c r="X133" s="280"/>
      <c r="Y133" s="280">
        <v>1</v>
      </c>
      <c r="Z133" s="131">
        <v>1.35</v>
      </c>
      <c r="AA133" s="131"/>
      <c r="AB133" s="131"/>
      <c r="AC133" s="131"/>
      <c r="AD133" s="131"/>
      <c r="AE133" s="131"/>
      <c r="AF133" s="131"/>
      <c r="AG133" s="131"/>
      <c r="AH133" s="131"/>
      <c r="AI133" s="131"/>
      <c r="AJ133" s="131"/>
      <c r="AK133" s="131"/>
      <c r="AL133" s="131"/>
      <c r="AM133" s="131"/>
      <c r="AN133" s="131"/>
      <c r="AO133" s="131"/>
      <c r="AP133" s="131"/>
      <c r="AQ133" s="131"/>
    </row>
    <row r="134" spans="1:43" x14ac:dyDescent="0.2">
      <c r="A134" s="131">
        <v>59</v>
      </c>
      <c r="B134" s="294" t="s">
        <v>511</v>
      </c>
      <c r="C134" s="131" t="s">
        <v>512</v>
      </c>
      <c r="D134" s="131">
        <v>0</v>
      </c>
      <c r="E134" s="295">
        <v>0</v>
      </c>
      <c r="F134" s="296">
        <v>0</v>
      </c>
      <c r="G134" s="131">
        <v>0</v>
      </c>
      <c r="H134" s="131"/>
      <c r="I134" s="131" t="str">
        <f t="shared" si="3"/>
        <v>FÓTON - PeDes RS (Cnt. 8666/2018)</v>
      </c>
      <c r="J134" s="131">
        <f t="shared" si="4"/>
        <v>59</v>
      </c>
      <c r="K134" s="280"/>
      <c r="L134" s="280"/>
      <c r="M134" s="280"/>
      <c r="N134" s="280"/>
      <c r="O134" s="280"/>
      <c r="P134" s="280" t="s">
        <v>400</v>
      </c>
      <c r="Q134" s="280" t="s">
        <v>400</v>
      </c>
      <c r="R134" s="280" t="s">
        <v>400</v>
      </c>
      <c r="S134" s="280" t="s">
        <v>400</v>
      </c>
      <c r="T134" s="280" t="s">
        <v>400</v>
      </c>
      <c r="U134" s="280" t="s">
        <v>400</v>
      </c>
      <c r="V134" s="280"/>
      <c r="W134" s="280" t="s">
        <v>400</v>
      </c>
      <c r="X134" s="280"/>
      <c r="Y134" s="280">
        <v>1</v>
      </c>
      <c r="Z134" s="131">
        <v>1.35</v>
      </c>
      <c r="AA134" s="131"/>
      <c r="AB134" s="131"/>
      <c r="AC134" s="131"/>
      <c r="AD134" s="131"/>
      <c r="AE134" s="131"/>
      <c r="AF134" s="131"/>
      <c r="AG134" s="131"/>
      <c r="AH134" s="131"/>
      <c r="AI134" s="131"/>
      <c r="AJ134" s="131"/>
      <c r="AK134" s="131"/>
      <c r="AL134" s="131"/>
      <c r="AM134" s="131"/>
      <c r="AN134" s="131"/>
      <c r="AO134" s="131"/>
      <c r="AP134" s="131"/>
      <c r="AQ134" s="131"/>
    </row>
    <row r="135" spans="1:43" x14ac:dyDescent="0.2">
      <c r="A135" s="131">
        <v>60</v>
      </c>
      <c r="B135" s="294" t="s">
        <v>513</v>
      </c>
      <c r="C135" s="131" t="s">
        <v>451</v>
      </c>
      <c r="D135" s="131">
        <v>15</v>
      </c>
      <c r="E135" s="295">
        <v>1060.72</v>
      </c>
      <c r="F135" s="296">
        <v>105.96</v>
      </c>
      <c r="G135" s="131">
        <v>0</v>
      </c>
      <c r="H135" s="131"/>
      <c r="I135" s="131" t="str">
        <f t="shared" si="3"/>
        <v>STEFANINI - Habitação (Cnt. 1255/2017)</v>
      </c>
      <c r="J135" s="131">
        <f t="shared" si="4"/>
        <v>60</v>
      </c>
      <c r="K135" s="280"/>
      <c r="L135" s="280"/>
      <c r="M135" s="280"/>
      <c r="N135" s="280"/>
      <c r="O135" s="280"/>
      <c r="P135" s="280" t="s">
        <v>400</v>
      </c>
      <c r="Q135" s="280" t="s">
        <v>400</v>
      </c>
      <c r="R135" s="280" t="s">
        <v>400</v>
      </c>
      <c r="S135" s="280" t="s">
        <v>400</v>
      </c>
      <c r="T135" s="280" t="s">
        <v>400</v>
      </c>
      <c r="U135" s="280" t="s">
        <v>400</v>
      </c>
      <c r="V135" s="280"/>
      <c r="W135" s="280" t="s">
        <v>400</v>
      </c>
      <c r="X135" s="280"/>
      <c r="Y135" s="280">
        <v>3</v>
      </c>
      <c r="Z135" s="131">
        <v>1.35</v>
      </c>
      <c r="AA135" s="131"/>
      <c r="AB135" s="131"/>
      <c r="AC135" s="131"/>
      <c r="AD135" s="131"/>
      <c r="AE135" s="131"/>
      <c r="AF135" s="131"/>
      <c r="AG135" s="131"/>
      <c r="AH135" s="131"/>
      <c r="AI135" s="131"/>
      <c r="AJ135" s="131"/>
      <c r="AK135" s="131"/>
      <c r="AL135" s="131"/>
      <c r="AM135" s="131"/>
      <c r="AN135" s="131"/>
      <c r="AO135" s="131"/>
      <c r="AP135" s="131"/>
      <c r="AQ135" s="131"/>
    </row>
    <row r="136" spans="1:43" x14ac:dyDescent="0.2">
      <c r="A136" s="131">
        <v>61</v>
      </c>
      <c r="B136" s="294" t="s">
        <v>514</v>
      </c>
      <c r="C136" s="131" t="s">
        <v>515</v>
      </c>
      <c r="D136" s="131">
        <v>0</v>
      </c>
      <c r="E136" s="295">
        <v>0</v>
      </c>
      <c r="F136" s="296">
        <v>0</v>
      </c>
      <c r="G136" s="131">
        <v>0</v>
      </c>
      <c r="H136" s="131"/>
      <c r="I136" s="131" t="str">
        <f t="shared" si="3"/>
        <v>INDRA - Portal Negócios (Cnt. 8711/2018)</v>
      </c>
      <c r="J136" s="131">
        <f t="shared" si="4"/>
        <v>61</v>
      </c>
      <c r="K136" s="280"/>
      <c r="L136" s="280"/>
      <c r="M136" s="280"/>
      <c r="N136" s="280"/>
      <c r="O136" s="280"/>
      <c r="P136" s="280" t="s">
        <v>400</v>
      </c>
      <c r="Q136" s="280" t="s">
        <v>400</v>
      </c>
      <c r="R136" s="280" t="s">
        <v>400</v>
      </c>
      <c r="S136" s="280" t="s">
        <v>400</v>
      </c>
      <c r="T136" s="280" t="s">
        <v>400</v>
      </c>
      <c r="U136" s="280" t="s">
        <v>400</v>
      </c>
      <c r="V136" s="280"/>
      <c r="W136" s="280" t="s">
        <v>400</v>
      </c>
      <c r="X136" s="280"/>
      <c r="Y136" s="280">
        <v>1</v>
      </c>
      <c r="Z136" s="131">
        <v>1.35</v>
      </c>
      <c r="AA136" s="131"/>
      <c r="AB136" s="131"/>
      <c r="AC136" s="131"/>
      <c r="AD136" s="131"/>
      <c r="AE136" s="131"/>
      <c r="AF136" s="131"/>
      <c r="AG136" s="131"/>
      <c r="AH136" s="131"/>
      <c r="AI136" s="131"/>
      <c r="AJ136" s="131"/>
      <c r="AK136" s="131"/>
      <c r="AL136" s="131"/>
      <c r="AM136" s="131"/>
      <c r="AN136" s="131"/>
      <c r="AO136" s="131"/>
      <c r="AP136" s="131"/>
      <c r="AQ136" s="131"/>
    </row>
    <row r="137" spans="1:43" x14ac:dyDescent="0.2">
      <c r="A137" s="131">
        <v>62</v>
      </c>
      <c r="B137" s="294" t="s">
        <v>516</v>
      </c>
      <c r="C137" s="131" t="s">
        <v>517</v>
      </c>
      <c r="D137" s="131">
        <v>0</v>
      </c>
      <c r="E137" s="295">
        <v>0</v>
      </c>
      <c r="F137" s="296">
        <v>0</v>
      </c>
      <c r="G137" s="131">
        <v>0</v>
      </c>
      <c r="H137" s="131"/>
      <c r="I137" s="131" t="str">
        <f t="shared" si="3"/>
        <v>SPREAD - Inovação e Segurança (Cnt. 9386/2018)</v>
      </c>
      <c r="J137" s="131">
        <f t="shared" si="4"/>
        <v>62</v>
      </c>
      <c r="K137" s="280"/>
      <c r="L137" s="280"/>
      <c r="M137" s="280"/>
      <c r="N137" s="280"/>
      <c r="O137" s="280"/>
      <c r="P137" s="280" t="s">
        <v>400</v>
      </c>
      <c r="Q137" s="280" t="s">
        <v>400</v>
      </c>
      <c r="R137" s="280" t="s">
        <v>400</v>
      </c>
      <c r="S137" s="280" t="s">
        <v>400</v>
      </c>
      <c r="T137" s="280" t="s">
        <v>400</v>
      </c>
      <c r="U137" s="280" t="s">
        <v>400</v>
      </c>
      <c r="V137" s="280"/>
      <c r="W137" s="280" t="s">
        <v>400</v>
      </c>
      <c r="X137" s="280"/>
      <c r="Y137" s="280">
        <v>3</v>
      </c>
      <c r="Z137" s="131">
        <v>1.35</v>
      </c>
      <c r="AA137" s="131"/>
      <c r="AB137" s="131"/>
      <c r="AC137" s="131"/>
      <c r="AD137" s="131"/>
      <c r="AE137" s="131"/>
      <c r="AF137" s="131"/>
      <c r="AG137" s="131"/>
      <c r="AH137" s="131"/>
      <c r="AI137" s="131"/>
      <c r="AJ137" s="131"/>
      <c r="AK137" s="131"/>
      <c r="AL137" s="131"/>
      <c r="AM137" s="131"/>
      <c r="AN137" s="131"/>
      <c r="AO137" s="131"/>
      <c r="AP137" s="131"/>
      <c r="AQ137" s="131"/>
    </row>
    <row r="138" spans="1:43" x14ac:dyDescent="0.2">
      <c r="A138" s="131">
        <v>63</v>
      </c>
      <c r="B138" s="294" t="s">
        <v>518</v>
      </c>
      <c r="C138" s="131" t="s">
        <v>519</v>
      </c>
      <c r="D138" s="131">
        <v>8.5399999999999991</v>
      </c>
      <c r="E138" s="295">
        <v>839.88</v>
      </c>
      <c r="F138" s="296">
        <v>0</v>
      </c>
      <c r="G138" s="131">
        <v>0</v>
      </c>
      <c r="H138" s="131"/>
      <c r="I138" s="131" t="str">
        <f t="shared" si="3"/>
        <v>TREE SOLUTION - SIEXC (Cnt. 1614/2017)</v>
      </c>
      <c r="J138" s="131">
        <f t="shared" si="4"/>
        <v>63</v>
      </c>
      <c r="K138" s="280"/>
      <c r="L138" s="280"/>
      <c r="M138" s="280"/>
      <c r="N138" s="280"/>
      <c r="O138" s="280"/>
      <c r="P138" s="280"/>
      <c r="Q138" s="280"/>
      <c r="R138" s="280"/>
      <c r="S138" s="280"/>
      <c r="T138" s="280"/>
      <c r="U138" s="280"/>
      <c r="V138" s="280"/>
      <c r="W138" s="280"/>
      <c r="X138" s="280"/>
      <c r="Y138" s="280">
        <v>2</v>
      </c>
      <c r="Z138" s="131">
        <v>1</v>
      </c>
      <c r="AA138" s="131"/>
      <c r="AB138" s="131"/>
      <c r="AC138" s="131"/>
      <c r="AD138" s="131"/>
      <c r="AE138" s="131"/>
      <c r="AF138" s="131"/>
      <c r="AG138" s="131"/>
      <c r="AH138" s="131"/>
      <c r="AI138" s="131"/>
      <c r="AJ138" s="131"/>
      <c r="AK138" s="131"/>
      <c r="AL138" s="131"/>
      <c r="AM138" s="131"/>
      <c r="AN138" s="131"/>
      <c r="AO138" s="131"/>
      <c r="AP138" s="131"/>
      <c r="AQ138" s="131"/>
    </row>
    <row r="139" spans="1:43" x14ac:dyDescent="0.2">
      <c r="A139" s="131">
        <v>64</v>
      </c>
      <c r="B139" s="294" t="s">
        <v>520</v>
      </c>
      <c r="C139" s="131" t="s">
        <v>521</v>
      </c>
      <c r="D139" s="131">
        <v>0</v>
      </c>
      <c r="E139" s="295">
        <v>0</v>
      </c>
      <c r="F139" s="296">
        <v>0</v>
      </c>
      <c r="G139" s="131">
        <v>0</v>
      </c>
      <c r="H139" s="131"/>
      <c r="I139" s="131" t="str">
        <f t="shared" si="3"/>
        <v>SPREAD - SIAOI (Cnt. 453/2019)</v>
      </c>
      <c r="J139" s="131">
        <f t="shared" si="4"/>
        <v>64</v>
      </c>
      <c r="K139" s="280"/>
      <c r="L139" s="280"/>
      <c r="M139" s="280"/>
      <c r="N139" s="280"/>
      <c r="O139" s="280"/>
      <c r="P139" s="280" t="s">
        <v>400</v>
      </c>
      <c r="Q139" s="280" t="s">
        <v>400</v>
      </c>
      <c r="R139" s="280" t="s">
        <v>400</v>
      </c>
      <c r="S139" s="280" t="s">
        <v>400</v>
      </c>
      <c r="T139" s="280" t="s">
        <v>400</v>
      </c>
      <c r="U139" s="280" t="s">
        <v>400</v>
      </c>
      <c r="V139" s="280"/>
      <c r="W139" s="280" t="s">
        <v>400</v>
      </c>
      <c r="X139" s="280"/>
      <c r="Y139" s="280">
        <v>3</v>
      </c>
      <c r="Z139" s="131">
        <v>1.35</v>
      </c>
      <c r="AA139" s="131"/>
      <c r="AB139" s="131"/>
      <c r="AC139" s="131"/>
      <c r="AD139" s="131"/>
      <c r="AE139" s="131"/>
      <c r="AF139" s="131"/>
      <c r="AG139" s="131"/>
      <c r="AH139" s="131"/>
      <c r="AI139" s="131"/>
      <c r="AJ139" s="131"/>
      <c r="AK139" s="131"/>
      <c r="AL139" s="131"/>
      <c r="AM139" s="131"/>
      <c r="AN139" s="131"/>
      <c r="AO139" s="131"/>
      <c r="AP139" s="131"/>
      <c r="AQ139" s="131"/>
    </row>
    <row r="140" spans="1:43" x14ac:dyDescent="0.2">
      <c r="A140" s="131">
        <v>65</v>
      </c>
      <c r="B140" s="294" t="s">
        <v>522</v>
      </c>
      <c r="C140" s="131" t="s">
        <v>523</v>
      </c>
      <c r="D140" s="131">
        <v>0</v>
      </c>
      <c r="E140" s="295">
        <v>0</v>
      </c>
      <c r="F140" s="296">
        <v>0</v>
      </c>
      <c r="G140" s="131">
        <v>0</v>
      </c>
      <c r="H140" s="131"/>
      <c r="I140" s="131" t="str">
        <f t="shared" ref="I140:I160" si="5">TEXT(B140,"##")</f>
        <v>SPREAD - PeDes DF (Cnt. 8662/2018)</v>
      </c>
      <c r="J140" s="131">
        <f t="shared" ref="J140:J160" si="6">A140</f>
        <v>65</v>
      </c>
      <c r="K140" s="280"/>
      <c r="L140" s="280"/>
      <c r="M140" s="280"/>
      <c r="N140" s="280"/>
      <c r="O140" s="280"/>
      <c r="P140" s="280" t="s">
        <v>400</v>
      </c>
      <c r="Q140" s="280" t="s">
        <v>400</v>
      </c>
      <c r="R140" s="280" t="s">
        <v>400</v>
      </c>
      <c r="S140" s="280" t="s">
        <v>400</v>
      </c>
      <c r="T140" s="280" t="s">
        <v>400</v>
      </c>
      <c r="U140" s="280" t="s">
        <v>400</v>
      </c>
      <c r="V140" s="280"/>
      <c r="W140" s="280" t="s">
        <v>400</v>
      </c>
      <c r="X140" s="280"/>
      <c r="Y140" s="280">
        <v>3</v>
      </c>
      <c r="Z140" s="131">
        <v>1.35</v>
      </c>
      <c r="AA140" s="131"/>
      <c r="AB140" s="131"/>
      <c r="AC140" s="131"/>
      <c r="AD140" s="131"/>
      <c r="AE140" s="131"/>
      <c r="AF140" s="131"/>
      <c r="AG140" s="131"/>
      <c r="AH140" s="131"/>
      <c r="AI140" s="131"/>
      <c r="AJ140" s="131"/>
      <c r="AK140" s="131"/>
      <c r="AL140" s="131"/>
      <c r="AM140" s="131"/>
      <c r="AN140" s="131"/>
      <c r="AO140" s="131"/>
      <c r="AP140" s="131"/>
      <c r="AQ140" s="131"/>
    </row>
    <row r="141" spans="1:43" x14ac:dyDescent="0.2">
      <c r="A141" s="131">
        <v>66</v>
      </c>
      <c r="B141" s="294" t="s">
        <v>524</v>
      </c>
      <c r="C141" s="131" t="s">
        <v>517</v>
      </c>
      <c r="D141" s="131">
        <v>0</v>
      </c>
      <c r="E141" s="295">
        <v>0</v>
      </c>
      <c r="F141" s="296">
        <v>0</v>
      </c>
      <c r="G141" s="131">
        <v>0</v>
      </c>
      <c r="H141" s="131"/>
      <c r="I141" s="131" t="str">
        <f t="shared" si="5"/>
        <v>SPREAD - Inovação e Segurança (Cnt. 8786/2018)</v>
      </c>
      <c r="J141" s="131">
        <f t="shared" si="6"/>
        <v>66</v>
      </c>
      <c r="K141" s="280"/>
      <c r="L141" s="280"/>
      <c r="M141" s="280"/>
      <c r="N141" s="280"/>
      <c r="O141" s="280"/>
      <c r="P141" s="280" t="s">
        <v>400</v>
      </c>
      <c r="Q141" s="280" t="s">
        <v>400</v>
      </c>
      <c r="R141" s="280" t="s">
        <v>400</v>
      </c>
      <c r="S141" s="280" t="s">
        <v>400</v>
      </c>
      <c r="T141" s="280" t="s">
        <v>400</v>
      </c>
      <c r="U141" s="280" t="s">
        <v>400</v>
      </c>
      <c r="V141" s="280"/>
      <c r="W141" s="280" t="s">
        <v>400</v>
      </c>
      <c r="X141" s="280"/>
      <c r="Y141" s="280">
        <v>3</v>
      </c>
      <c r="Z141" s="131">
        <v>1.35</v>
      </c>
      <c r="AA141" s="131"/>
      <c r="AB141" s="131"/>
      <c r="AC141" s="131"/>
      <c r="AD141" s="131"/>
      <c r="AE141" s="131"/>
      <c r="AF141" s="131"/>
      <c r="AG141" s="131"/>
      <c r="AH141" s="131"/>
      <c r="AI141" s="131"/>
      <c r="AJ141" s="131"/>
      <c r="AK141" s="131"/>
      <c r="AL141" s="131"/>
      <c r="AM141" s="131"/>
      <c r="AN141" s="131"/>
      <c r="AO141" s="131"/>
      <c r="AP141" s="131"/>
      <c r="AQ141" s="131"/>
    </row>
    <row r="142" spans="1:43" x14ac:dyDescent="0.2">
      <c r="A142" s="131">
        <v>67</v>
      </c>
      <c r="B142" s="294" t="s">
        <v>525</v>
      </c>
      <c r="C142" s="131" t="s">
        <v>526</v>
      </c>
      <c r="D142" s="131">
        <v>0</v>
      </c>
      <c r="E142" s="295">
        <v>0</v>
      </c>
      <c r="F142" s="296">
        <v>0</v>
      </c>
      <c r="G142" s="131">
        <v>0</v>
      </c>
      <c r="H142" s="131"/>
      <c r="I142" s="131" t="str">
        <f t="shared" si="5"/>
        <v>FÓTON - Mobile e IOT (Cnt. 9520/2018)</v>
      </c>
      <c r="J142" s="131">
        <f t="shared" si="6"/>
        <v>67</v>
      </c>
      <c r="K142" s="280"/>
      <c r="L142" s="280"/>
      <c r="M142" s="280"/>
      <c r="N142" s="280"/>
      <c r="O142" s="280"/>
      <c r="P142" s="280" t="s">
        <v>400</v>
      </c>
      <c r="Q142" s="280" t="s">
        <v>400</v>
      </c>
      <c r="R142" s="280" t="s">
        <v>400</v>
      </c>
      <c r="S142" s="280" t="s">
        <v>400</v>
      </c>
      <c r="T142" s="280" t="s">
        <v>400</v>
      </c>
      <c r="U142" s="280" t="s">
        <v>400</v>
      </c>
      <c r="V142" s="280"/>
      <c r="W142" s="280" t="s">
        <v>400</v>
      </c>
      <c r="X142" s="280"/>
      <c r="Y142" s="280">
        <v>3</v>
      </c>
      <c r="Z142" s="131">
        <v>1.35</v>
      </c>
      <c r="AA142" s="131"/>
      <c r="AB142" s="131"/>
      <c r="AC142" s="131"/>
      <c r="AD142" s="131"/>
      <c r="AE142" s="131"/>
      <c r="AF142" s="131"/>
      <c r="AG142" s="131"/>
      <c r="AH142" s="131"/>
      <c r="AI142" s="131"/>
      <c r="AJ142" s="131"/>
      <c r="AK142" s="131"/>
      <c r="AL142" s="131"/>
      <c r="AM142" s="131"/>
      <c r="AN142" s="131"/>
      <c r="AO142" s="131"/>
      <c r="AP142" s="131"/>
      <c r="AQ142" s="131"/>
    </row>
    <row r="143" spans="1:43" x14ac:dyDescent="0.2">
      <c r="A143" s="131">
        <v>68</v>
      </c>
      <c r="B143" s="294" t="s">
        <v>527</v>
      </c>
      <c r="C143" s="131" t="s">
        <v>488</v>
      </c>
      <c r="D143" s="131">
        <v>0</v>
      </c>
      <c r="E143" s="295">
        <v>0</v>
      </c>
      <c r="F143" s="296">
        <v>0</v>
      </c>
      <c r="G143" s="131">
        <v>0</v>
      </c>
      <c r="H143" s="131"/>
      <c r="I143" s="131" t="str">
        <f t="shared" si="5"/>
        <v>FÓTON - PeDes MG (Cnt. 8663/2018)</v>
      </c>
      <c r="J143" s="131">
        <f t="shared" si="6"/>
        <v>68</v>
      </c>
      <c r="K143" s="280"/>
      <c r="L143" s="280"/>
      <c r="M143" s="280"/>
      <c r="N143" s="280"/>
      <c r="O143" s="280"/>
      <c r="P143" s="280" t="s">
        <v>400</v>
      </c>
      <c r="Q143" s="280" t="s">
        <v>400</v>
      </c>
      <c r="R143" s="280" t="s">
        <v>400</v>
      </c>
      <c r="S143" s="280" t="s">
        <v>400</v>
      </c>
      <c r="T143" s="280" t="s">
        <v>400</v>
      </c>
      <c r="U143" s="280" t="s">
        <v>400</v>
      </c>
      <c r="V143" s="280"/>
      <c r="W143" s="280" t="s">
        <v>400</v>
      </c>
      <c r="X143" s="280"/>
      <c r="Y143" s="280">
        <v>3</v>
      </c>
      <c r="Z143" s="131">
        <v>1.35</v>
      </c>
      <c r="AA143" s="131"/>
      <c r="AB143" s="131"/>
      <c r="AC143" s="131"/>
      <c r="AD143" s="131"/>
      <c r="AE143" s="131"/>
      <c r="AF143" s="131"/>
      <c r="AG143" s="131"/>
      <c r="AH143" s="131"/>
      <c r="AI143" s="131"/>
      <c r="AJ143" s="131"/>
      <c r="AK143" s="131"/>
      <c r="AL143" s="131"/>
      <c r="AM143" s="131"/>
      <c r="AN143" s="131"/>
      <c r="AO143" s="131"/>
      <c r="AP143" s="131"/>
      <c r="AQ143" s="131"/>
    </row>
    <row r="144" spans="1:43" x14ac:dyDescent="0.2">
      <c r="A144" s="131">
        <v>69</v>
      </c>
      <c r="B144" s="294" t="s">
        <v>528</v>
      </c>
      <c r="C144" s="131" t="s">
        <v>500</v>
      </c>
      <c r="D144" s="131">
        <v>0</v>
      </c>
      <c r="E144" s="295">
        <v>0</v>
      </c>
      <c r="F144" s="296">
        <v>0</v>
      </c>
      <c r="G144" s="131">
        <v>0</v>
      </c>
      <c r="H144" s="131"/>
      <c r="I144" s="131" t="str">
        <f t="shared" si="5"/>
        <v>CAST - PeDes SC (Cnt. 5501/2019)</v>
      </c>
      <c r="J144" s="131">
        <f t="shared" si="6"/>
        <v>69</v>
      </c>
      <c r="K144" s="280"/>
      <c r="L144" s="280"/>
      <c r="M144" s="280"/>
      <c r="N144" s="280"/>
      <c r="O144" s="280"/>
      <c r="P144" s="280" t="s">
        <v>400</v>
      </c>
      <c r="Q144" s="280" t="s">
        <v>400</v>
      </c>
      <c r="R144" s="280" t="s">
        <v>400</v>
      </c>
      <c r="S144" s="280" t="s">
        <v>400</v>
      </c>
      <c r="T144" s="280" t="s">
        <v>400</v>
      </c>
      <c r="U144" s="280" t="s">
        <v>400</v>
      </c>
      <c r="V144" s="280"/>
      <c r="W144" s="280" t="s">
        <v>400</v>
      </c>
      <c r="X144" s="280"/>
      <c r="Y144" s="280">
        <v>3</v>
      </c>
      <c r="Z144" s="131">
        <v>1.35</v>
      </c>
      <c r="AA144" s="131"/>
      <c r="AB144" s="131"/>
      <c r="AC144" s="131"/>
      <c r="AD144" s="131"/>
      <c r="AE144" s="131"/>
      <c r="AF144" s="131"/>
      <c r="AG144" s="131"/>
      <c r="AH144" s="131"/>
      <c r="AI144" s="131"/>
      <c r="AJ144" s="131"/>
      <c r="AK144" s="131"/>
      <c r="AL144" s="131"/>
      <c r="AM144" s="131"/>
      <c r="AN144" s="131"/>
      <c r="AO144" s="131"/>
      <c r="AP144" s="131"/>
      <c r="AQ144" s="131"/>
    </row>
    <row r="145" spans="1:43" x14ac:dyDescent="0.2">
      <c r="A145" s="131">
        <v>70</v>
      </c>
      <c r="B145" s="294" t="s">
        <v>529</v>
      </c>
      <c r="C145" s="131" t="s">
        <v>459</v>
      </c>
      <c r="D145" s="131">
        <v>20</v>
      </c>
      <c r="E145" s="295">
        <v>1980.75</v>
      </c>
      <c r="F145" s="296">
        <v>186.2</v>
      </c>
      <c r="G145" s="131">
        <v>0</v>
      </c>
      <c r="H145" s="131"/>
      <c r="I145" s="131" t="str">
        <f t="shared" si="5"/>
        <v>CPQD - Crédito Imobiliário (Cnt. 4885/2018)</v>
      </c>
      <c r="J145" s="131">
        <f t="shared" si="6"/>
        <v>70</v>
      </c>
      <c r="K145" s="280"/>
      <c r="L145" s="280"/>
      <c r="M145" s="280"/>
      <c r="N145" s="280"/>
      <c r="O145" s="280"/>
      <c r="P145" s="280" t="s">
        <v>400</v>
      </c>
      <c r="Q145" s="280" t="s">
        <v>400</v>
      </c>
      <c r="R145" s="280" t="s">
        <v>400</v>
      </c>
      <c r="S145" s="280" t="s">
        <v>400</v>
      </c>
      <c r="T145" s="280" t="s">
        <v>400</v>
      </c>
      <c r="U145" s="280" t="s">
        <v>400</v>
      </c>
      <c r="V145" s="280"/>
      <c r="W145" s="280" t="s">
        <v>400</v>
      </c>
      <c r="X145" s="280"/>
      <c r="Y145" s="280">
        <v>3</v>
      </c>
      <c r="Z145" s="131">
        <v>1.35</v>
      </c>
      <c r="AA145" s="131"/>
      <c r="AB145" s="131"/>
      <c r="AC145" s="131"/>
      <c r="AD145" s="131"/>
      <c r="AE145" s="131"/>
      <c r="AF145" s="131"/>
      <c r="AG145" s="131"/>
      <c r="AH145" s="131"/>
      <c r="AI145" s="131"/>
      <c r="AJ145" s="131"/>
      <c r="AK145" s="131"/>
      <c r="AL145" s="131"/>
      <c r="AM145" s="131"/>
      <c r="AN145" s="131"/>
      <c r="AO145" s="131"/>
      <c r="AP145" s="131"/>
      <c r="AQ145" s="131"/>
    </row>
    <row r="146" spans="1:43" x14ac:dyDescent="0.2">
      <c r="A146" s="131">
        <v>71</v>
      </c>
      <c r="B146" s="294" t="s">
        <v>530</v>
      </c>
      <c r="C146" s="131" t="s">
        <v>531</v>
      </c>
      <c r="D146" s="131">
        <v>0</v>
      </c>
      <c r="E146" s="295">
        <v>0</v>
      </c>
      <c r="F146" s="296">
        <v>0</v>
      </c>
      <c r="G146" s="131">
        <v>0</v>
      </c>
      <c r="H146" s="131"/>
      <c r="I146" s="131" t="str">
        <f t="shared" si="5"/>
        <v>TTY - NGSD (Cnt. 5384/2019)</v>
      </c>
      <c r="J146" s="131">
        <f t="shared" si="6"/>
        <v>71</v>
      </c>
      <c r="K146" s="280"/>
      <c r="L146" s="280"/>
      <c r="M146" s="280"/>
      <c r="N146" s="280"/>
      <c r="O146" s="280"/>
      <c r="P146" s="280" t="s">
        <v>400</v>
      </c>
      <c r="Q146" s="280" t="s">
        <v>400</v>
      </c>
      <c r="R146" s="280" t="s">
        <v>400</v>
      </c>
      <c r="S146" s="280" t="s">
        <v>400</v>
      </c>
      <c r="T146" s="280" t="s">
        <v>400</v>
      </c>
      <c r="U146" s="280" t="s">
        <v>400</v>
      </c>
      <c r="V146" s="280"/>
      <c r="W146" s="280" t="s">
        <v>400</v>
      </c>
      <c r="X146" s="280"/>
      <c r="Y146" s="280">
        <v>3</v>
      </c>
      <c r="Z146" s="131">
        <v>1.35</v>
      </c>
      <c r="AA146" s="131"/>
      <c r="AB146" s="131"/>
      <c r="AC146" s="131"/>
      <c r="AD146" s="131"/>
      <c r="AE146" s="131"/>
      <c r="AF146" s="131"/>
      <c r="AG146" s="131"/>
      <c r="AH146" s="131"/>
      <c r="AI146" s="131"/>
      <c r="AJ146" s="131"/>
      <c r="AK146" s="131"/>
      <c r="AL146" s="131"/>
      <c r="AM146" s="131"/>
      <c r="AN146" s="131"/>
      <c r="AO146" s="131"/>
      <c r="AP146" s="131"/>
      <c r="AQ146" s="131"/>
    </row>
    <row r="147" spans="1:43" x14ac:dyDescent="0.2">
      <c r="A147" s="131">
        <v>72</v>
      </c>
      <c r="B147" s="294" t="s">
        <v>532</v>
      </c>
      <c r="C147" s="131" t="s">
        <v>533</v>
      </c>
      <c r="D147" s="131">
        <v>15</v>
      </c>
      <c r="E147" s="295">
        <v>1220</v>
      </c>
      <c r="F147" s="296">
        <v>180</v>
      </c>
      <c r="G147" s="131">
        <v>0</v>
      </c>
      <c r="H147" s="131"/>
      <c r="I147" s="131" t="str">
        <f t="shared" si="5"/>
        <v>RJE - SIDEC/SIART (Cnt. 6475/2020)</v>
      </c>
      <c r="J147" s="131">
        <f t="shared" si="6"/>
        <v>72</v>
      </c>
      <c r="K147" s="280"/>
      <c r="L147" s="280"/>
      <c r="M147" s="280"/>
      <c r="N147" s="280"/>
      <c r="O147" s="280"/>
      <c r="P147" s="280" t="s">
        <v>400</v>
      </c>
      <c r="Q147" s="280" t="s">
        <v>400</v>
      </c>
      <c r="R147" s="280" t="s">
        <v>400</v>
      </c>
      <c r="S147" s="280" t="s">
        <v>400</v>
      </c>
      <c r="T147" s="280" t="s">
        <v>400</v>
      </c>
      <c r="U147" s="280" t="s">
        <v>400</v>
      </c>
      <c r="V147" s="280"/>
      <c r="W147" s="280" t="s">
        <v>400</v>
      </c>
      <c r="X147" s="280"/>
      <c r="Y147" s="280">
        <v>3</v>
      </c>
      <c r="Z147" s="131">
        <v>1.35</v>
      </c>
      <c r="AA147" s="131"/>
      <c r="AB147" s="131"/>
      <c r="AC147" s="131"/>
      <c r="AD147" s="131"/>
      <c r="AE147" s="131"/>
      <c r="AF147" s="131"/>
      <c r="AG147" s="131"/>
      <c r="AH147" s="131"/>
      <c r="AI147" s="131"/>
      <c r="AJ147" s="131"/>
      <c r="AK147" s="131"/>
      <c r="AL147" s="131"/>
      <c r="AM147" s="131"/>
      <c r="AN147" s="131"/>
      <c r="AO147" s="131"/>
      <c r="AP147" s="131"/>
      <c r="AQ147" s="131"/>
    </row>
    <row r="148" spans="1:43" x14ac:dyDescent="0.2">
      <c r="A148" s="131">
        <v>73</v>
      </c>
      <c r="B148" s="294" t="s">
        <v>534</v>
      </c>
      <c r="C148" s="131" t="s">
        <v>496</v>
      </c>
      <c r="D148" s="131">
        <v>0</v>
      </c>
      <c r="E148" s="295">
        <v>0</v>
      </c>
      <c r="F148" s="296">
        <v>0</v>
      </c>
      <c r="G148" s="131">
        <v>0</v>
      </c>
      <c r="H148" s="131"/>
      <c r="I148" s="131" t="str">
        <f t="shared" si="5"/>
        <v>FÓTON - PeDes-CE (Cnt.5358/2019)</v>
      </c>
      <c r="J148" s="131">
        <f t="shared" si="6"/>
        <v>73</v>
      </c>
      <c r="K148" s="280"/>
      <c r="L148" s="280"/>
      <c r="M148" s="280"/>
      <c r="N148" s="280"/>
      <c r="O148" s="280"/>
      <c r="P148" s="280" t="s">
        <v>400</v>
      </c>
      <c r="Q148" s="280" t="s">
        <v>400</v>
      </c>
      <c r="R148" s="280" t="s">
        <v>400</v>
      </c>
      <c r="S148" s="280" t="s">
        <v>400</v>
      </c>
      <c r="T148" s="280" t="s">
        <v>400</v>
      </c>
      <c r="U148" s="280" t="s">
        <v>400</v>
      </c>
      <c r="V148" s="280"/>
      <c r="W148" s="280" t="s">
        <v>400</v>
      </c>
      <c r="X148" s="280"/>
      <c r="Y148" s="280">
        <v>3</v>
      </c>
      <c r="Z148" s="131">
        <v>1.35</v>
      </c>
      <c r="AA148" s="131"/>
      <c r="AB148" s="131"/>
      <c r="AC148" s="131"/>
      <c r="AD148" s="131"/>
      <c r="AE148" s="131"/>
      <c r="AF148" s="131"/>
      <c r="AG148" s="131"/>
      <c r="AH148" s="131"/>
      <c r="AI148" s="131"/>
      <c r="AJ148" s="131"/>
      <c r="AK148" s="131"/>
      <c r="AL148" s="131"/>
      <c r="AM148" s="131"/>
      <c r="AN148" s="131"/>
      <c r="AO148" s="131"/>
      <c r="AP148" s="131"/>
      <c r="AQ148" s="131"/>
    </row>
    <row r="149" spans="1:43" x14ac:dyDescent="0.2">
      <c r="A149" s="131">
        <v>74</v>
      </c>
      <c r="B149" s="294" t="s">
        <v>535</v>
      </c>
      <c r="C149" s="131" t="s">
        <v>536</v>
      </c>
      <c r="D149" s="131">
        <v>0</v>
      </c>
      <c r="E149" s="295">
        <v>905.87</v>
      </c>
      <c r="F149" s="296">
        <v>0</v>
      </c>
      <c r="G149" s="131">
        <v>0</v>
      </c>
      <c r="H149" s="131"/>
      <c r="I149" s="131" t="str">
        <f t="shared" si="5"/>
        <v>MEMORA - Modelagem Negócios (Cnt. 14680/2017)</v>
      </c>
      <c r="J149" s="131">
        <f t="shared" si="6"/>
        <v>74</v>
      </c>
      <c r="K149" s="280"/>
      <c r="L149" s="280"/>
      <c r="M149" s="280"/>
      <c r="N149" s="280"/>
      <c r="O149" s="280"/>
      <c r="P149" s="280" t="s">
        <v>400</v>
      </c>
      <c r="Q149" s="280" t="s">
        <v>400</v>
      </c>
      <c r="R149" s="280" t="s">
        <v>400</v>
      </c>
      <c r="S149" s="280" t="s">
        <v>400</v>
      </c>
      <c r="T149" s="280" t="s">
        <v>400</v>
      </c>
      <c r="U149" s="280" t="s">
        <v>400</v>
      </c>
      <c r="V149" s="280"/>
      <c r="W149" s="280" t="s">
        <v>400</v>
      </c>
      <c r="X149" s="280"/>
      <c r="Y149" s="280">
        <v>3</v>
      </c>
      <c r="Z149" s="131">
        <v>1.35</v>
      </c>
      <c r="AA149" s="131"/>
      <c r="AB149" s="131"/>
      <c r="AC149" s="131"/>
      <c r="AD149" s="131"/>
      <c r="AE149" s="131"/>
      <c r="AF149" s="131"/>
      <c r="AG149" s="131"/>
      <c r="AH149" s="131"/>
      <c r="AI149" s="131"/>
      <c r="AJ149" s="131"/>
      <c r="AK149" s="131"/>
      <c r="AL149" s="131"/>
      <c r="AM149" s="131"/>
      <c r="AN149" s="131"/>
      <c r="AO149" s="131"/>
      <c r="AP149" s="131"/>
      <c r="AQ149" s="131"/>
    </row>
    <row r="150" spans="1:43" x14ac:dyDescent="0.2">
      <c r="A150" s="131">
        <v>75</v>
      </c>
      <c r="B150" s="294" t="s">
        <v>537</v>
      </c>
      <c r="C150" s="131" t="s">
        <v>494</v>
      </c>
      <c r="D150" s="131">
        <v>0</v>
      </c>
      <c r="E150" s="295">
        <v>0</v>
      </c>
      <c r="F150" s="296">
        <v>0</v>
      </c>
      <c r="G150" s="131">
        <v>0</v>
      </c>
      <c r="H150" s="131"/>
      <c r="I150" s="131" t="str">
        <f t="shared" si="5"/>
        <v>FÓTON - PeDes-GO (Cnt.8664/2018)</v>
      </c>
      <c r="J150" s="131">
        <f t="shared" si="6"/>
        <v>75</v>
      </c>
      <c r="K150" s="280"/>
      <c r="L150" s="280"/>
      <c r="M150" s="280"/>
      <c r="N150" s="280"/>
      <c r="O150" s="280"/>
      <c r="P150" s="280" t="s">
        <v>400</v>
      </c>
      <c r="Q150" s="280" t="s">
        <v>400</v>
      </c>
      <c r="R150" s="280" t="s">
        <v>400</v>
      </c>
      <c r="S150" s="280" t="s">
        <v>400</v>
      </c>
      <c r="T150" s="280" t="s">
        <v>400</v>
      </c>
      <c r="U150" s="280" t="s">
        <v>400</v>
      </c>
      <c r="V150" s="280"/>
      <c r="W150" s="280" t="s">
        <v>400</v>
      </c>
      <c r="X150" s="280"/>
      <c r="Y150" s="280">
        <v>3</v>
      </c>
      <c r="Z150" s="131">
        <v>1.35</v>
      </c>
      <c r="AA150" s="131"/>
      <c r="AB150" s="131"/>
      <c r="AC150" s="131"/>
      <c r="AD150" s="131"/>
      <c r="AE150" s="131"/>
      <c r="AF150" s="131"/>
      <c r="AG150" s="131"/>
      <c r="AH150" s="131"/>
      <c r="AI150" s="131"/>
      <c r="AJ150" s="131"/>
      <c r="AK150" s="131"/>
      <c r="AL150" s="131"/>
      <c r="AM150" s="131"/>
      <c r="AN150" s="131"/>
      <c r="AO150" s="131"/>
      <c r="AP150" s="131"/>
      <c r="AQ150" s="131"/>
    </row>
    <row r="151" spans="1:43" x14ac:dyDescent="0.2">
      <c r="A151" s="131">
        <v>76</v>
      </c>
      <c r="B151" s="294" t="s">
        <v>538</v>
      </c>
      <c r="C151" s="131" t="s">
        <v>539</v>
      </c>
      <c r="D151" s="131">
        <v>15</v>
      </c>
      <c r="E151" s="295">
        <v>1220</v>
      </c>
      <c r="F151" s="296">
        <v>0</v>
      </c>
      <c r="G151" s="131">
        <v>0</v>
      </c>
      <c r="H151" s="131"/>
      <c r="I151" s="131" t="str">
        <f t="shared" si="5"/>
        <v>BENNER - SIAGS (Cnt.11836/2020)</v>
      </c>
      <c r="J151" s="131">
        <f t="shared" si="6"/>
        <v>76</v>
      </c>
      <c r="K151" s="280"/>
      <c r="L151" s="280"/>
      <c r="M151" s="280"/>
      <c r="N151" s="280"/>
      <c r="O151" s="280"/>
      <c r="P151" s="280" t="s">
        <v>400</v>
      </c>
      <c r="Q151" s="280" t="s">
        <v>400</v>
      </c>
      <c r="R151" s="280" t="s">
        <v>400</v>
      </c>
      <c r="S151" s="280" t="s">
        <v>400</v>
      </c>
      <c r="T151" s="280" t="s">
        <v>400</v>
      </c>
      <c r="U151" s="280" t="s">
        <v>400</v>
      </c>
      <c r="V151" s="280"/>
      <c r="W151" s="280" t="s">
        <v>400</v>
      </c>
      <c r="X151" s="280"/>
      <c r="Y151" s="280">
        <v>3</v>
      </c>
      <c r="Z151" s="131">
        <v>1.35</v>
      </c>
      <c r="AA151" s="131"/>
      <c r="AB151" s="131"/>
      <c r="AC151" s="131"/>
      <c r="AD151" s="131"/>
      <c r="AE151" s="131"/>
      <c r="AF151" s="131"/>
      <c r="AG151" s="131"/>
      <c r="AH151" s="131"/>
      <c r="AI151" s="131"/>
      <c r="AJ151" s="131"/>
      <c r="AK151" s="131"/>
      <c r="AL151" s="131"/>
      <c r="AM151" s="131"/>
      <c r="AN151" s="131"/>
      <c r="AO151" s="131"/>
      <c r="AP151" s="131"/>
      <c r="AQ151" s="131"/>
    </row>
    <row r="152" spans="1:43" x14ac:dyDescent="0.2">
      <c r="A152" s="131">
        <v>77</v>
      </c>
      <c r="B152" s="294" t="s">
        <v>540</v>
      </c>
      <c r="C152" s="131" t="s">
        <v>541</v>
      </c>
      <c r="D152" s="131">
        <v>0</v>
      </c>
      <c r="E152" s="295">
        <v>0</v>
      </c>
      <c r="F152" s="296">
        <v>0</v>
      </c>
      <c r="G152" s="131">
        <v>0</v>
      </c>
      <c r="H152" s="131"/>
      <c r="I152" s="131" t="str">
        <f t="shared" si="5"/>
        <v>TTY - PeDes ES (Cnt. 5548/2019)</v>
      </c>
      <c r="J152" s="131">
        <f t="shared" si="6"/>
        <v>77</v>
      </c>
      <c r="K152" s="280"/>
      <c r="L152" s="280"/>
      <c r="M152" s="280"/>
      <c r="N152" s="280"/>
      <c r="O152" s="280"/>
      <c r="P152" s="280" t="s">
        <v>400</v>
      </c>
      <c r="Q152" s="280" t="s">
        <v>400</v>
      </c>
      <c r="R152" s="280" t="s">
        <v>400</v>
      </c>
      <c r="S152" s="280" t="s">
        <v>400</v>
      </c>
      <c r="T152" s="280" t="s">
        <v>400</v>
      </c>
      <c r="U152" s="280" t="s">
        <v>400</v>
      </c>
      <c r="V152" s="280"/>
      <c r="W152" s="280" t="s">
        <v>400</v>
      </c>
      <c r="X152" s="280"/>
      <c r="Y152" s="280">
        <v>3</v>
      </c>
      <c r="Z152" s="131">
        <v>1.35</v>
      </c>
      <c r="AA152" s="131"/>
      <c r="AB152" s="131"/>
      <c r="AC152" s="131"/>
      <c r="AD152" s="131"/>
      <c r="AE152" s="131"/>
      <c r="AF152" s="131"/>
      <c r="AG152" s="131"/>
      <c r="AH152" s="131"/>
      <c r="AI152" s="131"/>
      <c r="AJ152" s="131"/>
      <c r="AK152" s="131"/>
      <c r="AL152" s="131"/>
      <c r="AM152" s="131"/>
      <c r="AN152" s="131"/>
      <c r="AO152" s="131"/>
      <c r="AP152" s="131"/>
      <c r="AQ152" s="131"/>
    </row>
    <row r="153" spans="1:43" x14ac:dyDescent="0.2">
      <c r="A153" s="131">
        <v>78</v>
      </c>
      <c r="B153" s="294" t="s">
        <v>542</v>
      </c>
      <c r="C153" s="131" t="s">
        <v>541</v>
      </c>
      <c r="D153" s="131">
        <v>0</v>
      </c>
      <c r="E153" s="295">
        <v>0</v>
      </c>
      <c r="F153" s="296">
        <v>0</v>
      </c>
      <c r="G153" s="131">
        <v>0</v>
      </c>
      <c r="H153" s="131"/>
      <c r="I153" s="131" t="str">
        <f t="shared" si="5"/>
        <v>DATAINFO - PeDes PR (Cnt. 5423/2019)</v>
      </c>
      <c r="J153" s="131">
        <f t="shared" si="6"/>
        <v>78</v>
      </c>
      <c r="K153" s="280"/>
      <c r="L153" s="280"/>
      <c r="M153" s="280"/>
      <c r="N153" s="280"/>
      <c r="O153" s="280"/>
      <c r="P153" s="280" t="s">
        <v>400</v>
      </c>
      <c r="Q153" s="280" t="s">
        <v>400</v>
      </c>
      <c r="R153" s="280" t="s">
        <v>400</v>
      </c>
      <c r="S153" s="280" t="s">
        <v>400</v>
      </c>
      <c r="T153" s="280" t="s">
        <v>400</v>
      </c>
      <c r="U153" s="280" t="s">
        <v>400</v>
      </c>
      <c r="V153" s="280"/>
      <c r="W153" s="280" t="s">
        <v>400</v>
      </c>
      <c r="X153" s="280"/>
      <c r="Y153" s="280">
        <v>3</v>
      </c>
      <c r="Z153" s="131">
        <v>1.35</v>
      </c>
      <c r="AA153" s="131"/>
      <c r="AB153" s="131"/>
      <c r="AC153" s="131"/>
      <c r="AD153" s="131"/>
      <c r="AE153" s="131"/>
      <c r="AF153" s="131"/>
      <c r="AG153" s="131"/>
      <c r="AH153" s="131"/>
      <c r="AI153" s="131"/>
      <c r="AJ153" s="131"/>
      <c r="AK153" s="131"/>
      <c r="AL153" s="131"/>
      <c r="AM153" s="131"/>
      <c r="AN153" s="131"/>
      <c r="AO153" s="131"/>
      <c r="AP153" s="131"/>
      <c r="AQ153" s="131"/>
    </row>
    <row r="154" spans="1:43" x14ac:dyDescent="0.2">
      <c r="A154" s="131">
        <v>79</v>
      </c>
      <c r="B154" s="294" t="s">
        <v>543</v>
      </c>
      <c r="C154" s="131" t="s">
        <v>544</v>
      </c>
      <c r="D154" s="131">
        <v>0</v>
      </c>
      <c r="E154" s="295">
        <v>732.76</v>
      </c>
      <c r="F154" s="296">
        <v>115.37</v>
      </c>
      <c r="G154" s="131">
        <v>0</v>
      </c>
      <c r="H154" s="131"/>
      <c r="I154" s="131" t="str">
        <f t="shared" si="5"/>
        <v>SONDA - S.A.P. (Cnt. 2582/2021)</v>
      </c>
      <c r="J154" s="131">
        <f t="shared" si="6"/>
        <v>79</v>
      </c>
      <c r="K154" s="280"/>
      <c r="L154" s="280"/>
      <c r="M154" s="280"/>
      <c r="N154" s="280"/>
      <c r="O154" s="280"/>
      <c r="P154" s="280" t="s">
        <v>400</v>
      </c>
      <c r="Q154" s="280" t="s">
        <v>400</v>
      </c>
      <c r="R154" s="280" t="s">
        <v>400</v>
      </c>
      <c r="S154" s="280" t="s">
        <v>400</v>
      </c>
      <c r="T154" s="280" t="s">
        <v>400</v>
      </c>
      <c r="U154" s="280" t="s">
        <v>400</v>
      </c>
      <c r="V154" s="280"/>
      <c r="W154" s="280" t="s">
        <v>400</v>
      </c>
      <c r="X154" s="280"/>
      <c r="Y154" s="280">
        <v>3</v>
      </c>
      <c r="Z154" s="131">
        <v>1.35</v>
      </c>
      <c r="AA154" s="131"/>
      <c r="AB154" s="131"/>
      <c r="AC154" s="131"/>
      <c r="AD154" s="131"/>
      <c r="AE154" s="131"/>
      <c r="AF154" s="131"/>
      <c r="AG154" s="131"/>
      <c r="AH154" s="131"/>
      <c r="AI154" s="131"/>
      <c r="AJ154" s="131"/>
      <c r="AK154" s="131"/>
      <c r="AL154" s="131"/>
      <c r="AM154" s="131"/>
      <c r="AN154" s="131"/>
      <c r="AO154" s="131"/>
      <c r="AP154" s="131"/>
      <c r="AQ154" s="131"/>
    </row>
    <row r="155" spans="1:43" x14ac:dyDescent="0.2">
      <c r="A155" s="131">
        <v>80</v>
      </c>
      <c r="B155" s="294" t="s">
        <v>545</v>
      </c>
      <c r="C155" s="131" t="s">
        <v>546</v>
      </c>
      <c r="D155" s="131">
        <v>0</v>
      </c>
      <c r="E155" s="295">
        <v>0</v>
      </c>
      <c r="F155" s="296">
        <v>0</v>
      </c>
      <c r="G155" s="131">
        <v>0</v>
      </c>
      <c r="H155" s="131"/>
      <c r="I155" s="131" t="str">
        <f t="shared" si="5"/>
        <v>RESOURCE - Cartões (Cnt. 16754/2020)</v>
      </c>
      <c r="J155" s="131">
        <f t="shared" si="6"/>
        <v>80</v>
      </c>
      <c r="K155" s="280"/>
      <c r="L155" s="280"/>
      <c r="M155" s="280"/>
      <c r="N155" s="280"/>
      <c r="O155" s="280"/>
      <c r="P155" s="280" t="s">
        <v>400</v>
      </c>
      <c r="Q155" s="280" t="s">
        <v>400</v>
      </c>
      <c r="R155" s="280" t="s">
        <v>400</v>
      </c>
      <c r="S155" s="280" t="s">
        <v>400</v>
      </c>
      <c r="T155" s="280" t="s">
        <v>400</v>
      </c>
      <c r="U155" s="280" t="s">
        <v>400</v>
      </c>
      <c r="V155" s="280"/>
      <c r="W155" s="280" t="s">
        <v>400</v>
      </c>
      <c r="X155" s="280"/>
      <c r="Y155" s="280">
        <v>3</v>
      </c>
      <c r="Z155" s="131">
        <v>1.35</v>
      </c>
      <c r="AA155" s="131"/>
      <c r="AB155" s="131"/>
      <c r="AC155" s="131"/>
      <c r="AD155" s="131"/>
      <c r="AE155" s="131"/>
      <c r="AF155" s="131"/>
      <c r="AG155" s="131"/>
      <c r="AH155" s="131"/>
      <c r="AI155" s="131"/>
      <c r="AJ155" s="131"/>
      <c r="AK155" s="131"/>
      <c r="AL155" s="131"/>
      <c r="AM155" s="131"/>
      <c r="AN155" s="131"/>
      <c r="AO155" s="131"/>
      <c r="AP155" s="131"/>
      <c r="AQ155" s="131"/>
    </row>
    <row r="156" spans="1:43" x14ac:dyDescent="0.2">
      <c r="A156" s="131">
        <v>81</v>
      </c>
      <c r="B156" s="294" t="s">
        <v>547</v>
      </c>
      <c r="C156" s="131" t="s">
        <v>548</v>
      </c>
      <c r="D156" s="131">
        <v>0</v>
      </c>
      <c r="E156" s="295">
        <v>0</v>
      </c>
      <c r="F156" s="296">
        <v>0</v>
      </c>
      <c r="G156" s="131">
        <v>0</v>
      </c>
      <c r="H156" s="131"/>
      <c r="I156" s="131" t="str">
        <f t="shared" si="5"/>
        <v>SONSAS - Solução ALM (Cnt. 06696/2019)</v>
      </c>
      <c r="J156" s="131">
        <f t="shared" si="6"/>
        <v>81</v>
      </c>
      <c r="K156" s="280"/>
      <c r="L156" s="280"/>
      <c r="M156" s="280"/>
      <c r="N156" s="280"/>
      <c r="O156" s="280"/>
      <c r="P156" s="280"/>
      <c r="Q156" s="280"/>
      <c r="R156" s="280"/>
      <c r="S156" s="280"/>
      <c r="T156" s="280"/>
      <c r="U156" s="280"/>
      <c r="V156" s="280"/>
      <c r="W156" s="280"/>
      <c r="X156" s="280"/>
      <c r="Y156" s="280"/>
      <c r="Z156" s="131">
        <v>1.35</v>
      </c>
      <c r="AA156" s="131"/>
      <c r="AB156" s="131"/>
      <c r="AC156" s="131"/>
      <c r="AD156" s="131"/>
      <c r="AE156" s="131"/>
      <c r="AF156" s="131"/>
      <c r="AG156" s="131"/>
      <c r="AH156" s="131"/>
      <c r="AI156" s="131"/>
      <c r="AJ156" s="131"/>
      <c r="AK156" s="131"/>
      <c r="AL156" s="131"/>
      <c r="AM156" s="131"/>
      <c r="AN156" s="131"/>
      <c r="AO156" s="131"/>
      <c r="AP156" s="131"/>
      <c r="AQ156" s="131"/>
    </row>
    <row r="157" spans="1:43" x14ac:dyDescent="0.2">
      <c r="A157" s="131">
        <v>82</v>
      </c>
      <c r="B157" s="294" t="s">
        <v>549</v>
      </c>
      <c r="C157" s="131" t="s">
        <v>550</v>
      </c>
      <c r="D157" s="131">
        <v>0</v>
      </c>
      <c r="E157" s="295">
        <v>0</v>
      </c>
      <c r="F157" s="296">
        <v>0</v>
      </c>
      <c r="G157" s="131">
        <v>0</v>
      </c>
      <c r="H157" s="131"/>
      <c r="I157" s="131" t="str">
        <f t="shared" si="5"/>
        <v>CONSÓRCIO VERT &amp; SAS - CRM (Cnt. 11433/2019)</v>
      </c>
      <c r="J157" s="131">
        <f t="shared" si="6"/>
        <v>82</v>
      </c>
      <c r="K157" s="280"/>
      <c r="L157" s="280"/>
      <c r="M157" s="280"/>
      <c r="N157" s="280" t="s">
        <v>400</v>
      </c>
      <c r="O157" s="280"/>
      <c r="P157" s="280" t="s">
        <v>400</v>
      </c>
      <c r="Q157" s="280" t="s">
        <v>400</v>
      </c>
      <c r="R157" s="280" t="s">
        <v>400</v>
      </c>
      <c r="S157" s="280" t="s">
        <v>400</v>
      </c>
      <c r="T157" s="280" t="s">
        <v>400</v>
      </c>
      <c r="U157" s="280" t="s">
        <v>400</v>
      </c>
      <c r="V157" s="280" t="s">
        <v>400</v>
      </c>
      <c r="W157" s="280" t="s">
        <v>400</v>
      </c>
      <c r="X157" s="280"/>
      <c r="Y157" s="280">
        <v>3</v>
      </c>
      <c r="Z157" s="131">
        <v>1.35</v>
      </c>
      <c r="AA157" s="131"/>
      <c r="AB157" s="131"/>
      <c r="AC157" s="131"/>
      <c r="AD157" s="131"/>
      <c r="AE157" s="131"/>
      <c r="AF157" s="131"/>
      <c r="AG157" s="131"/>
      <c r="AH157" s="131"/>
      <c r="AI157" s="131"/>
      <c r="AJ157" s="131"/>
      <c r="AK157" s="131"/>
      <c r="AL157" s="131"/>
      <c r="AM157" s="131"/>
      <c r="AN157" s="131"/>
      <c r="AO157" s="131"/>
      <c r="AP157" s="131"/>
      <c r="AQ157" s="131"/>
    </row>
    <row r="158" spans="1:43" x14ac:dyDescent="0.2">
      <c r="A158" s="131">
        <v>83</v>
      </c>
      <c r="B158" s="294" t="s">
        <v>551</v>
      </c>
      <c r="C158" s="131" t="s">
        <v>552</v>
      </c>
      <c r="D158" s="131">
        <v>0</v>
      </c>
      <c r="E158" s="295">
        <v>0</v>
      </c>
      <c r="F158" s="296">
        <v>0</v>
      </c>
      <c r="G158" s="131">
        <v>0</v>
      </c>
      <c r="H158" s="131"/>
      <c r="I158" s="131" t="str">
        <f t="shared" si="5"/>
        <v>SONDA - Folha de Pagamento (Cnt. 03093/2021)</v>
      </c>
      <c r="J158" s="131">
        <f t="shared" si="6"/>
        <v>83</v>
      </c>
      <c r="K158" s="280"/>
      <c r="L158" s="280"/>
      <c r="M158" s="280"/>
      <c r="N158" s="280"/>
      <c r="O158" s="280"/>
      <c r="P158" s="280" t="s">
        <v>400</v>
      </c>
      <c r="Q158" s="280" t="s">
        <v>400</v>
      </c>
      <c r="R158" s="280" t="s">
        <v>400</v>
      </c>
      <c r="S158" s="280" t="s">
        <v>400</v>
      </c>
      <c r="T158" s="280" t="s">
        <v>400</v>
      </c>
      <c r="U158" s="280" t="s">
        <v>400</v>
      </c>
      <c r="V158" s="280"/>
      <c r="W158" s="280" t="s">
        <v>400</v>
      </c>
      <c r="X158" s="280"/>
      <c r="Y158" s="280">
        <v>3</v>
      </c>
      <c r="Z158" s="131">
        <v>1.35</v>
      </c>
      <c r="AA158" s="131"/>
      <c r="AB158" s="131"/>
      <c r="AC158" s="131"/>
      <c r="AD158" s="131"/>
      <c r="AE158" s="131"/>
      <c r="AF158" s="131"/>
      <c r="AG158" s="131"/>
      <c r="AH158" s="131"/>
      <c r="AI158" s="131"/>
      <c r="AJ158" s="131"/>
      <c r="AK158" s="131"/>
      <c r="AL158" s="131"/>
      <c r="AM158" s="131"/>
      <c r="AN158" s="131"/>
      <c r="AO158" s="131"/>
      <c r="AP158" s="131"/>
      <c r="AQ158" s="131"/>
    </row>
    <row r="159" spans="1:43" x14ac:dyDescent="0.2">
      <c r="A159" s="131">
        <v>84</v>
      </c>
      <c r="B159" s="294" t="s">
        <v>553</v>
      </c>
      <c r="C159" s="131" t="s">
        <v>554</v>
      </c>
      <c r="D159" s="131">
        <v>0</v>
      </c>
      <c r="E159" s="295">
        <v>0</v>
      </c>
      <c r="F159" s="296">
        <v>0</v>
      </c>
      <c r="G159" s="131">
        <v>0</v>
      </c>
      <c r="H159" s="131"/>
      <c r="I159" s="131" t="str">
        <f t="shared" si="5"/>
        <v>FOTON - Portal Inteligência (Cnt. 6834/2021)</v>
      </c>
      <c r="J159" s="131">
        <f t="shared" si="6"/>
        <v>84</v>
      </c>
      <c r="K159" s="280"/>
      <c r="L159" s="280"/>
      <c r="M159" s="280"/>
      <c r="N159" s="280"/>
      <c r="O159" s="280"/>
      <c r="P159" s="280" t="s">
        <v>400</v>
      </c>
      <c r="Q159" s="280" t="s">
        <v>400</v>
      </c>
      <c r="R159" s="280" t="s">
        <v>400</v>
      </c>
      <c r="S159" s="280" t="s">
        <v>400</v>
      </c>
      <c r="T159" s="280" t="s">
        <v>400</v>
      </c>
      <c r="U159" s="280" t="s">
        <v>400</v>
      </c>
      <c r="V159" s="280"/>
      <c r="W159" s="280" t="s">
        <v>400</v>
      </c>
      <c r="X159" s="280"/>
      <c r="Y159" s="280">
        <v>3</v>
      </c>
      <c r="Z159" s="131">
        <v>1.35</v>
      </c>
      <c r="AA159" s="131"/>
      <c r="AB159" s="131"/>
      <c r="AC159" s="131"/>
      <c r="AD159" s="131"/>
      <c r="AE159" s="131"/>
      <c r="AF159" s="131"/>
      <c r="AG159" s="131"/>
      <c r="AH159" s="131"/>
      <c r="AI159" s="131"/>
      <c r="AJ159" s="131"/>
      <c r="AK159" s="131"/>
      <c r="AL159" s="131"/>
      <c r="AM159" s="131"/>
      <c r="AN159" s="131"/>
      <c r="AO159" s="131"/>
      <c r="AP159" s="131"/>
      <c r="AQ159" s="131"/>
    </row>
    <row r="160" spans="1:43" x14ac:dyDescent="0.2">
      <c r="A160" s="131">
        <v>85</v>
      </c>
      <c r="B160" s="294" t="s">
        <v>555</v>
      </c>
      <c r="C160" s="131" t="s">
        <v>556</v>
      </c>
      <c r="D160" s="131">
        <v>0</v>
      </c>
      <c r="E160" s="295">
        <v>0</v>
      </c>
      <c r="F160" s="296">
        <v>0</v>
      </c>
      <c r="G160" s="131">
        <v>0</v>
      </c>
      <c r="H160" s="131"/>
      <c r="I160" s="131" t="str">
        <f t="shared" si="5"/>
        <v>GLOBALWEB - Créd/Financ/Pag (Cnt. 06285/2021)</v>
      </c>
      <c r="J160" s="131">
        <f t="shared" si="6"/>
        <v>85</v>
      </c>
      <c r="K160" s="280"/>
      <c r="L160" s="280"/>
      <c r="M160" s="280"/>
      <c r="N160" s="280"/>
      <c r="O160" s="280"/>
      <c r="P160" s="280" t="s">
        <v>400</v>
      </c>
      <c r="Q160" s="280" t="s">
        <v>400</v>
      </c>
      <c r="R160" s="280" t="s">
        <v>400</v>
      </c>
      <c r="S160" s="280" t="s">
        <v>400</v>
      </c>
      <c r="T160" s="280" t="s">
        <v>400</v>
      </c>
      <c r="U160" s="280" t="s">
        <v>400</v>
      </c>
      <c r="V160" s="280"/>
      <c r="W160" s="280" t="s">
        <v>400</v>
      </c>
      <c r="X160" s="280"/>
      <c r="Y160" s="280">
        <v>3</v>
      </c>
      <c r="Z160" s="131">
        <v>1.35</v>
      </c>
      <c r="AA160" s="131"/>
      <c r="AB160" s="131"/>
      <c r="AC160" s="131"/>
      <c r="AD160" s="131"/>
      <c r="AE160" s="131"/>
      <c r="AF160" s="131"/>
      <c r="AG160" s="131"/>
      <c r="AH160" s="131"/>
      <c r="AI160" s="131"/>
      <c r="AJ160" s="131"/>
      <c r="AK160" s="131"/>
      <c r="AL160" s="131"/>
      <c r="AM160" s="131"/>
      <c r="AN160" s="131"/>
      <c r="AO160" s="131"/>
      <c r="AP160" s="131"/>
      <c r="AQ160" s="131"/>
    </row>
    <row r="161" spans="1:43" x14ac:dyDescent="0.2">
      <c r="A161" s="131"/>
      <c r="B161" s="294"/>
      <c r="C161" s="131"/>
      <c r="D161" s="131"/>
      <c r="E161" s="295"/>
      <c r="F161" s="296"/>
      <c r="G161" s="131"/>
      <c r="H161" s="131"/>
      <c r="I161" s="131"/>
      <c r="J161" s="131"/>
      <c r="K161" s="131"/>
      <c r="L161" s="131"/>
      <c r="M161" s="131"/>
      <c r="N161" s="131"/>
      <c r="O161" s="131"/>
      <c r="P161" s="131"/>
      <c r="Q161" s="131"/>
      <c r="R161" s="131"/>
      <c r="S161" s="131"/>
      <c r="T161" s="131"/>
      <c r="U161" s="131"/>
      <c r="V161" s="131"/>
      <c r="W161" s="131"/>
      <c r="X161" s="131"/>
      <c r="Y161" s="131"/>
      <c r="Z161" s="131"/>
      <c r="AA161" s="131"/>
      <c r="AB161" s="131"/>
      <c r="AC161" s="131"/>
      <c r="AD161" s="131"/>
      <c r="AE161" s="131"/>
      <c r="AF161" s="131"/>
      <c r="AG161" s="131"/>
      <c r="AH161" s="131"/>
      <c r="AI161" s="131"/>
      <c r="AJ161" s="131"/>
      <c r="AK161" s="131"/>
      <c r="AL161" s="131"/>
      <c r="AM161" s="131"/>
      <c r="AN161" s="131"/>
      <c r="AO161" s="131"/>
      <c r="AP161" s="131"/>
      <c r="AQ161" s="131"/>
    </row>
    <row r="162" spans="1:43" x14ac:dyDescent="0.2">
      <c r="A162" s="131"/>
      <c r="B162" s="294"/>
      <c r="C162" s="131"/>
      <c r="D162" s="131"/>
      <c r="E162" s="295"/>
      <c r="F162" s="296"/>
      <c r="G162" s="131"/>
      <c r="H162" s="131"/>
      <c r="I162" s="131"/>
      <c r="J162" s="131"/>
      <c r="K162" s="131"/>
      <c r="L162" s="131"/>
      <c r="M162" s="131"/>
      <c r="N162" s="131"/>
      <c r="O162" s="131"/>
      <c r="P162" s="131"/>
      <c r="Q162" s="131"/>
      <c r="R162" s="131"/>
      <c r="S162" s="131"/>
      <c r="T162" s="131"/>
      <c r="U162" s="131"/>
      <c r="V162" s="131"/>
      <c r="W162" s="131"/>
      <c r="X162" s="131"/>
      <c r="Y162" s="131"/>
      <c r="Z162" s="131"/>
      <c r="AA162" s="131"/>
      <c r="AB162" s="131"/>
      <c r="AC162" s="131"/>
      <c r="AD162" s="131"/>
      <c r="AE162" s="131"/>
      <c r="AF162" s="131"/>
      <c r="AG162" s="131"/>
      <c r="AH162" s="131"/>
      <c r="AI162" s="131"/>
      <c r="AJ162" s="131"/>
      <c r="AK162" s="131"/>
      <c r="AL162" s="131"/>
      <c r="AM162" s="131"/>
      <c r="AN162" s="131"/>
      <c r="AO162" s="131"/>
      <c r="AP162" s="131"/>
      <c r="AQ162" s="131"/>
    </row>
    <row r="163" spans="1:43" x14ac:dyDescent="0.2">
      <c r="A163" s="131"/>
      <c r="B163" s="294"/>
      <c r="C163" s="131"/>
      <c r="D163" s="131"/>
      <c r="E163" s="295"/>
      <c r="F163" s="296"/>
      <c r="G163" s="296"/>
      <c r="H163" s="131"/>
      <c r="I163" s="131"/>
      <c r="J163" s="131"/>
      <c r="K163" s="131"/>
      <c r="L163" s="131"/>
      <c r="M163" s="131"/>
      <c r="N163" s="131"/>
      <c r="O163" s="131"/>
      <c r="P163" s="131"/>
      <c r="Q163" s="131"/>
      <c r="R163" s="131"/>
      <c r="S163" s="131"/>
      <c r="T163" s="131"/>
      <c r="U163" s="131"/>
      <c r="V163" s="131"/>
      <c r="W163" s="131"/>
      <c r="X163" s="131"/>
      <c r="Y163" s="131"/>
      <c r="Z163" s="131"/>
      <c r="AA163" s="131"/>
      <c r="AB163" s="131"/>
      <c r="AC163" s="131"/>
      <c r="AD163" s="131"/>
      <c r="AE163" s="131"/>
      <c r="AF163" s="131"/>
      <c r="AG163" s="131"/>
      <c r="AH163" s="131"/>
      <c r="AI163" s="131"/>
      <c r="AJ163" s="131"/>
      <c r="AK163" s="131"/>
      <c r="AL163" s="131"/>
      <c r="AM163" s="131"/>
      <c r="AN163" s="131"/>
      <c r="AO163" s="131"/>
      <c r="AP163" s="131"/>
      <c r="AQ163" s="131"/>
    </row>
    <row r="164" spans="1:43" x14ac:dyDescent="0.2">
      <c r="A164" s="131"/>
      <c r="B164" s="294"/>
      <c r="C164" s="131"/>
      <c r="D164" s="131"/>
      <c r="E164" s="295"/>
      <c r="F164" s="296"/>
      <c r="G164" s="296"/>
      <c r="H164" s="131"/>
      <c r="I164" s="131"/>
      <c r="J164" s="131"/>
      <c r="K164" s="131"/>
      <c r="L164" s="131"/>
      <c r="M164" s="131"/>
      <c r="N164" s="131"/>
      <c r="O164" s="131"/>
      <c r="P164" s="131"/>
      <c r="Q164" s="131"/>
      <c r="R164" s="131"/>
      <c r="S164" s="131"/>
      <c r="T164" s="131"/>
      <c r="U164" s="131"/>
      <c r="V164" s="131"/>
      <c r="W164" s="131"/>
      <c r="X164" s="131"/>
      <c r="Y164" s="131"/>
      <c r="Z164" s="131"/>
      <c r="AA164" s="131"/>
      <c r="AB164" s="131"/>
      <c r="AC164" s="131"/>
      <c r="AD164" s="131"/>
      <c r="AE164" s="131"/>
      <c r="AF164" s="131"/>
      <c r="AG164" s="131"/>
      <c r="AH164" s="131"/>
      <c r="AI164" s="131"/>
      <c r="AJ164" s="131"/>
      <c r="AK164" s="131"/>
      <c r="AL164" s="131"/>
      <c r="AM164" s="131"/>
      <c r="AN164" s="131"/>
      <c r="AO164" s="131"/>
      <c r="AP164" s="131"/>
      <c r="AQ164" s="131"/>
    </row>
    <row r="165" spans="1:43" x14ac:dyDescent="0.2">
      <c r="A165" s="131"/>
      <c r="B165" s="294"/>
      <c r="C165" s="131"/>
      <c r="D165" s="131"/>
      <c r="E165" s="295"/>
      <c r="F165" s="296"/>
      <c r="G165" s="296"/>
      <c r="H165" s="131"/>
      <c r="I165" s="131"/>
      <c r="J165" s="131"/>
      <c r="K165" s="131"/>
      <c r="L165" s="131"/>
      <c r="M165" s="131"/>
      <c r="N165" s="131"/>
      <c r="O165" s="131"/>
      <c r="P165" s="131"/>
      <c r="Q165" s="131"/>
      <c r="R165" s="131"/>
      <c r="S165" s="131"/>
      <c r="T165" s="131"/>
      <c r="U165" s="131"/>
      <c r="V165" s="131"/>
      <c r="W165" s="131"/>
      <c r="X165" s="131"/>
      <c r="Y165" s="131"/>
      <c r="Z165" s="131"/>
      <c r="AA165" s="131"/>
      <c r="AB165" s="131"/>
      <c r="AC165" s="131"/>
      <c r="AD165" s="131"/>
      <c r="AE165" s="131"/>
      <c r="AF165" s="131"/>
      <c r="AG165" s="131"/>
      <c r="AH165" s="131"/>
      <c r="AI165" s="131"/>
      <c r="AJ165" s="131"/>
      <c r="AK165" s="131"/>
      <c r="AL165" s="131"/>
      <c r="AM165" s="131"/>
      <c r="AN165" s="131"/>
      <c r="AO165" s="131"/>
      <c r="AP165" s="131"/>
      <c r="AQ165" s="131"/>
    </row>
    <row r="166" spans="1:43" x14ac:dyDescent="0.2">
      <c r="A166" s="131"/>
      <c r="B166" s="294"/>
      <c r="C166" s="131"/>
      <c r="D166" s="131"/>
      <c r="E166" s="295"/>
      <c r="F166" s="296"/>
      <c r="G166" s="296"/>
      <c r="H166" s="131"/>
      <c r="I166" s="131"/>
      <c r="J166" s="131"/>
      <c r="K166" s="131"/>
      <c r="L166" s="131"/>
      <c r="M166" s="131"/>
      <c r="N166" s="131"/>
      <c r="O166" s="131"/>
      <c r="P166" s="131"/>
      <c r="Q166" s="131"/>
      <c r="R166" s="131"/>
      <c r="S166" s="131"/>
      <c r="T166" s="131"/>
      <c r="U166" s="131"/>
      <c r="V166" s="131"/>
      <c r="W166" s="131"/>
      <c r="X166" s="131"/>
      <c r="Y166" s="131"/>
      <c r="Z166" s="131"/>
      <c r="AA166" s="131"/>
      <c r="AB166" s="131"/>
      <c r="AC166" s="131"/>
      <c r="AD166" s="131"/>
      <c r="AE166" s="131"/>
      <c r="AF166" s="131"/>
      <c r="AG166" s="131"/>
      <c r="AH166" s="131"/>
      <c r="AI166" s="131"/>
      <c r="AJ166" s="131"/>
      <c r="AK166" s="131"/>
      <c r="AL166" s="131"/>
      <c r="AM166" s="131"/>
      <c r="AN166" s="131"/>
      <c r="AO166" s="131"/>
      <c r="AP166" s="131"/>
      <c r="AQ166" s="131"/>
    </row>
    <row r="167" spans="1:43" x14ac:dyDescent="0.2">
      <c r="A167" s="131"/>
      <c r="B167" s="294"/>
      <c r="C167" s="131"/>
      <c r="D167" s="131"/>
      <c r="E167" s="295"/>
      <c r="F167" s="296"/>
      <c r="G167" s="296"/>
      <c r="H167" s="131"/>
      <c r="I167" s="131"/>
      <c r="J167" s="131"/>
      <c r="K167" s="131"/>
      <c r="L167" s="131"/>
      <c r="M167" s="131"/>
      <c r="N167" s="131"/>
      <c r="O167" s="131"/>
      <c r="P167" s="131"/>
      <c r="Q167" s="131"/>
      <c r="R167" s="131"/>
      <c r="S167" s="131"/>
      <c r="T167" s="131"/>
      <c r="U167" s="131"/>
      <c r="V167" s="131"/>
      <c r="W167" s="131"/>
      <c r="X167" s="131"/>
      <c r="Y167" s="131"/>
      <c r="Z167" s="131"/>
      <c r="AA167" s="131"/>
      <c r="AB167" s="131"/>
      <c r="AC167" s="131"/>
      <c r="AD167" s="131"/>
      <c r="AE167" s="131"/>
      <c r="AF167" s="131"/>
      <c r="AG167" s="131"/>
      <c r="AH167" s="131"/>
      <c r="AI167" s="131"/>
      <c r="AJ167" s="131"/>
      <c r="AK167" s="131"/>
      <c r="AL167" s="131"/>
      <c r="AM167" s="131"/>
      <c r="AN167" s="131"/>
      <c r="AO167" s="131"/>
      <c r="AP167" s="131"/>
      <c r="AQ167" s="131"/>
    </row>
    <row r="168" spans="1:43" x14ac:dyDescent="0.2">
      <c r="A168" s="131"/>
      <c r="B168" s="294"/>
      <c r="C168" s="131"/>
      <c r="D168" s="131"/>
      <c r="E168" s="295"/>
      <c r="F168" s="296"/>
      <c r="G168" s="131"/>
      <c r="H168" s="131"/>
      <c r="I168" s="131"/>
      <c r="J168" s="131"/>
      <c r="K168" s="131"/>
      <c r="L168" s="131"/>
      <c r="M168" s="131"/>
      <c r="N168" s="131"/>
      <c r="O168" s="131"/>
      <c r="P168" s="131"/>
      <c r="Q168" s="131"/>
      <c r="R168" s="131"/>
      <c r="S168" s="131"/>
      <c r="T168" s="131"/>
      <c r="U168" s="131"/>
      <c r="V168" s="131"/>
      <c r="W168" s="131"/>
      <c r="X168" s="131"/>
      <c r="Y168" s="131"/>
      <c r="Z168" s="131"/>
      <c r="AA168" s="131"/>
      <c r="AB168" s="131"/>
      <c r="AC168" s="131"/>
      <c r="AD168" s="131"/>
      <c r="AE168" s="131"/>
      <c r="AF168" s="131"/>
      <c r="AG168" s="131"/>
      <c r="AH168" s="131"/>
      <c r="AI168" s="131"/>
      <c r="AJ168" s="131"/>
      <c r="AK168" s="131"/>
      <c r="AL168" s="131"/>
      <c r="AM168" s="131"/>
      <c r="AN168" s="131"/>
      <c r="AO168" s="131"/>
      <c r="AP168" s="131"/>
      <c r="AQ168" s="131"/>
    </row>
    <row r="169" spans="1:43" x14ac:dyDescent="0.2">
      <c r="A169" s="131"/>
      <c r="B169" s="131"/>
      <c r="C169" s="131"/>
      <c r="D169" s="131"/>
      <c r="E169" s="295"/>
      <c r="F169" s="131"/>
      <c r="G169" s="296"/>
      <c r="H169" s="131"/>
      <c r="I169" s="131"/>
      <c r="J169" s="131"/>
      <c r="K169" s="131"/>
      <c r="L169" s="131"/>
      <c r="M169" s="131"/>
      <c r="N169" s="131"/>
      <c r="O169" s="131"/>
      <c r="P169" s="131"/>
      <c r="Q169" s="131"/>
      <c r="R169" s="131"/>
      <c r="S169" s="131"/>
      <c r="T169" s="131"/>
      <c r="U169" s="131"/>
      <c r="V169" s="131"/>
      <c r="W169" s="131"/>
      <c r="X169" s="131"/>
      <c r="Y169" s="131"/>
      <c r="Z169" s="131"/>
      <c r="AA169" s="131"/>
      <c r="AB169" s="131"/>
      <c r="AC169" s="131"/>
      <c r="AD169" s="131"/>
      <c r="AE169" s="131"/>
      <c r="AF169" s="131"/>
      <c r="AG169" s="131"/>
      <c r="AH169" s="131"/>
      <c r="AI169" s="131"/>
      <c r="AJ169" s="131"/>
      <c r="AK169" s="131"/>
      <c r="AL169" s="131"/>
      <c r="AM169" s="131"/>
      <c r="AN169" s="131"/>
      <c r="AO169" s="131"/>
      <c r="AP169" s="131"/>
      <c r="AQ169" s="131"/>
    </row>
    <row r="170" spans="1:43" x14ac:dyDescent="0.2">
      <c r="A170" s="131"/>
      <c r="B170" s="131"/>
      <c r="C170" s="131"/>
      <c r="D170" s="131"/>
      <c r="E170" s="295"/>
      <c r="F170" s="131"/>
      <c r="G170" s="297"/>
      <c r="H170" s="131"/>
      <c r="I170" s="131"/>
      <c r="J170" s="131"/>
      <c r="K170" s="131"/>
      <c r="L170" s="131"/>
      <c r="M170" s="131"/>
      <c r="N170" s="131"/>
      <c r="O170" s="131"/>
      <c r="P170" s="131"/>
      <c r="Q170" s="131"/>
      <c r="R170" s="131"/>
      <c r="S170" s="131"/>
      <c r="T170" s="131"/>
      <c r="U170" s="131"/>
      <c r="V170" s="131"/>
      <c r="W170" s="131"/>
      <c r="X170" s="131"/>
      <c r="Y170" s="131"/>
      <c r="Z170" s="131"/>
      <c r="AA170" s="131"/>
      <c r="AB170" s="131"/>
      <c r="AC170" s="131"/>
      <c r="AD170" s="131"/>
      <c r="AE170" s="131"/>
      <c r="AF170" s="131"/>
      <c r="AG170" s="131"/>
      <c r="AH170" s="131"/>
      <c r="AI170" s="131"/>
      <c r="AJ170" s="131"/>
      <c r="AK170" s="131"/>
      <c r="AL170" s="131"/>
      <c r="AM170" s="131"/>
      <c r="AN170" s="131"/>
      <c r="AO170" s="131"/>
      <c r="AP170" s="131"/>
      <c r="AQ170" s="131"/>
    </row>
    <row r="171" spans="1:43" x14ac:dyDescent="0.2">
      <c r="A171" s="131"/>
      <c r="B171" s="131"/>
      <c r="C171" s="131"/>
      <c r="D171" s="131"/>
      <c r="E171" s="295"/>
      <c r="F171" s="131"/>
      <c r="G171" s="297"/>
      <c r="H171" s="131"/>
      <c r="I171" s="131"/>
      <c r="J171" s="131"/>
      <c r="K171" s="131"/>
      <c r="L171" s="131"/>
      <c r="M171" s="131"/>
      <c r="N171" s="131"/>
      <c r="O171" s="131"/>
      <c r="P171" s="131"/>
      <c r="Q171" s="131"/>
      <c r="R171" s="131"/>
      <c r="S171" s="131"/>
      <c r="T171" s="131"/>
      <c r="U171" s="131"/>
      <c r="V171" s="131"/>
      <c r="W171" s="131"/>
      <c r="X171" s="131"/>
      <c r="Y171" s="131"/>
      <c r="Z171" s="131"/>
      <c r="AA171" s="131"/>
      <c r="AB171" s="131"/>
      <c r="AC171" s="131"/>
      <c r="AD171" s="131"/>
      <c r="AE171" s="131"/>
      <c r="AF171" s="131"/>
      <c r="AG171" s="131"/>
      <c r="AH171" s="131"/>
      <c r="AI171" s="131"/>
      <c r="AJ171" s="131"/>
      <c r="AK171" s="131"/>
      <c r="AL171" s="131"/>
      <c r="AM171" s="131"/>
      <c r="AN171" s="131"/>
      <c r="AO171" s="131"/>
      <c r="AP171" s="131"/>
      <c r="AQ171" s="131"/>
    </row>
    <row r="172" spans="1:43" x14ac:dyDescent="0.2">
      <c r="A172" s="131"/>
      <c r="B172" s="294" t="s">
        <v>557</v>
      </c>
      <c r="C172" s="131" t="s">
        <v>558</v>
      </c>
      <c r="D172" s="131"/>
      <c r="E172" s="295"/>
      <c r="F172" s="296"/>
      <c r="G172" s="297"/>
      <c r="H172" s="131"/>
      <c r="I172" s="131"/>
      <c r="J172" s="131"/>
      <c r="K172" s="131"/>
      <c r="L172" s="131"/>
      <c r="M172" s="131"/>
      <c r="N172" s="131"/>
      <c r="O172" s="131"/>
      <c r="P172" s="131"/>
      <c r="Q172" s="131"/>
      <c r="R172" s="131"/>
      <c r="S172" s="131"/>
      <c r="T172" s="131"/>
      <c r="U172" s="131"/>
      <c r="V172" s="131"/>
      <c r="W172" s="131"/>
      <c r="X172" s="131"/>
      <c r="Y172" s="131"/>
      <c r="Z172" s="131"/>
      <c r="AA172" s="131"/>
      <c r="AB172" s="131"/>
      <c r="AC172" s="131"/>
      <c r="AD172" s="131"/>
      <c r="AE172" s="131"/>
      <c r="AF172" s="131"/>
      <c r="AG172" s="131"/>
      <c r="AH172" s="131"/>
      <c r="AI172" s="131"/>
      <c r="AJ172" s="131"/>
      <c r="AK172" s="131"/>
      <c r="AL172" s="131"/>
      <c r="AM172" s="131"/>
      <c r="AN172" s="131"/>
      <c r="AO172" s="131"/>
      <c r="AP172" s="131"/>
      <c r="AQ172" s="131"/>
    </row>
    <row r="173" spans="1:43" x14ac:dyDescent="0.2">
      <c r="A173" s="131"/>
      <c r="B173" s="131" t="s">
        <v>559</v>
      </c>
      <c r="C173" s="131" t="s">
        <v>336</v>
      </c>
      <c r="D173" s="131">
        <v>900</v>
      </c>
      <c r="E173" s="295">
        <v>47.5</v>
      </c>
      <c r="F173" s="296">
        <v>0</v>
      </c>
      <c r="G173" s="297"/>
      <c r="H173" s="131"/>
      <c r="I173" s="131"/>
      <c r="J173" s="131"/>
      <c r="K173" s="131"/>
      <c r="L173" s="131"/>
      <c r="M173" s="131"/>
      <c r="N173" s="131"/>
      <c r="O173" s="131"/>
      <c r="P173" s="131"/>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row>
    <row r="174" spans="1:43" x14ac:dyDescent="0.2">
      <c r="A174" s="131"/>
      <c r="B174" s="131" t="s">
        <v>560</v>
      </c>
      <c r="C174" s="131" t="s">
        <v>117</v>
      </c>
      <c r="D174" s="131">
        <v>700</v>
      </c>
      <c r="E174" s="295">
        <v>47.5</v>
      </c>
      <c r="F174" s="296">
        <v>0</v>
      </c>
      <c r="G174" s="296"/>
      <c r="H174" s="131"/>
      <c r="I174" s="131"/>
      <c r="J174" s="131"/>
      <c r="K174" s="131"/>
      <c r="L174" s="131"/>
      <c r="M174" s="131"/>
      <c r="N174" s="131"/>
      <c r="O174" s="131"/>
      <c r="P174" s="131"/>
      <c r="Q174" s="131"/>
      <c r="R174" s="131"/>
      <c r="S174" s="131"/>
      <c r="T174" s="131"/>
      <c r="U174" s="131"/>
      <c r="V174" s="131"/>
      <c r="W174" s="131"/>
      <c r="X174" s="131"/>
      <c r="Y174" s="131"/>
      <c r="Z174" s="131"/>
      <c r="AA174" s="131"/>
      <c r="AB174" s="131"/>
      <c r="AC174" s="131"/>
      <c r="AD174" s="131"/>
      <c r="AE174" s="131"/>
      <c r="AF174" s="131"/>
      <c r="AG174" s="131"/>
      <c r="AH174" s="131"/>
      <c r="AI174" s="131"/>
      <c r="AJ174" s="131"/>
      <c r="AK174" s="131"/>
      <c r="AL174" s="131"/>
      <c r="AM174" s="131"/>
      <c r="AN174" s="131"/>
      <c r="AO174" s="131"/>
      <c r="AP174" s="131"/>
      <c r="AQ174" s="131"/>
    </row>
    <row r="175" spans="1:43" x14ac:dyDescent="0.2">
      <c r="A175" s="131"/>
      <c r="B175" s="131"/>
      <c r="C175" s="131" t="s">
        <v>337</v>
      </c>
      <c r="D175" s="131">
        <v>300</v>
      </c>
      <c r="E175" s="295">
        <v>47.5</v>
      </c>
      <c r="F175" s="296">
        <v>0</v>
      </c>
      <c r="G175" s="131"/>
      <c r="H175" s="131"/>
      <c r="I175" s="131"/>
      <c r="J175" s="131"/>
      <c r="K175" s="131"/>
      <c r="L175" s="131"/>
      <c r="M175" s="131"/>
      <c r="N175" s="131"/>
      <c r="O175" s="131"/>
      <c r="P175" s="131"/>
      <c r="Q175" s="131"/>
      <c r="R175" s="131"/>
      <c r="S175" s="131"/>
      <c r="T175" s="131"/>
      <c r="U175" s="131"/>
      <c r="V175" s="131"/>
      <c r="W175" s="131"/>
      <c r="X175" s="131"/>
      <c r="Y175" s="131"/>
      <c r="Z175" s="131"/>
      <c r="AA175" s="131"/>
      <c r="AB175" s="131"/>
      <c r="AC175" s="131"/>
      <c r="AD175" s="131"/>
      <c r="AE175" s="131"/>
      <c r="AF175" s="131"/>
      <c r="AG175" s="131"/>
      <c r="AH175" s="131"/>
      <c r="AI175" s="131"/>
      <c r="AJ175" s="131"/>
      <c r="AK175" s="131"/>
      <c r="AL175" s="131"/>
      <c r="AM175" s="131"/>
      <c r="AN175" s="131"/>
      <c r="AO175" s="131"/>
      <c r="AP175" s="131"/>
      <c r="AQ175" s="131"/>
    </row>
    <row r="176" spans="1:43" x14ac:dyDescent="0.2">
      <c r="A176" s="131"/>
      <c r="B176" s="131"/>
      <c r="C176" s="131" t="s">
        <v>561</v>
      </c>
      <c r="D176" s="131">
        <v>0.8</v>
      </c>
      <c r="E176" s="295">
        <v>47.5</v>
      </c>
      <c r="F176" s="296">
        <v>0</v>
      </c>
      <c r="G176" s="131"/>
      <c r="H176" s="131"/>
      <c r="I176" s="131"/>
      <c r="J176" s="131"/>
      <c r="K176" s="131"/>
      <c r="L176" s="131"/>
      <c r="M176" s="131"/>
      <c r="N176" s="131"/>
      <c r="O176" s="131"/>
      <c r="P176" s="131"/>
      <c r="Q176" s="131"/>
      <c r="R176" s="131"/>
      <c r="S176" s="131"/>
      <c r="T176" s="131"/>
      <c r="U176" s="131"/>
      <c r="V176" s="131"/>
      <c r="W176" s="131"/>
      <c r="X176" s="131"/>
      <c r="Y176" s="131"/>
      <c r="Z176" s="131"/>
      <c r="AA176" s="131"/>
      <c r="AB176" s="131"/>
      <c r="AC176" s="131"/>
      <c r="AD176" s="131"/>
      <c r="AE176" s="131"/>
      <c r="AF176" s="131"/>
      <c r="AG176" s="131"/>
      <c r="AH176" s="131"/>
      <c r="AI176" s="131"/>
      <c r="AJ176" s="131"/>
      <c r="AK176" s="131"/>
      <c r="AL176" s="131"/>
      <c r="AM176" s="131"/>
      <c r="AN176" s="131"/>
      <c r="AO176" s="131"/>
      <c r="AP176" s="131"/>
      <c r="AQ176" s="131"/>
    </row>
    <row r="177" spans="1:43" x14ac:dyDescent="0.2">
      <c r="A177" s="131"/>
      <c r="B177" s="131"/>
      <c r="C177" s="131"/>
      <c r="D177" s="131"/>
      <c r="E177" s="295"/>
      <c r="F177" s="131"/>
      <c r="G177" s="131"/>
      <c r="H177" s="131"/>
      <c r="I177" s="131"/>
      <c r="J177" s="131"/>
      <c r="K177" s="131"/>
      <c r="L177" s="131"/>
      <c r="M177" s="131"/>
      <c r="N177" s="131"/>
      <c r="O177" s="131"/>
      <c r="P177" s="131"/>
      <c r="Q177" s="131"/>
      <c r="R177" s="131"/>
      <c r="S177" s="131"/>
      <c r="T177" s="131"/>
      <c r="U177" s="131"/>
      <c r="V177" s="131"/>
      <c r="W177" s="131"/>
      <c r="X177" s="131"/>
      <c r="Y177" s="131"/>
      <c r="Z177" s="131"/>
      <c r="AA177" s="131"/>
      <c r="AB177" s="131"/>
      <c r="AC177" s="131"/>
      <c r="AD177" s="131"/>
      <c r="AE177" s="131"/>
      <c r="AF177" s="131"/>
      <c r="AG177" s="131"/>
      <c r="AH177" s="131"/>
      <c r="AI177" s="131"/>
      <c r="AJ177" s="131"/>
      <c r="AK177" s="131"/>
      <c r="AL177" s="131"/>
      <c r="AM177" s="131"/>
      <c r="AN177" s="131"/>
      <c r="AO177" s="131"/>
      <c r="AP177" s="131"/>
      <c r="AQ177" s="131"/>
    </row>
    <row r="178" spans="1:43" x14ac:dyDescent="0.2">
      <c r="A178" s="131"/>
      <c r="B178" s="131"/>
      <c r="C178" s="131" t="s">
        <v>562</v>
      </c>
      <c r="D178" s="131" t="s">
        <v>563</v>
      </c>
      <c r="E178" s="295" t="s">
        <v>564</v>
      </c>
      <c r="F178" s="296" t="s">
        <v>565</v>
      </c>
      <c r="G178" s="131"/>
      <c r="H178" s="131"/>
      <c r="I178" s="131"/>
      <c r="J178" s="131"/>
      <c r="K178" s="131"/>
      <c r="L178" s="131"/>
      <c r="M178" s="131"/>
      <c r="N178" s="131"/>
      <c r="O178" s="131"/>
      <c r="P178" s="131"/>
      <c r="Q178" s="131"/>
      <c r="R178" s="131"/>
      <c r="S178" s="131"/>
      <c r="T178" s="131"/>
      <c r="U178" s="131"/>
      <c r="V178" s="131"/>
      <c r="W178" s="131"/>
      <c r="X178" s="131"/>
      <c r="Y178" s="131"/>
      <c r="Z178" s="131"/>
      <c r="AA178" s="131"/>
      <c r="AB178" s="131"/>
      <c r="AC178" s="131"/>
      <c r="AD178" s="131"/>
      <c r="AE178" s="131"/>
      <c r="AF178" s="131"/>
      <c r="AG178" s="131"/>
      <c r="AH178" s="131"/>
      <c r="AI178" s="131"/>
      <c r="AJ178" s="131"/>
      <c r="AK178" s="131"/>
      <c r="AL178" s="131"/>
      <c r="AM178" s="131"/>
      <c r="AN178" s="131"/>
      <c r="AO178" s="131"/>
      <c r="AP178" s="131"/>
      <c r="AQ178" s="131"/>
    </row>
    <row r="179" spans="1:43" x14ac:dyDescent="0.2">
      <c r="A179" s="131"/>
      <c r="B179" s="131"/>
      <c r="C179" s="131" t="s">
        <v>337</v>
      </c>
      <c r="D179" s="297">
        <v>22.5</v>
      </c>
      <c r="E179" s="297">
        <v>26.6</v>
      </c>
      <c r="F179" s="297">
        <v>28.1</v>
      </c>
      <c r="G179" s="131"/>
      <c r="H179" s="131"/>
      <c r="I179" s="131"/>
      <c r="J179" s="131"/>
      <c r="K179" s="131"/>
      <c r="L179" s="131"/>
      <c r="M179" s="131"/>
      <c r="N179" s="131"/>
      <c r="O179" s="131"/>
      <c r="P179" s="131"/>
      <c r="Q179" s="131"/>
      <c r="R179" s="131"/>
      <c r="S179" s="131"/>
      <c r="T179" s="131"/>
      <c r="U179" s="131"/>
      <c r="V179" s="131"/>
      <c r="W179" s="131"/>
      <c r="X179" s="131"/>
      <c r="Y179" s="131"/>
      <c r="Z179" s="131"/>
      <c r="AA179" s="131"/>
      <c r="AB179" s="131"/>
      <c r="AC179" s="131"/>
      <c r="AD179" s="131"/>
      <c r="AE179" s="131"/>
      <c r="AF179" s="131"/>
      <c r="AG179" s="131"/>
      <c r="AH179" s="131"/>
      <c r="AI179" s="131"/>
      <c r="AJ179" s="131"/>
      <c r="AK179" s="131"/>
      <c r="AL179" s="131"/>
      <c r="AM179" s="131"/>
      <c r="AN179" s="131"/>
      <c r="AO179" s="131"/>
      <c r="AP179" s="131"/>
      <c r="AQ179" s="131"/>
    </row>
    <row r="180" spans="1:43" x14ac:dyDescent="0.2">
      <c r="A180" s="131"/>
      <c r="B180" s="131"/>
      <c r="C180" s="131" t="s">
        <v>117</v>
      </c>
      <c r="D180" s="297">
        <v>45</v>
      </c>
      <c r="E180" s="297">
        <v>53.2</v>
      </c>
      <c r="F180" s="297">
        <v>56.2</v>
      </c>
      <c r="G180" s="131"/>
      <c r="H180" s="131"/>
      <c r="I180" s="131"/>
      <c r="J180" s="131"/>
      <c r="K180" s="131"/>
      <c r="L180" s="131"/>
      <c r="M180" s="131"/>
      <c r="N180" s="131"/>
      <c r="O180" s="131"/>
      <c r="P180" s="131"/>
      <c r="Q180" s="131"/>
      <c r="R180" s="131"/>
      <c r="S180" s="131"/>
      <c r="T180" s="131"/>
      <c r="U180" s="131"/>
      <c r="V180" s="131"/>
      <c r="W180" s="131"/>
      <c r="X180" s="131"/>
      <c r="Y180" s="131"/>
      <c r="Z180" s="131"/>
      <c r="AA180" s="131"/>
      <c r="AB180" s="131"/>
      <c r="AC180" s="131"/>
      <c r="AD180" s="131"/>
      <c r="AE180" s="131"/>
      <c r="AF180" s="131"/>
      <c r="AG180" s="131"/>
      <c r="AH180" s="131"/>
      <c r="AI180" s="131"/>
      <c r="AJ180" s="131"/>
      <c r="AK180" s="131"/>
      <c r="AL180" s="131"/>
      <c r="AM180" s="131"/>
      <c r="AN180" s="131"/>
      <c r="AO180" s="131"/>
      <c r="AP180" s="131"/>
      <c r="AQ180" s="131"/>
    </row>
    <row r="181" spans="1:43" x14ac:dyDescent="0.2">
      <c r="A181" s="131"/>
      <c r="B181" s="131"/>
      <c r="C181" s="131" t="s">
        <v>336</v>
      </c>
      <c r="D181" s="297">
        <v>67.5</v>
      </c>
      <c r="E181" s="297">
        <v>79.8</v>
      </c>
      <c r="F181" s="297">
        <v>84.3</v>
      </c>
      <c r="G181" s="131"/>
      <c r="H181" s="131"/>
      <c r="I181" s="131"/>
      <c r="J181" s="131"/>
      <c r="K181" s="131"/>
      <c r="L181" s="131"/>
      <c r="M181" s="131"/>
      <c r="N181" s="131"/>
      <c r="O181" s="131"/>
      <c r="P181" s="131"/>
      <c r="Q181" s="131"/>
      <c r="R181" s="131"/>
      <c r="S181" s="131"/>
      <c r="T181" s="131"/>
      <c r="U181" s="131"/>
      <c r="V181" s="131"/>
      <c r="W181" s="131"/>
      <c r="X181" s="131"/>
      <c r="Y181" s="131"/>
      <c r="Z181" s="131"/>
      <c r="AA181" s="131"/>
      <c r="AB181" s="131"/>
      <c r="AC181" s="131"/>
      <c r="AD181" s="131"/>
      <c r="AE181" s="131"/>
      <c r="AF181" s="131"/>
      <c r="AG181" s="131"/>
      <c r="AH181" s="131"/>
      <c r="AI181" s="131"/>
      <c r="AJ181" s="131"/>
      <c r="AK181" s="131"/>
      <c r="AL181" s="131"/>
      <c r="AM181" s="131"/>
      <c r="AN181" s="131"/>
      <c r="AO181" s="131"/>
      <c r="AP181" s="131"/>
      <c r="AQ181" s="131"/>
    </row>
    <row r="182" spans="1:43" x14ac:dyDescent="0.2">
      <c r="A182" s="131"/>
      <c r="B182" s="131"/>
      <c r="C182" s="131"/>
      <c r="D182" s="297"/>
      <c r="E182" s="297"/>
      <c r="F182" s="297"/>
      <c r="G182" s="131"/>
      <c r="H182" s="131"/>
      <c r="I182" s="131"/>
      <c r="J182" s="131"/>
      <c r="K182" s="131"/>
      <c r="L182" s="131"/>
      <c r="M182" s="131"/>
      <c r="N182" s="131"/>
      <c r="O182" s="131"/>
      <c r="P182" s="131"/>
      <c r="Q182" s="131"/>
      <c r="R182" s="131"/>
      <c r="S182" s="131"/>
      <c r="T182" s="131"/>
      <c r="U182" s="131"/>
      <c r="V182" s="131"/>
      <c r="W182" s="131"/>
      <c r="X182" s="131"/>
      <c r="Y182" s="131"/>
      <c r="Z182" s="131"/>
      <c r="AA182" s="131"/>
      <c r="AB182" s="131"/>
      <c r="AC182" s="131"/>
      <c r="AD182" s="131"/>
      <c r="AE182" s="131"/>
      <c r="AF182" s="131"/>
      <c r="AG182" s="131"/>
      <c r="AH182" s="131"/>
      <c r="AI182" s="131"/>
      <c r="AJ182" s="131"/>
      <c r="AK182" s="131"/>
      <c r="AL182" s="131"/>
      <c r="AM182" s="131"/>
      <c r="AN182" s="131"/>
      <c r="AO182" s="131"/>
      <c r="AP182" s="131"/>
      <c r="AQ182" s="131"/>
    </row>
    <row r="183" spans="1:43" x14ac:dyDescent="0.2">
      <c r="A183" s="131"/>
      <c r="B183" s="131"/>
      <c r="C183" s="131" t="s">
        <v>566</v>
      </c>
      <c r="D183" s="298">
        <v>137.54</v>
      </c>
      <c r="E183" s="295"/>
      <c r="F183" s="296"/>
      <c r="G183" s="131"/>
      <c r="H183" s="131"/>
      <c r="I183" s="131"/>
      <c r="J183" s="131"/>
      <c r="K183" s="131"/>
      <c r="L183" s="131"/>
      <c r="M183" s="131"/>
      <c r="N183" s="131"/>
      <c r="O183" s="131"/>
      <c r="P183" s="131"/>
      <c r="Q183" s="131"/>
      <c r="R183" s="131"/>
      <c r="S183" s="131"/>
      <c r="T183" s="131"/>
      <c r="U183" s="131"/>
      <c r="V183" s="131"/>
      <c r="W183" s="131"/>
      <c r="X183" s="131"/>
      <c r="Y183" s="131"/>
      <c r="Z183" s="131"/>
      <c r="AA183" s="131"/>
      <c r="AB183" s="131"/>
      <c r="AC183" s="131"/>
      <c r="AD183" s="131"/>
      <c r="AE183" s="131"/>
      <c r="AF183" s="131"/>
      <c r="AG183" s="131"/>
      <c r="AH183" s="131"/>
      <c r="AI183" s="131"/>
      <c r="AJ183" s="131"/>
      <c r="AK183" s="131"/>
      <c r="AL183" s="131"/>
      <c r="AM183" s="131"/>
      <c r="AN183" s="131"/>
      <c r="AO183" s="131"/>
      <c r="AP183" s="131"/>
      <c r="AQ183" s="131"/>
    </row>
    <row r="184" spans="1:43" x14ac:dyDescent="0.2">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c r="AA184" s="131"/>
      <c r="AB184" s="131"/>
      <c r="AC184" s="131"/>
      <c r="AD184" s="131"/>
      <c r="AE184" s="131"/>
      <c r="AF184" s="131"/>
      <c r="AG184" s="131"/>
      <c r="AH184" s="131"/>
      <c r="AI184" s="131"/>
      <c r="AJ184" s="131"/>
      <c r="AK184" s="131"/>
      <c r="AL184" s="131"/>
      <c r="AM184" s="131"/>
      <c r="AN184" s="131"/>
      <c r="AO184" s="131"/>
      <c r="AP184" s="131"/>
      <c r="AQ184" s="131"/>
    </row>
    <row r="185" spans="1:43" x14ac:dyDescent="0.2">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c r="AA185" s="131"/>
      <c r="AB185" s="131"/>
      <c r="AC185" s="131"/>
      <c r="AD185" s="131"/>
      <c r="AE185" s="131"/>
      <c r="AF185" s="131"/>
      <c r="AG185" s="131"/>
      <c r="AH185" s="131"/>
      <c r="AI185" s="131"/>
      <c r="AJ185" s="131"/>
      <c r="AK185" s="131"/>
      <c r="AL185" s="131"/>
      <c r="AM185" s="131"/>
      <c r="AN185" s="131"/>
      <c r="AO185" s="131"/>
      <c r="AP185" s="131"/>
      <c r="AQ185" s="131"/>
    </row>
    <row r="186" spans="1:43" x14ac:dyDescent="0.2">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c r="AA186" s="131"/>
      <c r="AB186" s="131"/>
      <c r="AC186" s="131"/>
      <c r="AD186" s="131"/>
      <c r="AE186" s="131"/>
      <c r="AF186" s="131"/>
      <c r="AG186" s="131"/>
      <c r="AH186" s="131"/>
      <c r="AI186" s="131"/>
      <c r="AJ186" s="131"/>
      <c r="AK186" s="131"/>
      <c r="AL186" s="131"/>
      <c r="AM186" s="131"/>
      <c r="AN186" s="131"/>
      <c r="AO186" s="131"/>
      <c r="AP186" s="131"/>
      <c r="AQ186" s="131"/>
    </row>
    <row r="187" spans="1:43" x14ac:dyDescent="0.2">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c r="AA187" s="131"/>
      <c r="AB187" s="131"/>
      <c r="AC187" s="131"/>
      <c r="AD187" s="131"/>
      <c r="AE187" s="131"/>
      <c r="AF187" s="131"/>
      <c r="AG187" s="131"/>
      <c r="AH187" s="131"/>
      <c r="AI187" s="131"/>
      <c r="AJ187" s="131"/>
      <c r="AK187" s="131"/>
      <c r="AL187" s="131"/>
      <c r="AM187" s="131"/>
      <c r="AN187" s="131"/>
      <c r="AO187" s="131"/>
      <c r="AP187" s="131"/>
      <c r="AQ187" s="131"/>
    </row>
    <row r="188" spans="1:43" x14ac:dyDescent="0.2">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c r="AA188" s="131"/>
      <c r="AB188" s="131"/>
      <c r="AC188" s="131"/>
      <c r="AD188" s="131"/>
      <c r="AE188" s="131"/>
      <c r="AF188" s="131"/>
      <c r="AG188" s="131"/>
      <c r="AH188" s="131"/>
      <c r="AI188" s="131"/>
      <c r="AJ188" s="131"/>
      <c r="AK188" s="131"/>
      <c r="AL188" s="131"/>
      <c r="AM188" s="131"/>
      <c r="AN188" s="131"/>
      <c r="AO188" s="131"/>
      <c r="AP188" s="131"/>
      <c r="AQ188" s="131"/>
    </row>
    <row r="189" spans="1:43" x14ac:dyDescent="0.2">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c r="AA189" s="131"/>
      <c r="AB189" s="131"/>
      <c r="AC189" s="131"/>
      <c r="AD189" s="131"/>
      <c r="AE189" s="131"/>
      <c r="AF189" s="131"/>
      <c r="AG189" s="131"/>
      <c r="AH189" s="131"/>
      <c r="AI189" s="131"/>
      <c r="AJ189" s="131"/>
      <c r="AK189" s="131"/>
      <c r="AL189" s="131"/>
      <c r="AM189" s="131"/>
      <c r="AN189" s="131"/>
      <c r="AO189" s="131"/>
      <c r="AP189" s="131"/>
      <c r="AQ189" s="131"/>
    </row>
    <row r="190" spans="1:43" x14ac:dyDescent="0.2">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row>
    <row r="191" spans="1:43" x14ac:dyDescent="0.2">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c r="AA191" s="131"/>
      <c r="AB191" s="131"/>
      <c r="AC191" s="131"/>
      <c r="AD191" s="131"/>
      <c r="AE191" s="131"/>
      <c r="AF191" s="131"/>
      <c r="AG191" s="131"/>
      <c r="AH191" s="131"/>
      <c r="AI191" s="131"/>
      <c r="AJ191" s="131"/>
      <c r="AK191" s="131"/>
      <c r="AL191" s="131"/>
      <c r="AM191" s="131"/>
      <c r="AN191" s="131"/>
      <c r="AO191" s="131"/>
      <c r="AP191" s="131"/>
      <c r="AQ191" s="131"/>
    </row>
    <row r="192" spans="1:43" x14ac:dyDescent="0.2">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c r="AA192" s="131"/>
      <c r="AB192" s="131"/>
      <c r="AC192" s="131"/>
      <c r="AD192" s="131"/>
      <c r="AE192" s="131"/>
      <c r="AF192" s="131"/>
      <c r="AG192" s="131"/>
      <c r="AH192" s="131"/>
      <c r="AI192" s="131"/>
      <c r="AJ192" s="131"/>
      <c r="AK192" s="131"/>
      <c r="AL192" s="131"/>
      <c r="AM192" s="131"/>
      <c r="AN192" s="131"/>
      <c r="AO192" s="131"/>
      <c r="AP192" s="131"/>
      <c r="AQ192" s="131"/>
    </row>
    <row r="193" spans="1:43" x14ac:dyDescent="0.2">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c r="AA193" s="131"/>
      <c r="AB193" s="131"/>
      <c r="AC193" s="131"/>
      <c r="AD193" s="131"/>
      <c r="AE193" s="131"/>
      <c r="AF193" s="131"/>
      <c r="AG193" s="131"/>
      <c r="AH193" s="131"/>
      <c r="AI193" s="131"/>
      <c r="AJ193" s="131"/>
      <c r="AK193" s="131"/>
      <c r="AL193" s="131"/>
      <c r="AM193" s="131"/>
      <c r="AN193" s="131"/>
      <c r="AO193" s="131"/>
      <c r="AP193" s="131"/>
      <c r="AQ193" s="131"/>
    </row>
    <row r="194" spans="1:43" x14ac:dyDescent="0.2">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c r="AA194" s="131"/>
      <c r="AB194" s="131"/>
      <c r="AC194" s="131"/>
      <c r="AD194" s="131"/>
      <c r="AE194" s="131"/>
      <c r="AF194" s="131"/>
      <c r="AG194" s="131"/>
      <c r="AH194" s="131"/>
      <c r="AI194" s="131"/>
      <c r="AJ194" s="131"/>
      <c r="AK194" s="131"/>
      <c r="AL194" s="131"/>
      <c r="AM194" s="131"/>
      <c r="AN194" s="131"/>
      <c r="AO194" s="131"/>
      <c r="AP194" s="131"/>
      <c r="AQ194" s="131"/>
    </row>
    <row r="195" spans="1:43" x14ac:dyDescent="0.2">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c r="AA195" s="131"/>
      <c r="AB195" s="131"/>
      <c r="AC195" s="131"/>
      <c r="AD195" s="131"/>
      <c r="AE195" s="131"/>
      <c r="AF195" s="131"/>
      <c r="AG195" s="131"/>
      <c r="AH195" s="131"/>
      <c r="AI195" s="131"/>
      <c r="AJ195" s="131"/>
      <c r="AK195" s="131"/>
      <c r="AL195" s="131"/>
      <c r="AM195" s="131"/>
      <c r="AN195" s="131"/>
      <c r="AO195" s="131"/>
      <c r="AP195" s="131"/>
      <c r="AQ195" s="131"/>
    </row>
    <row r="196" spans="1:43" x14ac:dyDescent="0.2">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c r="AA196" s="131"/>
      <c r="AB196" s="131"/>
      <c r="AC196" s="131"/>
      <c r="AD196" s="131"/>
      <c r="AE196" s="131"/>
      <c r="AF196" s="131"/>
      <c r="AG196" s="131"/>
      <c r="AH196" s="131"/>
      <c r="AI196" s="131"/>
      <c r="AJ196" s="131"/>
      <c r="AK196" s="131"/>
      <c r="AL196" s="131"/>
      <c r="AM196" s="131"/>
      <c r="AN196" s="131"/>
      <c r="AO196" s="131"/>
      <c r="AP196" s="131"/>
      <c r="AQ196" s="131"/>
    </row>
    <row r="197" spans="1:43" x14ac:dyDescent="0.2">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c r="AA197" s="131"/>
      <c r="AB197" s="131"/>
      <c r="AC197" s="131"/>
      <c r="AD197" s="131"/>
      <c r="AE197" s="131"/>
      <c r="AF197" s="131"/>
      <c r="AG197" s="131"/>
    </row>
    <row r="198" spans="1:43" x14ac:dyDescent="0.2">
      <c r="B198" s="131"/>
      <c r="C198" s="131"/>
      <c r="D198" s="131"/>
      <c r="E198" s="131"/>
      <c r="F198" s="131"/>
    </row>
    <row r="199" spans="1:43" x14ac:dyDescent="0.2">
      <c r="B199" s="131"/>
      <c r="C199" s="131"/>
      <c r="D199" s="131"/>
      <c r="E199" s="131"/>
      <c r="F199" s="131"/>
    </row>
    <row r="200" spans="1:43" x14ac:dyDescent="0.2">
      <c r="B200" s="131"/>
      <c r="C200" s="131"/>
      <c r="D200" s="131"/>
      <c r="E200" s="131"/>
      <c r="F200" s="131"/>
    </row>
    <row r="201" spans="1:43" x14ac:dyDescent="0.2">
      <c r="B201" s="131"/>
      <c r="C201" s="131"/>
      <c r="D201" s="131"/>
      <c r="E201" s="131"/>
      <c r="F201" s="131"/>
    </row>
    <row r="202" spans="1:43" x14ac:dyDescent="0.2">
      <c r="B202" s="131"/>
      <c r="C202" s="131"/>
      <c r="D202" s="131"/>
      <c r="E202" s="131"/>
      <c r="F202" s="131"/>
    </row>
    <row r="203" spans="1:43" x14ac:dyDescent="0.2">
      <c r="B203" s="131"/>
      <c r="C203" s="131"/>
      <c r="D203" s="131"/>
      <c r="E203" s="131"/>
      <c r="F203" s="131"/>
    </row>
    <row r="204" spans="1:43" x14ac:dyDescent="0.2">
      <c r="B204" s="131"/>
      <c r="C204" s="131"/>
      <c r="D204" s="131"/>
      <c r="E204" s="131"/>
      <c r="F204" s="131"/>
    </row>
    <row r="205" spans="1:43" x14ac:dyDescent="0.2">
      <c r="B205" s="131"/>
      <c r="C205" s="131"/>
      <c r="D205" s="131"/>
      <c r="E205" s="131"/>
      <c r="F205" s="131"/>
    </row>
    <row r="206" spans="1:43" x14ac:dyDescent="0.2">
      <c r="B206" s="131"/>
      <c r="C206" s="131"/>
      <c r="D206" s="131"/>
      <c r="E206" s="131"/>
      <c r="F206" s="131"/>
    </row>
  </sheetData>
  <sheetProtection password="FB4B" sheet="1"/>
  <mergeCells count="7">
    <mergeCell ref="Z74:Z75"/>
    <mergeCell ref="H15:M15"/>
    <mergeCell ref="A15:D15"/>
    <mergeCell ref="A31:D31"/>
    <mergeCell ref="K74:X74"/>
    <mergeCell ref="K71:X71"/>
    <mergeCell ref="Y74:Y75"/>
  </mergeCells>
  <phoneticPr fontId="22" type="noConversion"/>
  <dataValidations disablePrompts="1" count="1">
    <dataValidation type="list" operator="equal" allowBlank="1" showErrorMessage="1" sqref="B1:B2 B4">
      <formula1>$A$70:$A$71</formula1>
      <formula2>0</formula2>
    </dataValidation>
  </dataValidation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M175"/>
  <sheetViews>
    <sheetView zoomScaleNormal="100" workbookViewId="0">
      <pane ySplit="7" topLeftCell="A8" activePane="bottomLeft" state="frozen"/>
      <selection activeCell="A31" sqref="A31:G31"/>
      <selection pane="bottomLeft" activeCell="A6" sqref="A6:A7"/>
    </sheetView>
  </sheetViews>
  <sheetFormatPr defaultColWidth="0" defaultRowHeight="12.75" customHeight="1" x14ac:dyDescent="0.2"/>
  <cols>
    <col min="1" max="1" width="6.28515625" customWidth="1"/>
    <col min="2" max="2" width="25.7109375" customWidth="1"/>
    <col min="3" max="3" width="11.5703125" customWidth="1"/>
    <col min="4" max="4" width="16.85546875" customWidth="1"/>
    <col min="5" max="5" width="15.140625" customWidth="1"/>
    <col min="6" max="7" width="14.28515625" customWidth="1"/>
    <col min="8" max="8" width="21.42578125" customWidth="1"/>
    <col min="9" max="9" width="0" hidden="1" customWidth="1"/>
    <col min="10" max="10" width="18.85546875" customWidth="1"/>
    <col min="11" max="11" width="2.85546875" customWidth="1"/>
    <col min="12" max="12" width="8" hidden="1" customWidth="1"/>
  </cols>
  <sheetData>
    <row r="1" spans="1:13" ht="18.75" customHeight="1" x14ac:dyDescent="0.2">
      <c r="A1" s="111"/>
      <c r="B1" s="112"/>
      <c r="C1" s="112"/>
      <c r="D1" s="112"/>
      <c r="E1" s="112"/>
      <c r="F1" s="112"/>
      <c r="G1" s="112"/>
      <c r="H1" s="112"/>
      <c r="I1" s="54"/>
      <c r="J1" s="91"/>
      <c r="K1" s="55"/>
    </row>
    <row r="2" spans="1:13" ht="32.25" hidden="1" customHeight="1" x14ac:dyDescent="0.2">
      <c r="A2" s="109"/>
      <c r="B2" s="110"/>
      <c r="D2" s="117"/>
      <c r="H2" s="117"/>
      <c r="I2" s="117"/>
      <c r="J2" s="117"/>
      <c r="K2" s="56"/>
    </row>
    <row r="3" spans="1:13" ht="18.75" hidden="1" customHeight="1" x14ac:dyDescent="0.2">
      <c r="A3" s="113"/>
      <c r="B3" s="113"/>
      <c r="C3" s="118"/>
      <c r="D3" s="118"/>
      <c r="H3" s="114"/>
      <c r="I3" s="115"/>
      <c r="J3" s="57"/>
      <c r="K3" s="57"/>
    </row>
    <row r="4" spans="1:13" ht="18.75" customHeight="1" thickBot="1" x14ac:dyDescent="0.25">
      <c r="A4" s="113"/>
      <c r="B4" s="113"/>
      <c r="C4" s="114"/>
      <c r="D4" s="114"/>
      <c r="E4" s="114"/>
      <c r="F4" s="114"/>
      <c r="G4" s="114"/>
      <c r="H4" s="114"/>
      <c r="I4" s="114"/>
      <c r="J4" s="116"/>
      <c r="K4" s="58"/>
      <c r="M4" s="59"/>
    </row>
    <row r="5" spans="1:13" ht="24.75" customHeight="1" thickTop="1" thickBot="1" x14ac:dyDescent="0.25">
      <c r="A5" s="625" t="s">
        <v>567</v>
      </c>
      <c r="B5" s="626"/>
      <c r="C5" s="626"/>
      <c r="D5" s="626"/>
      <c r="E5" s="626"/>
      <c r="F5" s="626"/>
      <c r="G5" s="626"/>
      <c r="H5" s="626"/>
      <c r="I5" s="626"/>
      <c r="J5" s="627"/>
      <c r="K5" s="60"/>
    </row>
    <row r="6" spans="1:13" ht="21" customHeight="1" x14ac:dyDescent="0.2">
      <c r="A6" s="677" t="s">
        <v>568</v>
      </c>
      <c r="B6" s="645" t="s">
        <v>569</v>
      </c>
      <c r="C6" s="646"/>
      <c r="D6" s="647"/>
      <c r="E6" s="669" t="s">
        <v>570</v>
      </c>
      <c r="F6" s="651" t="s">
        <v>571</v>
      </c>
      <c r="G6" s="651" t="s">
        <v>572</v>
      </c>
      <c r="H6" s="661" t="s">
        <v>573</v>
      </c>
      <c r="I6" s="662"/>
      <c r="J6" s="663"/>
      <c r="K6" s="61"/>
      <c r="L6" s="61"/>
    </row>
    <row r="7" spans="1:13" ht="33.75" customHeight="1" thickBot="1" x14ac:dyDescent="0.25">
      <c r="A7" s="678"/>
      <c r="B7" s="648"/>
      <c r="C7" s="649"/>
      <c r="D7" s="650"/>
      <c r="E7" s="670"/>
      <c r="F7" s="652"/>
      <c r="G7" s="652"/>
      <c r="H7" s="648"/>
      <c r="I7" s="664"/>
      <c r="J7" s="665"/>
      <c r="K7" s="61"/>
      <c r="L7" s="61"/>
    </row>
    <row r="8" spans="1:13" ht="33.75" customHeight="1" thickBot="1" x14ac:dyDescent="0.25">
      <c r="A8" s="671" t="s">
        <v>574</v>
      </c>
      <c r="B8" s="672"/>
      <c r="C8" s="672"/>
      <c r="D8" s="672"/>
      <c r="E8" s="672"/>
      <c r="F8" s="672"/>
      <c r="G8" s="672"/>
      <c r="H8" s="672"/>
      <c r="I8" s="672"/>
      <c r="J8" s="673"/>
      <c r="K8" s="61"/>
      <c r="L8" s="61"/>
    </row>
    <row r="9" spans="1:13" ht="15" customHeight="1" x14ac:dyDescent="0.2">
      <c r="A9" s="679" t="s">
        <v>575</v>
      </c>
      <c r="B9" s="682" t="s">
        <v>576</v>
      </c>
      <c r="C9" s="683"/>
      <c r="D9" s="684"/>
      <c r="E9" s="619"/>
      <c r="F9" s="620"/>
      <c r="G9" s="643"/>
      <c r="H9" s="674"/>
      <c r="I9" s="611"/>
      <c r="J9" s="612"/>
      <c r="L9" s="61"/>
    </row>
    <row r="10" spans="1:13" ht="51" customHeight="1" x14ac:dyDescent="0.2">
      <c r="A10" s="680"/>
      <c r="B10" s="653" t="s">
        <v>577</v>
      </c>
      <c r="C10" s="654"/>
      <c r="D10" s="655"/>
      <c r="E10" s="622"/>
      <c r="F10" s="623"/>
      <c r="G10" s="644"/>
      <c r="H10" s="675"/>
      <c r="I10" s="614"/>
      <c r="J10" s="615"/>
      <c r="K10" s="61"/>
      <c r="L10" s="61"/>
    </row>
    <row r="11" spans="1:13" ht="13.5" thickBot="1" x14ac:dyDescent="0.25">
      <c r="A11" s="681"/>
      <c r="B11" s="688" t="s">
        <v>578</v>
      </c>
      <c r="C11" s="689"/>
      <c r="D11" s="690"/>
      <c r="E11" s="193">
        <v>0</v>
      </c>
      <c r="F11" s="184">
        <v>0.35</v>
      </c>
      <c r="G11" s="64">
        <f>E11*F11</f>
        <v>0</v>
      </c>
      <c r="H11" s="676"/>
      <c r="I11" s="617"/>
      <c r="J11" s="618"/>
      <c r="K11" s="210">
        <f>G11</f>
        <v>0</v>
      </c>
      <c r="L11" s="61"/>
    </row>
    <row r="12" spans="1:13" ht="15" customHeight="1" x14ac:dyDescent="0.2">
      <c r="A12" s="659" t="s">
        <v>579</v>
      </c>
      <c r="B12" s="637" t="s">
        <v>576</v>
      </c>
      <c r="C12" s="638"/>
      <c r="D12" s="639"/>
      <c r="E12" s="619"/>
      <c r="F12" s="620"/>
      <c r="G12" s="643"/>
      <c r="H12" s="666"/>
      <c r="I12" s="667"/>
      <c r="J12" s="668"/>
      <c r="K12" s="211"/>
      <c r="L12" s="61"/>
    </row>
    <row r="13" spans="1:13" ht="25.5" customHeight="1" x14ac:dyDescent="0.2">
      <c r="A13" s="660"/>
      <c r="B13" s="653" t="s">
        <v>580</v>
      </c>
      <c r="C13" s="654"/>
      <c r="D13" s="655"/>
      <c r="E13" s="622"/>
      <c r="F13" s="623"/>
      <c r="G13" s="644"/>
      <c r="H13" s="666"/>
      <c r="I13" s="667"/>
      <c r="J13" s="668"/>
      <c r="K13" s="211"/>
      <c r="L13" s="61"/>
    </row>
    <row r="14" spans="1:13" ht="13.5" customHeight="1" thickBot="1" x14ac:dyDescent="0.25">
      <c r="A14" s="660"/>
      <c r="B14" s="634" t="s">
        <v>581</v>
      </c>
      <c r="C14" s="635"/>
      <c r="D14" s="636"/>
      <c r="E14" s="193">
        <v>0</v>
      </c>
      <c r="F14" s="173">
        <v>29.33</v>
      </c>
      <c r="G14" s="67">
        <f>E14*F14</f>
        <v>0</v>
      </c>
      <c r="H14" s="666"/>
      <c r="I14" s="667"/>
      <c r="J14" s="668"/>
      <c r="K14" s="210">
        <f>G14</f>
        <v>0</v>
      </c>
      <c r="L14" s="61"/>
    </row>
    <row r="15" spans="1:13" ht="15" customHeight="1" x14ac:dyDescent="0.2">
      <c r="A15" s="659" t="s">
        <v>582</v>
      </c>
      <c r="B15" s="685" t="s">
        <v>576</v>
      </c>
      <c r="C15" s="686"/>
      <c r="D15" s="687"/>
      <c r="E15" s="619"/>
      <c r="F15" s="620"/>
      <c r="G15" s="621"/>
      <c r="H15" s="613"/>
      <c r="I15" s="614"/>
      <c r="J15" s="615"/>
      <c r="K15" s="211"/>
      <c r="L15" s="61"/>
    </row>
    <row r="16" spans="1:13" ht="25.5" customHeight="1" x14ac:dyDescent="0.2">
      <c r="A16" s="660"/>
      <c r="B16" s="653" t="s">
        <v>583</v>
      </c>
      <c r="C16" s="654"/>
      <c r="D16" s="655"/>
      <c r="E16" s="622"/>
      <c r="F16" s="623"/>
      <c r="G16" s="624"/>
      <c r="H16" s="613"/>
      <c r="I16" s="614"/>
      <c r="J16" s="615"/>
      <c r="K16" s="211"/>
      <c r="L16" s="61"/>
    </row>
    <row r="17" spans="1:12" ht="17.25" customHeight="1" thickBot="1" x14ac:dyDescent="0.25">
      <c r="A17" s="660"/>
      <c r="B17" s="634" t="s">
        <v>581</v>
      </c>
      <c r="C17" s="635"/>
      <c r="D17" s="636"/>
      <c r="E17" s="193">
        <v>0</v>
      </c>
      <c r="F17" s="173">
        <v>57.79</v>
      </c>
      <c r="G17" s="68">
        <f>E17*F17</f>
        <v>0</v>
      </c>
      <c r="H17" s="616"/>
      <c r="I17" s="617"/>
      <c r="J17" s="618"/>
      <c r="K17" s="210">
        <f>G17</f>
        <v>0</v>
      </c>
      <c r="L17" s="61"/>
    </row>
    <row r="18" spans="1:12" ht="15" customHeight="1" x14ac:dyDescent="0.2">
      <c r="A18" s="659" t="s">
        <v>584</v>
      </c>
      <c r="B18" s="685" t="s">
        <v>585</v>
      </c>
      <c r="C18" s="686"/>
      <c r="D18" s="687"/>
      <c r="E18" s="619"/>
      <c r="F18" s="620"/>
      <c r="G18" s="621"/>
      <c r="H18" s="610"/>
      <c r="I18" s="611"/>
      <c r="J18" s="612"/>
      <c r="K18" s="211"/>
      <c r="L18" s="61"/>
    </row>
    <row r="19" spans="1:12" ht="38.25" customHeight="1" x14ac:dyDescent="0.2">
      <c r="A19" s="660"/>
      <c r="B19" s="653" t="s">
        <v>586</v>
      </c>
      <c r="C19" s="654"/>
      <c r="D19" s="655"/>
      <c r="E19" s="622"/>
      <c r="F19" s="623"/>
      <c r="G19" s="624"/>
      <c r="H19" s="613"/>
      <c r="I19" s="614"/>
      <c r="J19" s="615"/>
      <c r="K19" s="211"/>
      <c r="L19" s="61"/>
    </row>
    <row r="20" spans="1:12" ht="13.5" thickBot="1" x14ac:dyDescent="0.25">
      <c r="A20" s="660"/>
      <c r="B20" s="656" t="s">
        <v>587</v>
      </c>
      <c r="C20" s="657"/>
      <c r="D20" s="658"/>
      <c r="E20" s="193">
        <v>0</v>
      </c>
      <c r="F20" s="186">
        <v>10.039999999999999</v>
      </c>
      <c r="G20" s="74">
        <f>E20*F20</f>
        <v>0</v>
      </c>
      <c r="H20" s="616"/>
      <c r="I20" s="617"/>
      <c r="J20" s="618"/>
      <c r="K20" s="210">
        <f>G20</f>
        <v>0</v>
      </c>
      <c r="L20" s="61"/>
    </row>
    <row r="21" spans="1:12" ht="13.5" customHeight="1" x14ac:dyDescent="0.2">
      <c r="A21" s="659" t="s">
        <v>588</v>
      </c>
      <c r="B21" s="637" t="s">
        <v>585</v>
      </c>
      <c r="C21" s="638"/>
      <c r="D21" s="639"/>
      <c r="E21" s="619"/>
      <c r="F21" s="620"/>
      <c r="G21" s="621"/>
      <c r="H21" s="610"/>
      <c r="I21" s="611"/>
      <c r="J21" s="612"/>
      <c r="K21" s="211"/>
      <c r="L21" s="61"/>
    </row>
    <row r="22" spans="1:12" ht="25.5" customHeight="1" x14ac:dyDescent="0.2">
      <c r="A22" s="660"/>
      <c r="B22" s="653" t="s">
        <v>589</v>
      </c>
      <c r="C22" s="654"/>
      <c r="D22" s="655"/>
      <c r="E22" s="622"/>
      <c r="F22" s="623"/>
      <c r="G22" s="624"/>
      <c r="H22" s="613"/>
      <c r="I22" s="614"/>
      <c r="J22" s="615"/>
      <c r="K22" s="211"/>
      <c r="L22" s="61"/>
    </row>
    <row r="23" spans="1:12" ht="13.5" thickBot="1" x14ac:dyDescent="0.25">
      <c r="A23" s="660"/>
      <c r="B23" s="634" t="s">
        <v>581</v>
      </c>
      <c r="C23" s="635"/>
      <c r="D23" s="636"/>
      <c r="E23" s="193">
        <v>0</v>
      </c>
      <c r="F23" s="182">
        <v>60.41</v>
      </c>
      <c r="G23" s="68">
        <f>E23*F23</f>
        <v>0</v>
      </c>
      <c r="H23" s="616"/>
      <c r="I23" s="617"/>
      <c r="J23" s="618"/>
      <c r="K23" s="210">
        <f>G23</f>
        <v>0</v>
      </c>
      <c r="L23" s="61"/>
    </row>
    <row r="24" spans="1:12" ht="13.5" customHeight="1" x14ac:dyDescent="0.2">
      <c r="A24" s="659" t="s">
        <v>590</v>
      </c>
      <c r="B24" s="637" t="s">
        <v>585</v>
      </c>
      <c r="C24" s="638"/>
      <c r="D24" s="639"/>
      <c r="E24" s="619"/>
      <c r="F24" s="620"/>
      <c r="G24" s="621"/>
      <c r="H24" s="610"/>
      <c r="I24" s="611"/>
      <c r="J24" s="612"/>
      <c r="K24" s="211"/>
      <c r="L24" s="61"/>
    </row>
    <row r="25" spans="1:12" x14ac:dyDescent="0.2">
      <c r="A25" s="660"/>
      <c r="B25" s="640" t="s">
        <v>591</v>
      </c>
      <c r="C25" s="641"/>
      <c r="D25" s="642"/>
      <c r="E25" s="622"/>
      <c r="F25" s="623"/>
      <c r="G25" s="624"/>
      <c r="H25" s="613"/>
      <c r="I25" s="614"/>
      <c r="J25" s="615"/>
      <c r="K25" s="211"/>
      <c r="L25" s="61"/>
    </row>
    <row r="26" spans="1:12" ht="13.5" thickBot="1" x14ac:dyDescent="0.25">
      <c r="A26" s="660"/>
      <c r="B26" s="656" t="s">
        <v>592</v>
      </c>
      <c r="C26" s="657"/>
      <c r="D26" s="658"/>
      <c r="E26" s="193">
        <v>0</v>
      </c>
      <c r="F26" s="182">
        <v>64.95</v>
      </c>
      <c r="G26" s="68">
        <f>E26*F26</f>
        <v>0</v>
      </c>
      <c r="H26" s="616"/>
      <c r="I26" s="617"/>
      <c r="J26" s="618"/>
      <c r="K26" s="210">
        <f>G26</f>
        <v>0</v>
      </c>
      <c r="L26" s="61"/>
    </row>
    <row r="27" spans="1:12" ht="13.5" customHeight="1" x14ac:dyDescent="0.2">
      <c r="A27" s="659" t="s">
        <v>593</v>
      </c>
      <c r="B27" s="637" t="s">
        <v>585</v>
      </c>
      <c r="C27" s="638"/>
      <c r="D27" s="639"/>
      <c r="E27" s="619"/>
      <c r="F27" s="620"/>
      <c r="G27" s="621"/>
      <c r="H27" s="610"/>
      <c r="I27" s="611"/>
      <c r="J27" s="612"/>
      <c r="K27" s="211"/>
      <c r="L27" s="61"/>
    </row>
    <row r="28" spans="1:12" x14ac:dyDescent="0.2">
      <c r="A28" s="660"/>
      <c r="B28" s="640" t="s">
        <v>594</v>
      </c>
      <c r="C28" s="641"/>
      <c r="D28" s="642"/>
      <c r="E28" s="622"/>
      <c r="F28" s="623"/>
      <c r="G28" s="624"/>
      <c r="H28" s="613"/>
      <c r="I28" s="614"/>
      <c r="J28" s="615"/>
      <c r="K28" s="211"/>
      <c r="L28" s="61"/>
    </row>
    <row r="29" spans="1:12" ht="13.5" thickBot="1" x14ac:dyDescent="0.25">
      <c r="A29" s="660"/>
      <c r="B29" s="634" t="s">
        <v>595</v>
      </c>
      <c r="C29" s="635"/>
      <c r="D29" s="636"/>
      <c r="E29" s="193">
        <v>0</v>
      </c>
      <c r="F29" s="194">
        <v>11.79</v>
      </c>
      <c r="G29" s="68">
        <f>E29*F29</f>
        <v>0</v>
      </c>
      <c r="H29" s="616"/>
      <c r="I29" s="617"/>
      <c r="J29" s="618"/>
      <c r="K29" s="210">
        <f>G29</f>
        <v>0</v>
      </c>
      <c r="L29" s="61"/>
    </row>
    <row r="30" spans="1:12" ht="13.5" customHeight="1" x14ac:dyDescent="0.2">
      <c r="A30" s="659" t="s">
        <v>596</v>
      </c>
      <c r="B30" s="694" t="s">
        <v>597</v>
      </c>
      <c r="C30" s="695"/>
      <c r="D30" s="696"/>
      <c r="E30" s="628"/>
      <c r="F30" s="629"/>
      <c r="G30" s="630"/>
      <c r="H30" s="610"/>
      <c r="I30" s="611"/>
      <c r="J30" s="612"/>
      <c r="K30" s="211"/>
      <c r="L30" s="61"/>
    </row>
    <row r="31" spans="1:12" x14ac:dyDescent="0.2">
      <c r="A31" s="660"/>
      <c r="B31" s="653" t="s">
        <v>598</v>
      </c>
      <c r="C31" s="654"/>
      <c r="D31" s="655"/>
      <c r="E31" s="631"/>
      <c r="F31" s="632"/>
      <c r="G31" s="633"/>
      <c r="H31" s="613"/>
      <c r="I31" s="614"/>
      <c r="J31" s="615"/>
      <c r="K31" s="211"/>
      <c r="L31" s="61"/>
    </row>
    <row r="32" spans="1:12" ht="13.5" thickBot="1" x14ac:dyDescent="0.25">
      <c r="A32" s="660"/>
      <c r="B32" s="634" t="s">
        <v>599</v>
      </c>
      <c r="C32" s="635"/>
      <c r="D32" s="636"/>
      <c r="E32" s="193">
        <v>0</v>
      </c>
      <c r="F32" s="194">
        <v>12.75</v>
      </c>
      <c r="G32" s="68">
        <f>E32*F32</f>
        <v>0</v>
      </c>
      <c r="H32" s="616"/>
      <c r="I32" s="617"/>
      <c r="J32" s="618"/>
      <c r="K32" s="210">
        <f>G32</f>
        <v>0</v>
      </c>
      <c r="L32" s="61"/>
    </row>
    <row r="33" spans="1:12" x14ac:dyDescent="0.2">
      <c r="A33" s="659" t="s">
        <v>600</v>
      </c>
      <c r="B33" s="694" t="s">
        <v>597</v>
      </c>
      <c r="C33" s="695"/>
      <c r="D33" s="696"/>
      <c r="E33" s="619"/>
      <c r="F33" s="620"/>
      <c r="G33" s="621"/>
      <c r="H33" s="610"/>
      <c r="I33" s="611"/>
      <c r="J33" s="612"/>
      <c r="K33" s="211"/>
      <c r="L33" s="61"/>
    </row>
    <row r="34" spans="1:12" ht="12.75" customHeight="1" x14ac:dyDescent="0.2">
      <c r="A34" s="660"/>
      <c r="B34" s="653" t="s">
        <v>601</v>
      </c>
      <c r="C34" s="654"/>
      <c r="D34" s="655"/>
      <c r="E34" s="622"/>
      <c r="F34" s="623"/>
      <c r="G34" s="624"/>
      <c r="H34" s="613"/>
      <c r="I34" s="614"/>
      <c r="J34" s="615"/>
      <c r="K34" s="211"/>
      <c r="L34" s="61"/>
    </row>
    <row r="35" spans="1:12" ht="13.5" customHeight="1" thickBot="1" x14ac:dyDescent="0.25">
      <c r="A35" s="660"/>
      <c r="B35" s="691" t="s">
        <v>599</v>
      </c>
      <c r="C35" s="692"/>
      <c r="D35" s="693"/>
      <c r="E35" s="193">
        <v>0</v>
      </c>
      <c r="F35" s="186">
        <v>10.91</v>
      </c>
      <c r="G35" s="74">
        <f>E35*F35</f>
        <v>0</v>
      </c>
      <c r="H35" s="616"/>
      <c r="I35" s="617"/>
      <c r="J35" s="618"/>
      <c r="K35" s="210">
        <f>G35</f>
        <v>0</v>
      </c>
      <c r="L35" s="61"/>
    </row>
    <row r="36" spans="1:12" ht="33.75" customHeight="1" thickBot="1" x14ac:dyDescent="0.25">
      <c r="A36" s="671" t="s">
        <v>602</v>
      </c>
      <c r="B36" s="672"/>
      <c r="C36" s="672"/>
      <c r="D36" s="672"/>
      <c r="E36" s="672"/>
      <c r="F36" s="672"/>
      <c r="G36" s="672"/>
      <c r="H36" s="672"/>
      <c r="I36" s="672"/>
      <c r="J36" s="673"/>
      <c r="K36" s="211"/>
      <c r="L36" s="61"/>
    </row>
    <row r="37" spans="1:12" ht="14.25" customHeight="1" x14ac:dyDescent="0.2">
      <c r="A37" s="717" t="s">
        <v>603</v>
      </c>
      <c r="B37" s="727" t="s">
        <v>604</v>
      </c>
      <c r="C37" s="728"/>
      <c r="D37" s="728"/>
      <c r="E37" s="704"/>
      <c r="F37" s="705"/>
      <c r="G37" s="706"/>
      <c r="H37" s="720"/>
      <c r="I37" s="720"/>
      <c r="J37" s="721"/>
      <c r="K37" s="211"/>
      <c r="L37" s="61"/>
    </row>
    <row r="38" spans="1:12" ht="94.5" customHeight="1" x14ac:dyDescent="0.2">
      <c r="A38" s="718"/>
      <c r="B38" s="653" t="s">
        <v>605</v>
      </c>
      <c r="C38" s="654"/>
      <c r="D38" s="655"/>
      <c r="E38" s="707"/>
      <c r="F38" s="708"/>
      <c r="G38" s="709"/>
      <c r="H38" s="722"/>
      <c r="I38" s="722"/>
      <c r="J38" s="723"/>
      <c r="K38" s="211"/>
      <c r="L38" s="61"/>
    </row>
    <row r="39" spans="1:12" ht="13.5" customHeight="1" x14ac:dyDescent="0.2">
      <c r="A39" s="718"/>
      <c r="B39" s="699" t="s">
        <v>606</v>
      </c>
      <c r="C39" s="700"/>
      <c r="D39" s="701"/>
      <c r="E39" s="710"/>
      <c r="F39" s="711"/>
      <c r="G39" s="712"/>
      <c r="H39" s="722"/>
      <c r="I39" s="722"/>
      <c r="J39" s="723"/>
      <c r="K39" s="211"/>
      <c r="L39" s="61"/>
    </row>
    <row r="40" spans="1:12" ht="13.5" customHeight="1" x14ac:dyDescent="0.2">
      <c r="A40" s="718"/>
      <c r="B40" s="702" t="s">
        <v>607</v>
      </c>
      <c r="C40" s="703"/>
      <c r="D40" s="703"/>
      <c r="E40" s="195">
        <v>0</v>
      </c>
      <c r="F40" s="175">
        <v>4.45</v>
      </c>
      <c r="G40" s="79">
        <f>E40*F40</f>
        <v>0</v>
      </c>
      <c r="H40" s="722"/>
      <c r="I40" s="722"/>
      <c r="J40" s="723"/>
      <c r="K40" s="210">
        <f>G40</f>
        <v>0</v>
      </c>
      <c r="L40" s="61"/>
    </row>
    <row r="41" spans="1:12" ht="13.5" customHeight="1" x14ac:dyDescent="0.2">
      <c r="A41" s="718"/>
      <c r="B41" s="713" t="s">
        <v>608</v>
      </c>
      <c r="C41" s="714"/>
      <c r="D41" s="714"/>
      <c r="E41" s="195">
        <v>0</v>
      </c>
      <c r="F41" s="175">
        <v>8.82</v>
      </c>
      <c r="G41" s="79">
        <f>E41*F41</f>
        <v>0</v>
      </c>
      <c r="H41" s="722"/>
      <c r="I41" s="722"/>
      <c r="J41" s="723"/>
      <c r="K41" s="210">
        <f>G41</f>
        <v>0</v>
      </c>
      <c r="L41" s="61"/>
    </row>
    <row r="42" spans="1:12" ht="13.5" customHeight="1" thickBot="1" x14ac:dyDescent="0.25">
      <c r="A42" s="719"/>
      <c r="B42" s="715" t="s">
        <v>609</v>
      </c>
      <c r="C42" s="716"/>
      <c r="D42" s="716"/>
      <c r="E42" s="196">
        <v>0</v>
      </c>
      <c r="F42" s="197">
        <v>13.18</v>
      </c>
      <c r="G42" s="198">
        <f>E42*F42</f>
        <v>0</v>
      </c>
      <c r="H42" s="724"/>
      <c r="I42" s="724"/>
      <c r="J42" s="725"/>
      <c r="K42" s="210">
        <f>G42</f>
        <v>0</v>
      </c>
      <c r="L42" s="61"/>
    </row>
    <row r="43" spans="1:12" ht="14.25" customHeight="1" x14ac:dyDescent="0.2">
      <c r="A43" s="717" t="s">
        <v>610</v>
      </c>
      <c r="B43" s="727" t="s">
        <v>611</v>
      </c>
      <c r="C43" s="728"/>
      <c r="D43" s="728"/>
      <c r="E43" s="707"/>
      <c r="F43" s="708"/>
      <c r="G43" s="709"/>
      <c r="H43" s="720"/>
      <c r="I43" s="720"/>
      <c r="J43" s="721"/>
      <c r="K43" s="211"/>
      <c r="L43" s="61"/>
    </row>
    <row r="44" spans="1:12" ht="118.5" customHeight="1" x14ac:dyDescent="0.2">
      <c r="A44" s="660"/>
      <c r="B44" s="653" t="s">
        <v>612</v>
      </c>
      <c r="C44" s="654"/>
      <c r="D44" s="655"/>
      <c r="E44" s="707"/>
      <c r="F44" s="708"/>
      <c r="G44" s="709"/>
      <c r="H44" s="722"/>
      <c r="I44" s="722"/>
      <c r="J44" s="723"/>
      <c r="K44" s="211"/>
      <c r="L44" s="61"/>
    </row>
    <row r="45" spans="1:12" ht="13.5" customHeight="1" x14ac:dyDescent="0.2">
      <c r="A45" s="660"/>
      <c r="B45" s="699" t="s">
        <v>606</v>
      </c>
      <c r="C45" s="700"/>
      <c r="D45" s="701"/>
      <c r="E45" s="710"/>
      <c r="F45" s="711"/>
      <c r="G45" s="712"/>
      <c r="H45" s="722"/>
      <c r="I45" s="722"/>
      <c r="J45" s="723"/>
      <c r="K45" s="211"/>
      <c r="L45" s="61"/>
    </row>
    <row r="46" spans="1:12" ht="13.5" customHeight="1" x14ac:dyDescent="0.2">
      <c r="A46" s="660"/>
      <c r="B46" s="702" t="s">
        <v>607</v>
      </c>
      <c r="C46" s="703"/>
      <c r="D46" s="703"/>
      <c r="E46" s="195">
        <v>0</v>
      </c>
      <c r="F46" s="175">
        <v>8.82</v>
      </c>
      <c r="G46" s="79">
        <f>E46*F46</f>
        <v>0</v>
      </c>
      <c r="H46" s="722"/>
      <c r="I46" s="722"/>
      <c r="J46" s="723"/>
      <c r="K46" s="210">
        <f>G46</f>
        <v>0</v>
      </c>
      <c r="L46" s="61"/>
    </row>
    <row r="47" spans="1:12" ht="13.5" customHeight="1" x14ac:dyDescent="0.2">
      <c r="A47" s="660"/>
      <c r="B47" s="713" t="s">
        <v>608</v>
      </c>
      <c r="C47" s="714"/>
      <c r="D47" s="714"/>
      <c r="E47" s="195">
        <v>0</v>
      </c>
      <c r="F47" s="175">
        <v>17.55</v>
      </c>
      <c r="G47" s="79">
        <f>E47*F47</f>
        <v>0</v>
      </c>
      <c r="H47" s="722"/>
      <c r="I47" s="722"/>
      <c r="J47" s="723"/>
      <c r="K47" s="210">
        <f>G47</f>
        <v>0</v>
      </c>
      <c r="L47" s="61"/>
    </row>
    <row r="48" spans="1:12" ht="13.5" customHeight="1" thickBot="1" x14ac:dyDescent="0.25">
      <c r="A48" s="726"/>
      <c r="B48" s="715" t="s">
        <v>609</v>
      </c>
      <c r="C48" s="716"/>
      <c r="D48" s="716"/>
      <c r="E48" s="196">
        <v>0</v>
      </c>
      <c r="F48" s="197">
        <v>26.45</v>
      </c>
      <c r="G48" s="198">
        <f>E48*F48</f>
        <v>0</v>
      </c>
      <c r="H48" s="724"/>
      <c r="I48" s="724"/>
      <c r="J48" s="725"/>
      <c r="K48" s="210">
        <f>G48</f>
        <v>0</v>
      </c>
      <c r="L48" s="61"/>
    </row>
    <row r="49" spans="1:12" ht="14.25" customHeight="1" x14ac:dyDescent="0.2">
      <c r="A49" s="717" t="s">
        <v>613</v>
      </c>
      <c r="B49" s="727" t="s">
        <v>614</v>
      </c>
      <c r="C49" s="728"/>
      <c r="D49" s="728"/>
      <c r="E49" s="707"/>
      <c r="F49" s="708"/>
      <c r="G49" s="709"/>
      <c r="H49" s="720"/>
      <c r="I49" s="720"/>
      <c r="J49" s="721"/>
      <c r="K49" s="211"/>
      <c r="L49" s="61"/>
    </row>
    <row r="50" spans="1:12" ht="51" customHeight="1" x14ac:dyDescent="0.2">
      <c r="A50" s="660"/>
      <c r="B50" s="729" t="s">
        <v>615</v>
      </c>
      <c r="C50" s="730"/>
      <c r="D50" s="731"/>
      <c r="E50" s="707"/>
      <c r="F50" s="708"/>
      <c r="G50" s="709"/>
      <c r="H50" s="722"/>
      <c r="I50" s="722"/>
      <c r="J50" s="723"/>
      <c r="K50" s="211"/>
      <c r="L50" s="61"/>
    </row>
    <row r="51" spans="1:12" ht="13.5" customHeight="1" x14ac:dyDescent="0.2">
      <c r="A51" s="660"/>
      <c r="B51" s="699" t="s">
        <v>592</v>
      </c>
      <c r="C51" s="700"/>
      <c r="D51" s="701"/>
      <c r="E51" s="710"/>
      <c r="F51" s="711"/>
      <c r="G51" s="712"/>
      <c r="H51" s="722"/>
      <c r="I51" s="722"/>
      <c r="J51" s="723"/>
      <c r="K51" s="211"/>
      <c r="L51" s="61"/>
    </row>
    <row r="52" spans="1:12" ht="13.5" customHeight="1" x14ac:dyDescent="0.2">
      <c r="A52" s="660"/>
      <c r="B52" s="702" t="s">
        <v>607</v>
      </c>
      <c r="C52" s="703"/>
      <c r="D52" s="703"/>
      <c r="E52" s="195">
        <v>0</v>
      </c>
      <c r="F52" s="175">
        <v>26.45</v>
      </c>
      <c r="G52" s="79">
        <f>E52*F52</f>
        <v>0</v>
      </c>
      <c r="H52" s="722"/>
      <c r="I52" s="722"/>
      <c r="J52" s="723"/>
      <c r="K52" s="210">
        <f>G52</f>
        <v>0</v>
      </c>
      <c r="L52" s="61"/>
    </row>
    <row r="53" spans="1:12" ht="13.5" customHeight="1" x14ac:dyDescent="0.2">
      <c r="A53" s="660"/>
      <c r="B53" s="713" t="s">
        <v>608</v>
      </c>
      <c r="C53" s="714"/>
      <c r="D53" s="714"/>
      <c r="E53" s="195">
        <v>0</v>
      </c>
      <c r="F53" s="175">
        <v>53.25</v>
      </c>
      <c r="G53" s="79">
        <f>E53*F53</f>
        <v>0</v>
      </c>
      <c r="H53" s="722"/>
      <c r="I53" s="722"/>
      <c r="J53" s="723"/>
      <c r="K53" s="210">
        <f>G53</f>
        <v>0</v>
      </c>
      <c r="L53" s="61"/>
    </row>
    <row r="54" spans="1:12" ht="13.5" customHeight="1" thickBot="1" x14ac:dyDescent="0.25">
      <c r="A54" s="726"/>
      <c r="B54" s="715" t="s">
        <v>609</v>
      </c>
      <c r="C54" s="716"/>
      <c r="D54" s="716"/>
      <c r="E54" s="196">
        <v>0</v>
      </c>
      <c r="F54" s="197">
        <v>79.180000000000007</v>
      </c>
      <c r="G54" s="198">
        <f>E54*F54</f>
        <v>0</v>
      </c>
      <c r="H54" s="724"/>
      <c r="I54" s="724"/>
      <c r="J54" s="725"/>
      <c r="K54" s="210">
        <f>G54</f>
        <v>0</v>
      </c>
      <c r="L54" s="61"/>
    </row>
    <row r="55" spans="1:12" ht="14.25" customHeight="1" x14ac:dyDescent="0.2">
      <c r="A55" s="659" t="s">
        <v>616</v>
      </c>
      <c r="B55" s="694" t="s">
        <v>617</v>
      </c>
      <c r="C55" s="695"/>
      <c r="D55" s="696"/>
      <c r="E55" s="619"/>
      <c r="F55" s="620"/>
      <c r="G55" s="621"/>
      <c r="H55" s="610"/>
      <c r="I55" s="611"/>
      <c r="J55" s="612"/>
      <c r="K55" s="211"/>
      <c r="L55" s="61"/>
    </row>
    <row r="56" spans="1:12" ht="63.75" customHeight="1" x14ac:dyDescent="0.2">
      <c r="A56" s="660"/>
      <c r="B56" s="653" t="s">
        <v>618</v>
      </c>
      <c r="C56" s="654"/>
      <c r="D56" s="655"/>
      <c r="E56" s="622"/>
      <c r="F56" s="623"/>
      <c r="G56" s="624"/>
      <c r="H56" s="613"/>
      <c r="I56" s="614"/>
      <c r="J56" s="615"/>
      <c r="K56" s="211"/>
      <c r="L56" s="61"/>
    </row>
    <row r="57" spans="1:12" ht="13.5" customHeight="1" thickBot="1" x14ac:dyDescent="0.25">
      <c r="A57" s="660"/>
      <c r="B57" s="691" t="s">
        <v>619</v>
      </c>
      <c r="C57" s="692"/>
      <c r="D57" s="693"/>
      <c r="E57" s="193">
        <v>0</v>
      </c>
      <c r="F57" s="186">
        <v>8.82</v>
      </c>
      <c r="G57" s="74">
        <f>E57*F57</f>
        <v>0</v>
      </c>
      <c r="H57" s="616"/>
      <c r="I57" s="617"/>
      <c r="J57" s="618"/>
      <c r="K57" s="210">
        <f>G57</f>
        <v>0</v>
      </c>
      <c r="L57" s="61"/>
    </row>
    <row r="58" spans="1:12" ht="14.25" customHeight="1" x14ac:dyDescent="0.2">
      <c r="A58" s="659" t="s">
        <v>620</v>
      </c>
      <c r="B58" s="694" t="s">
        <v>621</v>
      </c>
      <c r="C58" s="695"/>
      <c r="D58" s="696"/>
      <c r="E58" s="619"/>
      <c r="F58" s="620"/>
      <c r="G58" s="621"/>
      <c r="H58" s="610"/>
      <c r="I58" s="611"/>
      <c r="J58" s="612"/>
      <c r="K58" s="211"/>
      <c r="L58" s="61"/>
    </row>
    <row r="59" spans="1:12" ht="38.25" customHeight="1" x14ac:dyDescent="0.2">
      <c r="A59" s="660"/>
      <c r="B59" s="653" t="s">
        <v>622</v>
      </c>
      <c r="C59" s="654"/>
      <c r="D59" s="655"/>
      <c r="E59" s="622"/>
      <c r="F59" s="623"/>
      <c r="G59" s="624"/>
      <c r="H59" s="613"/>
      <c r="I59" s="614"/>
      <c r="J59" s="615"/>
      <c r="K59" s="211"/>
      <c r="L59" s="61"/>
    </row>
    <row r="60" spans="1:12" ht="13.5" customHeight="1" thickBot="1" x14ac:dyDescent="0.25">
      <c r="A60" s="660"/>
      <c r="B60" s="691" t="s">
        <v>619</v>
      </c>
      <c r="C60" s="692"/>
      <c r="D60" s="693"/>
      <c r="E60" s="193">
        <v>0</v>
      </c>
      <c r="F60" s="186">
        <v>4.45</v>
      </c>
      <c r="G60" s="74">
        <f>E60*F60</f>
        <v>0</v>
      </c>
      <c r="H60" s="616"/>
      <c r="I60" s="617"/>
      <c r="J60" s="618"/>
      <c r="K60" s="210">
        <f>G60</f>
        <v>0</v>
      </c>
      <c r="L60" s="61"/>
    </row>
    <row r="61" spans="1:12" ht="13.5" thickBot="1" x14ac:dyDescent="0.25">
      <c r="A61" s="199"/>
      <c r="B61" s="200"/>
      <c r="C61" s="200"/>
      <c r="D61" s="200"/>
      <c r="E61" s="697"/>
      <c r="F61" s="698"/>
      <c r="G61" s="698"/>
      <c r="H61" s="732"/>
      <c r="I61" s="733"/>
      <c r="J61" s="734"/>
      <c r="K61" s="211"/>
      <c r="L61" s="61"/>
    </row>
    <row r="62" spans="1:12" ht="41.25" customHeight="1" thickTop="1" thickBot="1" x14ac:dyDescent="0.25">
      <c r="A62" s="671" t="s">
        <v>623</v>
      </c>
      <c r="B62" s="672"/>
      <c r="C62" s="672"/>
      <c r="D62" s="672"/>
      <c r="E62" s="672"/>
      <c r="F62" s="672"/>
      <c r="G62" s="672"/>
      <c r="H62" s="672"/>
      <c r="I62" s="672"/>
      <c r="J62" s="673"/>
      <c r="K62" s="211"/>
      <c r="L62" s="61"/>
    </row>
    <row r="63" spans="1:12" ht="12.75" customHeight="1" x14ac:dyDescent="0.2">
      <c r="A63" s="679" t="s">
        <v>575</v>
      </c>
      <c r="B63" s="682" t="s">
        <v>624</v>
      </c>
      <c r="C63" s="683"/>
      <c r="D63" s="684"/>
      <c r="E63" s="619"/>
      <c r="F63" s="620"/>
      <c r="G63" s="643"/>
      <c r="H63" s="674"/>
      <c r="I63" s="611"/>
      <c r="J63" s="612"/>
      <c r="K63" s="211"/>
      <c r="L63" s="61"/>
    </row>
    <row r="64" spans="1:12" ht="64.5" customHeight="1" x14ac:dyDescent="0.2">
      <c r="A64" s="680"/>
      <c r="B64" s="653" t="s">
        <v>625</v>
      </c>
      <c r="C64" s="654"/>
      <c r="D64" s="655"/>
      <c r="E64" s="622"/>
      <c r="F64" s="623"/>
      <c r="G64" s="644"/>
      <c r="H64" s="675"/>
      <c r="I64" s="614"/>
      <c r="J64" s="615"/>
      <c r="K64" s="211"/>
      <c r="L64" s="61"/>
    </row>
    <row r="65" spans="1:12" ht="13.5" thickBot="1" x14ac:dyDescent="0.25">
      <c r="A65" s="681"/>
      <c r="B65" s="688" t="s">
        <v>626</v>
      </c>
      <c r="C65" s="689"/>
      <c r="D65" s="690"/>
      <c r="E65" s="193">
        <v>0</v>
      </c>
      <c r="F65" s="184">
        <v>17.329999999999998</v>
      </c>
      <c r="G65" s="64">
        <f>E65*F65</f>
        <v>0</v>
      </c>
      <c r="H65" s="676"/>
      <c r="I65" s="617"/>
      <c r="J65" s="618"/>
      <c r="K65" s="210">
        <f>G65</f>
        <v>0</v>
      </c>
      <c r="L65" s="61"/>
    </row>
    <row r="66" spans="1:12" ht="12.75" customHeight="1" x14ac:dyDescent="0.2">
      <c r="A66" s="659" t="s">
        <v>579</v>
      </c>
      <c r="B66" s="637" t="s">
        <v>624</v>
      </c>
      <c r="C66" s="638"/>
      <c r="D66" s="639"/>
      <c r="E66" s="619"/>
      <c r="F66" s="620"/>
      <c r="G66" s="643"/>
      <c r="H66" s="666"/>
      <c r="I66" s="667"/>
      <c r="J66" s="668"/>
      <c r="K66" s="211"/>
      <c r="L66" s="61"/>
    </row>
    <row r="67" spans="1:12" ht="63.75" customHeight="1" x14ac:dyDescent="0.2">
      <c r="A67" s="660"/>
      <c r="B67" s="653" t="s">
        <v>627</v>
      </c>
      <c r="C67" s="654"/>
      <c r="D67" s="655"/>
      <c r="E67" s="622"/>
      <c r="F67" s="623"/>
      <c r="G67" s="644"/>
      <c r="H67" s="666"/>
      <c r="I67" s="667"/>
      <c r="J67" s="668"/>
      <c r="K67" s="211"/>
      <c r="L67" s="61"/>
    </row>
    <row r="68" spans="1:12" ht="13.5" thickBot="1" x14ac:dyDescent="0.25">
      <c r="A68" s="660"/>
      <c r="B68" s="634" t="s">
        <v>628</v>
      </c>
      <c r="C68" s="635"/>
      <c r="D68" s="636"/>
      <c r="E68" s="193">
        <v>0</v>
      </c>
      <c r="F68" s="173">
        <v>2.16</v>
      </c>
      <c r="G68" s="67">
        <f>E68*F68</f>
        <v>0</v>
      </c>
      <c r="H68" s="666"/>
      <c r="I68" s="667"/>
      <c r="J68" s="668"/>
      <c r="K68" s="210">
        <f>G68</f>
        <v>0</v>
      </c>
      <c r="L68" s="61"/>
    </row>
    <row r="69" spans="1:12" ht="12.75" customHeight="1" x14ac:dyDescent="0.2">
      <c r="A69" s="659" t="s">
        <v>582</v>
      </c>
      <c r="B69" s="685" t="s">
        <v>576</v>
      </c>
      <c r="C69" s="686"/>
      <c r="D69" s="687"/>
      <c r="E69" s="619"/>
      <c r="F69" s="620"/>
      <c r="G69" s="621"/>
      <c r="H69" s="613"/>
      <c r="I69" s="614"/>
      <c r="J69" s="615"/>
      <c r="K69" s="211"/>
      <c r="L69" s="61"/>
    </row>
    <row r="70" spans="1:12" ht="59.25" customHeight="1" x14ac:dyDescent="0.2">
      <c r="A70" s="660"/>
      <c r="B70" s="653" t="s">
        <v>629</v>
      </c>
      <c r="C70" s="654"/>
      <c r="D70" s="655"/>
      <c r="E70" s="622"/>
      <c r="F70" s="623"/>
      <c r="G70" s="624"/>
      <c r="H70" s="613"/>
      <c r="I70" s="614"/>
      <c r="J70" s="615"/>
      <c r="K70" s="211"/>
      <c r="L70" s="61"/>
    </row>
    <row r="71" spans="1:12" ht="13.5" thickBot="1" x14ac:dyDescent="0.25">
      <c r="A71" s="660"/>
      <c r="B71" s="634" t="s">
        <v>630</v>
      </c>
      <c r="C71" s="635"/>
      <c r="D71" s="636"/>
      <c r="E71" s="193">
        <v>0</v>
      </c>
      <c r="F71" s="173">
        <v>0.4</v>
      </c>
      <c r="G71" s="68">
        <f>E71*F71</f>
        <v>0</v>
      </c>
      <c r="H71" s="616"/>
      <c r="I71" s="617"/>
      <c r="J71" s="618"/>
      <c r="K71" s="210">
        <f>G71</f>
        <v>0</v>
      </c>
      <c r="L71" s="61"/>
    </row>
    <row r="72" spans="1:12" ht="12.75" customHeight="1" x14ac:dyDescent="0.2">
      <c r="A72" s="659" t="s">
        <v>584</v>
      </c>
      <c r="B72" s="685" t="s">
        <v>576</v>
      </c>
      <c r="C72" s="686"/>
      <c r="D72" s="687"/>
      <c r="E72" s="619"/>
      <c r="F72" s="620"/>
      <c r="G72" s="621"/>
      <c r="H72" s="610"/>
      <c r="I72" s="611"/>
      <c r="J72" s="612"/>
      <c r="K72" s="211"/>
      <c r="L72" s="61"/>
    </row>
    <row r="73" spans="1:12" ht="49.5" customHeight="1" x14ac:dyDescent="0.2">
      <c r="A73" s="660"/>
      <c r="B73" s="653" t="s">
        <v>631</v>
      </c>
      <c r="C73" s="654"/>
      <c r="D73" s="655"/>
      <c r="E73" s="622"/>
      <c r="F73" s="623"/>
      <c r="G73" s="624"/>
      <c r="H73" s="613"/>
      <c r="I73" s="614"/>
      <c r="J73" s="615"/>
      <c r="K73" s="211"/>
      <c r="L73" s="61"/>
    </row>
    <row r="74" spans="1:12" ht="13.5" thickBot="1" x14ac:dyDescent="0.25">
      <c r="A74" s="660"/>
      <c r="B74" s="656" t="s">
        <v>628</v>
      </c>
      <c r="C74" s="657"/>
      <c r="D74" s="658"/>
      <c r="E74" s="193">
        <v>0</v>
      </c>
      <c r="F74" s="186">
        <v>1.67</v>
      </c>
      <c r="G74" s="74">
        <f>E74*F74</f>
        <v>0</v>
      </c>
      <c r="H74" s="616"/>
      <c r="I74" s="617"/>
      <c r="J74" s="618"/>
      <c r="K74" s="210">
        <f>G74</f>
        <v>0</v>
      </c>
      <c r="L74" s="61"/>
    </row>
    <row r="75" spans="1:12" ht="12.75" customHeight="1" x14ac:dyDescent="0.2">
      <c r="A75" s="659" t="s">
        <v>588</v>
      </c>
      <c r="B75" s="637" t="s">
        <v>624</v>
      </c>
      <c r="C75" s="638"/>
      <c r="D75" s="639"/>
      <c r="E75" s="619"/>
      <c r="F75" s="620"/>
      <c r="G75" s="621"/>
      <c r="H75" s="610"/>
      <c r="I75" s="611"/>
      <c r="J75" s="612"/>
      <c r="K75" s="211"/>
      <c r="L75" s="61"/>
    </row>
    <row r="76" spans="1:12" ht="66" customHeight="1" x14ac:dyDescent="0.2">
      <c r="A76" s="660"/>
      <c r="B76" s="653" t="s">
        <v>632</v>
      </c>
      <c r="C76" s="654"/>
      <c r="D76" s="655"/>
      <c r="E76" s="622"/>
      <c r="F76" s="623"/>
      <c r="G76" s="624"/>
      <c r="H76" s="613"/>
      <c r="I76" s="614"/>
      <c r="J76" s="615"/>
      <c r="K76" s="211"/>
      <c r="L76" s="61"/>
    </row>
    <row r="77" spans="1:12" ht="13.5" thickBot="1" x14ac:dyDescent="0.25">
      <c r="A77" s="660"/>
      <c r="B77" s="634" t="s">
        <v>633</v>
      </c>
      <c r="C77" s="635"/>
      <c r="D77" s="636"/>
      <c r="E77" s="193">
        <v>0</v>
      </c>
      <c r="F77" s="182">
        <v>0.8</v>
      </c>
      <c r="G77" s="68">
        <f>E77*F77</f>
        <v>0</v>
      </c>
      <c r="H77" s="616"/>
      <c r="I77" s="617"/>
      <c r="J77" s="618"/>
      <c r="K77" s="210">
        <f>G77</f>
        <v>0</v>
      </c>
      <c r="L77" s="61"/>
    </row>
    <row r="78" spans="1:12" ht="12.75" customHeight="1" x14ac:dyDescent="0.2">
      <c r="A78" s="659" t="s">
        <v>590</v>
      </c>
      <c r="B78" s="637" t="s">
        <v>634</v>
      </c>
      <c r="C78" s="638"/>
      <c r="D78" s="639"/>
      <c r="E78" s="619"/>
      <c r="F78" s="620"/>
      <c r="G78" s="621"/>
      <c r="H78" s="610"/>
      <c r="I78" s="611"/>
      <c r="J78" s="612"/>
      <c r="K78" s="211"/>
      <c r="L78" s="61"/>
    </row>
    <row r="79" spans="1:12" ht="85.5" customHeight="1" x14ac:dyDescent="0.2">
      <c r="A79" s="660"/>
      <c r="B79" s="640" t="s">
        <v>635</v>
      </c>
      <c r="C79" s="641"/>
      <c r="D79" s="642"/>
      <c r="E79" s="622"/>
      <c r="F79" s="623"/>
      <c r="G79" s="624"/>
      <c r="H79" s="613"/>
      <c r="I79" s="614"/>
      <c r="J79" s="615"/>
      <c r="K79" s="211"/>
      <c r="L79" s="61"/>
    </row>
    <row r="80" spans="1:12" ht="13.5" thickBot="1" x14ac:dyDescent="0.25">
      <c r="A80" s="660"/>
      <c r="B80" s="656" t="s">
        <v>636</v>
      </c>
      <c r="C80" s="657"/>
      <c r="D80" s="658"/>
      <c r="E80" s="205">
        <v>0</v>
      </c>
      <c r="F80" s="182">
        <v>0</v>
      </c>
      <c r="G80" s="68">
        <f>E80*F80</f>
        <v>0</v>
      </c>
      <c r="H80" s="616"/>
      <c r="I80" s="617"/>
      <c r="J80" s="618"/>
      <c r="K80" s="210">
        <f>G80</f>
        <v>0</v>
      </c>
      <c r="L80" s="61"/>
    </row>
    <row r="81" spans="1:12" ht="12.75" customHeight="1" x14ac:dyDescent="0.2">
      <c r="A81" s="659" t="s">
        <v>590</v>
      </c>
      <c r="B81" s="637" t="s">
        <v>634</v>
      </c>
      <c r="C81" s="638"/>
      <c r="D81" s="639"/>
      <c r="E81" s="619"/>
      <c r="F81" s="620"/>
      <c r="G81" s="621"/>
      <c r="H81" s="610"/>
      <c r="I81" s="611"/>
      <c r="J81" s="612"/>
      <c r="K81" s="211"/>
      <c r="L81" s="61"/>
    </row>
    <row r="82" spans="1:12" ht="30" customHeight="1" x14ac:dyDescent="0.2">
      <c r="A82" s="660"/>
      <c r="B82" s="640" t="s">
        <v>637</v>
      </c>
      <c r="C82" s="641"/>
      <c r="D82" s="642"/>
      <c r="E82" s="622"/>
      <c r="F82" s="623"/>
      <c r="G82" s="624"/>
      <c r="H82" s="613"/>
      <c r="I82" s="614"/>
      <c r="J82" s="615"/>
      <c r="K82" s="211"/>
      <c r="L82" s="61"/>
    </row>
    <row r="83" spans="1:12" ht="13.5" thickBot="1" x14ac:dyDescent="0.25">
      <c r="A83" s="660"/>
      <c r="B83" s="634" t="s">
        <v>638</v>
      </c>
      <c r="C83" s="635"/>
      <c r="D83" s="636"/>
      <c r="E83" s="193">
        <v>0</v>
      </c>
      <c r="F83" s="194">
        <v>27</v>
      </c>
      <c r="G83" s="68">
        <f>E83*F83</f>
        <v>0</v>
      </c>
      <c r="H83" s="616"/>
      <c r="I83" s="617"/>
      <c r="J83" s="618"/>
      <c r="K83" s="210">
        <f>G83</f>
        <v>0</v>
      </c>
      <c r="L83" s="61"/>
    </row>
    <row r="84" spans="1:12" ht="12.75" customHeight="1" x14ac:dyDescent="0.2">
      <c r="A84" s="659" t="s">
        <v>590</v>
      </c>
      <c r="B84" s="694" t="s">
        <v>634</v>
      </c>
      <c r="C84" s="695"/>
      <c r="D84" s="696"/>
      <c r="E84" s="628"/>
      <c r="F84" s="629"/>
      <c r="G84" s="630"/>
      <c r="H84" s="610"/>
      <c r="I84" s="611"/>
      <c r="J84" s="612"/>
      <c r="K84" s="211"/>
      <c r="L84" s="61"/>
    </row>
    <row r="85" spans="1:12" ht="16.5" customHeight="1" x14ac:dyDescent="0.2">
      <c r="A85" s="660"/>
      <c r="B85" s="653" t="s">
        <v>639</v>
      </c>
      <c r="C85" s="654"/>
      <c r="D85" s="655"/>
      <c r="E85" s="631"/>
      <c r="F85" s="632"/>
      <c r="G85" s="633"/>
      <c r="H85" s="613"/>
      <c r="I85" s="614"/>
      <c r="J85" s="615"/>
      <c r="K85" s="211"/>
      <c r="L85" s="61"/>
    </row>
    <row r="86" spans="1:12" ht="13.5" thickBot="1" x14ac:dyDescent="0.25">
      <c r="A86" s="660"/>
      <c r="B86" s="634" t="s">
        <v>640</v>
      </c>
      <c r="C86" s="635"/>
      <c r="D86" s="636"/>
      <c r="E86" s="193">
        <v>0</v>
      </c>
      <c r="F86" s="194">
        <v>13</v>
      </c>
      <c r="G86" s="68">
        <f>E86*F86</f>
        <v>0</v>
      </c>
      <c r="H86" s="616"/>
      <c r="I86" s="617"/>
      <c r="J86" s="618"/>
      <c r="K86" s="210">
        <f>G86</f>
        <v>0</v>
      </c>
      <c r="L86" s="61"/>
    </row>
    <row r="87" spans="1:12" ht="12.75" customHeight="1" x14ac:dyDescent="0.2">
      <c r="A87" s="659" t="s">
        <v>590</v>
      </c>
      <c r="B87" s="694" t="s">
        <v>634</v>
      </c>
      <c r="C87" s="695"/>
      <c r="D87" s="696"/>
      <c r="E87" s="619"/>
      <c r="F87" s="620"/>
      <c r="G87" s="621"/>
      <c r="H87" s="610"/>
      <c r="I87" s="611"/>
      <c r="J87" s="612"/>
      <c r="K87" s="211"/>
      <c r="L87" s="61"/>
    </row>
    <row r="88" spans="1:12" ht="13.5" customHeight="1" x14ac:dyDescent="0.2">
      <c r="A88" s="660"/>
      <c r="B88" s="653" t="s">
        <v>641</v>
      </c>
      <c r="C88" s="654"/>
      <c r="D88" s="655"/>
      <c r="E88" s="622"/>
      <c r="F88" s="623"/>
      <c r="G88" s="624"/>
      <c r="H88" s="613"/>
      <c r="I88" s="614"/>
      <c r="J88" s="615"/>
      <c r="K88" s="211"/>
      <c r="L88" s="61"/>
    </row>
    <row r="89" spans="1:12" ht="13.5" thickBot="1" x14ac:dyDescent="0.25">
      <c r="A89" s="660"/>
      <c r="B89" s="634" t="s">
        <v>640</v>
      </c>
      <c r="C89" s="635"/>
      <c r="D89" s="636"/>
      <c r="E89" s="193">
        <v>0</v>
      </c>
      <c r="F89" s="186">
        <v>6</v>
      </c>
      <c r="G89" s="74">
        <f>E89*F89</f>
        <v>0</v>
      </c>
      <c r="H89" s="616"/>
      <c r="I89" s="617"/>
      <c r="J89" s="618"/>
      <c r="K89" s="210">
        <f>G89</f>
        <v>0</v>
      </c>
      <c r="L89" s="61"/>
    </row>
    <row r="90" spans="1:12" x14ac:dyDescent="0.2">
      <c r="A90" s="659" t="s">
        <v>590</v>
      </c>
      <c r="B90" s="694" t="s">
        <v>634</v>
      </c>
      <c r="C90" s="695"/>
      <c r="D90" s="696"/>
      <c r="E90" s="619"/>
      <c r="F90" s="620"/>
      <c r="G90" s="621"/>
      <c r="H90" s="610"/>
      <c r="I90" s="611"/>
      <c r="J90" s="612"/>
      <c r="K90" s="211"/>
      <c r="L90" s="61"/>
    </row>
    <row r="91" spans="1:12" ht="13.5" customHeight="1" x14ac:dyDescent="0.2">
      <c r="A91" s="660"/>
      <c r="B91" s="653" t="s">
        <v>642</v>
      </c>
      <c r="C91" s="654"/>
      <c r="D91" s="655"/>
      <c r="E91" s="622"/>
      <c r="F91" s="623"/>
      <c r="G91" s="624"/>
      <c r="H91" s="613"/>
      <c r="I91" s="614"/>
      <c r="J91" s="615"/>
      <c r="K91" s="211"/>
      <c r="L91" s="61"/>
    </row>
    <row r="92" spans="1:12" ht="13.5" thickBot="1" x14ac:dyDescent="0.25">
      <c r="A92" s="660"/>
      <c r="B92" s="634" t="s">
        <v>640</v>
      </c>
      <c r="C92" s="635"/>
      <c r="D92" s="636"/>
      <c r="E92" s="193">
        <v>0</v>
      </c>
      <c r="F92" s="186">
        <v>3</v>
      </c>
      <c r="G92" s="74">
        <f>E92*F92</f>
        <v>0</v>
      </c>
      <c r="H92" s="616"/>
      <c r="I92" s="617"/>
      <c r="J92" s="618"/>
      <c r="K92" s="210">
        <f>G92</f>
        <v>0</v>
      </c>
      <c r="L92" s="61"/>
    </row>
    <row r="93" spans="1:12" x14ac:dyDescent="0.2">
      <c r="A93" s="659" t="s">
        <v>590</v>
      </c>
      <c r="B93" s="694" t="s">
        <v>634</v>
      </c>
      <c r="C93" s="695"/>
      <c r="D93" s="696"/>
      <c r="E93" s="619"/>
      <c r="F93" s="620"/>
      <c r="G93" s="621"/>
      <c r="H93" s="610"/>
      <c r="I93" s="611"/>
      <c r="J93" s="612"/>
      <c r="K93" s="211"/>
      <c r="L93" s="61"/>
    </row>
    <row r="94" spans="1:12" ht="13.5" customHeight="1" x14ac:dyDescent="0.2">
      <c r="A94" s="660"/>
      <c r="B94" s="653" t="s">
        <v>643</v>
      </c>
      <c r="C94" s="654"/>
      <c r="D94" s="655"/>
      <c r="E94" s="622"/>
      <c r="F94" s="623"/>
      <c r="G94" s="624"/>
      <c r="H94" s="613"/>
      <c r="I94" s="614"/>
      <c r="J94" s="615"/>
      <c r="K94" s="211"/>
      <c r="L94" s="61"/>
    </row>
    <row r="95" spans="1:12" ht="13.5" thickBot="1" x14ac:dyDescent="0.25">
      <c r="A95" s="660"/>
      <c r="B95" s="634" t="s">
        <v>640</v>
      </c>
      <c r="C95" s="635"/>
      <c r="D95" s="636"/>
      <c r="E95" s="193">
        <v>0</v>
      </c>
      <c r="F95" s="186">
        <v>3</v>
      </c>
      <c r="G95" s="74">
        <f>E95*F95</f>
        <v>0</v>
      </c>
      <c r="H95" s="616"/>
      <c r="I95" s="617"/>
      <c r="J95" s="618"/>
      <c r="K95" s="210">
        <f>G95</f>
        <v>0</v>
      </c>
      <c r="L95" s="61"/>
    </row>
    <row r="96" spans="1:12" x14ac:dyDescent="0.2">
      <c r="A96" s="659" t="s">
        <v>590</v>
      </c>
      <c r="B96" s="694" t="s">
        <v>634</v>
      </c>
      <c r="C96" s="695"/>
      <c r="D96" s="696"/>
      <c r="E96" s="619"/>
      <c r="F96" s="620"/>
      <c r="G96" s="621"/>
      <c r="H96" s="610"/>
      <c r="I96" s="611"/>
      <c r="J96" s="612"/>
      <c r="K96" s="211"/>
      <c r="L96" s="61"/>
    </row>
    <row r="97" spans="1:12" ht="13.5" customHeight="1" x14ac:dyDescent="0.2">
      <c r="A97" s="660"/>
      <c r="B97" s="653" t="s">
        <v>644</v>
      </c>
      <c r="C97" s="654"/>
      <c r="D97" s="655"/>
      <c r="E97" s="622"/>
      <c r="F97" s="623"/>
      <c r="G97" s="624"/>
      <c r="H97" s="613"/>
      <c r="I97" s="614"/>
      <c r="J97" s="615"/>
      <c r="K97" s="211"/>
      <c r="L97" s="61"/>
    </row>
    <row r="98" spans="1:12" ht="13.5" thickBot="1" x14ac:dyDescent="0.25">
      <c r="A98" s="660"/>
      <c r="B98" s="634" t="s">
        <v>640</v>
      </c>
      <c r="C98" s="635"/>
      <c r="D98" s="636"/>
      <c r="E98" s="193">
        <v>0</v>
      </c>
      <c r="F98" s="186">
        <v>3</v>
      </c>
      <c r="G98" s="74">
        <f>E98*F98</f>
        <v>0</v>
      </c>
      <c r="H98" s="616"/>
      <c r="I98" s="617"/>
      <c r="J98" s="618"/>
      <c r="K98" s="210">
        <f>G98</f>
        <v>0</v>
      </c>
      <c r="L98" s="61"/>
    </row>
    <row r="99" spans="1:12" ht="12.75" customHeight="1" x14ac:dyDescent="0.2">
      <c r="A99" s="659" t="s">
        <v>593</v>
      </c>
      <c r="B99" s="694" t="s">
        <v>576</v>
      </c>
      <c r="C99" s="695"/>
      <c r="D99" s="696"/>
      <c r="E99" s="619"/>
      <c r="F99" s="620"/>
      <c r="G99" s="621"/>
      <c r="H99" s="610"/>
      <c r="I99" s="611"/>
      <c r="J99" s="612"/>
      <c r="K99" s="211"/>
      <c r="L99" s="61"/>
    </row>
    <row r="100" spans="1:12" ht="43.5" customHeight="1" x14ac:dyDescent="0.2">
      <c r="A100" s="660"/>
      <c r="B100" s="653" t="s">
        <v>645</v>
      </c>
      <c r="C100" s="654"/>
      <c r="D100" s="655"/>
      <c r="E100" s="622"/>
      <c r="F100" s="623"/>
      <c r="G100" s="624"/>
      <c r="H100" s="613"/>
      <c r="I100" s="614"/>
      <c r="J100" s="615"/>
      <c r="K100" s="211"/>
      <c r="L100" s="61"/>
    </row>
    <row r="101" spans="1:12" ht="13.5" thickBot="1" x14ac:dyDescent="0.25">
      <c r="A101" s="660"/>
      <c r="B101" s="634" t="s">
        <v>633</v>
      </c>
      <c r="C101" s="635"/>
      <c r="D101" s="636"/>
      <c r="E101" s="193">
        <v>0</v>
      </c>
      <c r="F101" s="186">
        <v>4</v>
      </c>
      <c r="G101" s="74">
        <f>E101*F101</f>
        <v>0</v>
      </c>
      <c r="H101" s="616"/>
      <c r="I101" s="617"/>
      <c r="J101" s="618"/>
      <c r="K101" s="210">
        <f>G101</f>
        <v>0</v>
      </c>
      <c r="L101" s="61"/>
    </row>
    <row r="102" spans="1:12" ht="12.75" customHeight="1" x14ac:dyDescent="0.2">
      <c r="A102" s="659" t="s">
        <v>596</v>
      </c>
      <c r="B102" s="694" t="s">
        <v>576</v>
      </c>
      <c r="C102" s="695"/>
      <c r="D102" s="696"/>
      <c r="E102" s="619"/>
      <c r="F102" s="620"/>
      <c r="G102" s="621"/>
      <c r="H102" s="610"/>
      <c r="I102" s="611"/>
      <c r="J102" s="612"/>
      <c r="K102" s="211"/>
      <c r="L102" s="61"/>
    </row>
    <row r="103" spans="1:12" ht="45" customHeight="1" x14ac:dyDescent="0.2">
      <c r="A103" s="660"/>
      <c r="B103" s="653" t="s">
        <v>646</v>
      </c>
      <c r="C103" s="654"/>
      <c r="D103" s="655"/>
      <c r="E103" s="622"/>
      <c r="F103" s="623"/>
      <c r="G103" s="624"/>
      <c r="H103" s="613"/>
      <c r="I103" s="614"/>
      <c r="J103" s="615"/>
      <c r="K103" s="211"/>
      <c r="L103" s="61"/>
    </row>
    <row r="104" spans="1:12" ht="13.5" thickBot="1" x14ac:dyDescent="0.25">
      <c r="A104" s="660"/>
      <c r="B104" s="634" t="s">
        <v>633</v>
      </c>
      <c r="C104" s="635"/>
      <c r="D104" s="636"/>
      <c r="E104" s="193">
        <v>0</v>
      </c>
      <c r="F104" s="186">
        <v>1</v>
      </c>
      <c r="G104" s="74">
        <f>E104*F104</f>
        <v>0</v>
      </c>
      <c r="H104" s="616"/>
      <c r="I104" s="617"/>
      <c r="J104" s="618"/>
      <c r="K104" s="210">
        <f>G104</f>
        <v>0</v>
      </c>
      <c r="L104" s="61"/>
    </row>
    <row r="105" spans="1:12" ht="12.75" customHeight="1" x14ac:dyDescent="0.2">
      <c r="A105" s="659" t="s">
        <v>600</v>
      </c>
      <c r="B105" s="694" t="s">
        <v>576</v>
      </c>
      <c r="C105" s="695"/>
      <c r="D105" s="696"/>
      <c r="E105" s="619"/>
      <c r="F105" s="620"/>
      <c r="G105" s="621"/>
      <c r="H105" s="610"/>
      <c r="I105" s="611"/>
      <c r="J105" s="612"/>
      <c r="K105" s="211"/>
      <c r="L105" s="61"/>
    </row>
    <row r="106" spans="1:12" ht="40.5" customHeight="1" x14ac:dyDescent="0.2">
      <c r="A106" s="660"/>
      <c r="B106" s="653" t="s">
        <v>647</v>
      </c>
      <c r="C106" s="654"/>
      <c r="D106" s="655"/>
      <c r="E106" s="622"/>
      <c r="F106" s="623"/>
      <c r="G106" s="624"/>
      <c r="H106" s="613"/>
      <c r="I106" s="614"/>
      <c r="J106" s="615"/>
      <c r="K106" s="211"/>
      <c r="L106" s="61"/>
    </row>
    <row r="107" spans="1:12" ht="13.5" thickBot="1" x14ac:dyDescent="0.25">
      <c r="A107" s="660"/>
      <c r="B107" s="634" t="s">
        <v>633</v>
      </c>
      <c r="C107" s="635"/>
      <c r="D107" s="636"/>
      <c r="E107" s="193">
        <v>0</v>
      </c>
      <c r="F107" s="186">
        <v>0.4</v>
      </c>
      <c r="G107" s="74">
        <f>E107*F107</f>
        <v>0</v>
      </c>
      <c r="H107" s="616"/>
      <c r="I107" s="617"/>
      <c r="J107" s="618"/>
      <c r="K107" s="210">
        <f>G107</f>
        <v>0</v>
      </c>
      <c r="L107" s="61"/>
    </row>
    <row r="108" spans="1:12" ht="12.75" customHeight="1" x14ac:dyDescent="0.2">
      <c r="A108" s="659" t="s">
        <v>616</v>
      </c>
      <c r="B108" s="694" t="s">
        <v>576</v>
      </c>
      <c r="C108" s="695"/>
      <c r="D108" s="696"/>
      <c r="E108" s="619"/>
      <c r="F108" s="620"/>
      <c r="G108" s="621"/>
      <c r="H108" s="610"/>
      <c r="I108" s="611"/>
      <c r="J108" s="612"/>
      <c r="K108" s="211"/>
      <c r="L108" s="61"/>
    </row>
    <row r="109" spans="1:12" ht="45" customHeight="1" x14ac:dyDescent="0.2">
      <c r="A109" s="660"/>
      <c r="B109" s="653" t="s">
        <v>648</v>
      </c>
      <c r="C109" s="654"/>
      <c r="D109" s="655"/>
      <c r="E109" s="622"/>
      <c r="F109" s="623"/>
      <c r="G109" s="624"/>
      <c r="H109" s="613"/>
      <c r="I109" s="614"/>
      <c r="J109" s="615"/>
      <c r="K109" s="211"/>
      <c r="L109" s="61"/>
    </row>
    <row r="110" spans="1:12" ht="13.5" thickBot="1" x14ac:dyDescent="0.25">
      <c r="A110" s="660"/>
      <c r="B110" s="634" t="s">
        <v>633</v>
      </c>
      <c r="C110" s="635"/>
      <c r="D110" s="636"/>
      <c r="E110" s="193">
        <v>0</v>
      </c>
      <c r="F110" s="186">
        <v>2</v>
      </c>
      <c r="G110" s="74">
        <f>(E110/5)*F110</f>
        <v>0</v>
      </c>
      <c r="H110" s="616"/>
      <c r="I110" s="617"/>
      <c r="J110" s="618"/>
      <c r="K110" s="210">
        <f>G110</f>
        <v>0</v>
      </c>
      <c r="L110" s="61"/>
    </row>
    <row r="111" spans="1:12" ht="12.75" customHeight="1" x14ac:dyDescent="0.2">
      <c r="A111" s="659" t="s">
        <v>620</v>
      </c>
      <c r="B111" s="694" t="s">
        <v>649</v>
      </c>
      <c r="C111" s="695"/>
      <c r="D111" s="696"/>
      <c r="E111" s="619"/>
      <c r="F111" s="620"/>
      <c r="G111" s="621"/>
      <c r="H111" s="610"/>
      <c r="I111" s="611"/>
      <c r="J111" s="612"/>
      <c r="K111" s="211"/>
      <c r="L111" s="61"/>
    </row>
    <row r="112" spans="1:12" ht="13.5" customHeight="1" x14ac:dyDescent="0.2">
      <c r="A112" s="660"/>
      <c r="B112" s="653" t="s">
        <v>650</v>
      </c>
      <c r="C112" s="654"/>
      <c r="D112" s="655"/>
      <c r="E112" s="622"/>
      <c r="F112" s="623"/>
      <c r="G112" s="624"/>
      <c r="H112" s="613"/>
      <c r="I112" s="614"/>
      <c r="J112" s="615"/>
      <c r="K112" s="211"/>
      <c r="L112" s="61"/>
    </row>
    <row r="113" spans="1:12" ht="13.5" thickBot="1" x14ac:dyDescent="0.25">
      <c r="A113" s="660"/>
      <c r="B113" s="634" t="s">
        <v>633</v>
      </c>
      <c r="C113" s="635"/>
      <c r="D113" s="636"/>
      <c r="E113" s="193">
        <v>0</v>
      </c>
      <c r="F113" s="186">
        <v>2</v>
      </c>
      <c r="G113" s="74">
        <f>E113*F113</f>
        <v>0</v>
      </c>
      <c r="H113" s="616"/>
      <c r="I113" s="617"/>
      <c r="J113" s="618"/>
      <c r="K113" s="210">
        <f>G113</f>
        <v>0</v>
      </c>
      <c r="L113" s="61"/>
    </row>
    <row r="114" spans="1:12" ht="12.75" customHeight="1" x14ac:dyDescent="0.2">
      <c r="A114" s="659" t="s">
        <v>651</v>
      </c>
      <c r="B114" s="694" t="s">
        <v>649</v>
      </c>
      <c r="C114" s="695"/>
      <c r="D114" s="696"/>
      <c r="E114" s="619"/>
      <c r="F114" s="620"/>
      <c r="G114" s="621"/>
      <c r="H114" s="610"/>
      <c r="I114" s="611"/>
      <c r="J114" s="612"/>
      <c r="K114" s="211"/>
      <c r="L114" s="61"/>
    </row>
    <row r="115" spans="1:12" ht="13.5" customHeight="1" x14ac:dyDescent="0.2">
      <c r="A115" s="660"/>
      <c r="B115" s="653" t="s">
        <v>652</v>
      </c>
      <c r="C115" s="654"/>
      <c r="D115" s="655"/>
      <c r="E115" s="622"/>
      <c r="F115" s="623"/>
      <c r="G115" s="624"/>
      <c r="H115" s="613"/>
      <c r="I115" s="614"/>
      <c r="J115" s="615"/>
      <c r="K115" s="211"/>
      <c r="L115" s="61"/>
    </row>
    <row r="116" spans="1:12" ht="13.5" thickBot="1" x14ac:dyDescent="0.25">
      <c r="A116" s="660"/>
      <c r="B116" s="634" t="s">
        <v>653</v>
      </c>
      <c r="C116" s="635"/>
      <c r="D116" s="636"/>
      <c r="E116" s="193">
        <v>0</v>
      </c>
      <c r="F116" s="186">
        <v>2</v>
      </c>
      <c r="G116" s="74">
        <f>E116*F116</f>
        <v>0</v>
      </c>
      <c r="H116" s="616"/>
      <c r="I116" s="617"/>
      <c r="J116" s="618"/>
      <c r="K116" s="210">
        <f>G116</f>
        <v>0</v>
      </c>
      <c r="L116" s="61"/>
    </row>
    <row r="117" spans="1:12" ht="12.75" customHeight="1" x14ac:dyDescent="0.2">
      <c r="A117" s="659" t="s">
        <v>654</v>
      </c>
      <c r="B117" s="694" t="s">
        <v>649</v>
      </c>
      <c r="C117" s="695"/>
      <c r="D117" s="696"/>
      <c r="E117" s="619"/>
      <c r="F117" s="620"/>
      <c r="G117" s="621"/>
      <c r="H117" s="610"/>
      <c r="I117" s="611"/>
      <c r="J117" s="612"/>
      <c r="K117" s="211"/>
      <c r="L117" s="61"/>
    </row>
    <row r="118" spans="1:12" x14ac:dyDescent="0.2">
      <c r="A118" s="660"/>
      <c r="B118" s="653" t="s">
        <v>655</v>
      </c>
      <c r="C118" s="654"/>
      <c r="D118" s="655"/>
      <c r="E118" s="622"/>
      <c r="F118" s="623"/>
      <c r="G118" s="624"/>
      <c r="H118" s="613"/>
      <c r="I118" s="614"/>
      <c r="J118" s="615"/>
      <c r="K118" s="211"/>
      <c r="L118" s="61"/>
    </row>
    <row r="119" spans="1:12" ht="13.5" thickBot="1" x14ac:dyDescent="0.25">
      <c r="A119" s="660"/>
      <c r="B119" s="634" t="s">
        <v>656</v>
      </c>
      <c r="C119" s="635"/>
      <c r="D119" s="636"/>
      <c r="E119" s="193">
        <v>0</v>
      </c>
      <c r="F119" s="186">
        <v>3</v>
      </c>
      <c r="G119" s="74">
        <f>E119*F119</f>
        <v>0</v>
      </c>
      <c r="H119" s="616"/>
      <c r="I119" s="617"/>
      <c r="J119" s="618"/>
      <c r="K119" s="210">
        <f>G119</f>
        <v>0</v>
      </c>
      <c r="L119" s="61"/>
    </row>
    <row r="120" spans="1:12" x14ac:dyDescent="0.2">
      <c r="A120" s="659" t="s">
        <v>657</v>
      </c>
      <c r="B120" s="694" t="s">
        <v>649</v>
      </c>
      <c r="C120" s="695"/>
      <c r="D120" s="696"/>
      <c r="E120" s="619"/>
      <c r="F120" s="620"/>
      <c r="G120" s="621"/>
      <c r="H120" s="610"/>
      <c r="I120" s="611"/>
      <c r="J120" s="612"/>
      <c r="K120" s="211"/>
      <c r="L120" s="61"/>
    </row>
    <row r="121" spans="1:12" x14ac:dyDescent="0.2">
      <c r="A121" s="660"/>
      <c r="B121" s="653" t="s">
        <v>658</v>
      </c>
      <c r="C121" s="654"/>
      <c r="D121" s="655"/>
      <c r="E121" s="622"/>
      <c r="F121" s="623"/>
      <c r="G121" s="624"/>
      <c r="H121" s="613"/>
      <c r="I121" s="614"/>
      <c r="J121" s="615"/>
      <c r="K121" s="211"/>
      <c r="L121" s="61"/>
    </row>
    <row r="122" spans="1:12" ht="13.5" thickBot="1" x14ac:dyDescent="0.25">
      <c r="A122" s="660"/>
      <c r="B122" s="634" t="s">
        <v>656</v>
      </c>
      <c r="C122" s="635"/>
      <c r="D122" s="636"/>
      <c r="E122" s="193">
        <v>0</v>
      </c>
      <c r="F122" s="186">
        <v>3</v>
      </c>
      <c r="G122" s="74">
        <f>E122*F122</f>
        <v>0</v>
      </c>
      <c r="H122" s="616"/>
      <c r="I122" s="617"/>
      <c r="J122" s="618"/>
      <c r="K122" s="210">
        <f>G122</f>
        <v>0</v>
      </c>
      <c r="L122" s="61"/>
    </row>
    <row r="123" spans="1:12" ht="12.75" customHeight="1" x14ac:dyDescent="0.2">
      <c r="A123" s="659" t="s">
        <v>659</v>
      </c>
      <c r="B123" s="694" t="s">
        <v>649</v>
      </c>
      <c r="C123" s="695"/>
      <c r="D123" s="696"/>
      <c r="E123" s="619"/>
      <c r="F123" s="620"/>
      <c r="G123" s="621"/>
      <c r="H123" s="610"/>
      <c r="I123" s="611"/>
      <c r="J123" s="612"/>
      <c r="K123" s="211"/>
      <c r="L123" s="61"/>
    </row>
    <row r="124" spans="1:12" x14ac:dyDescent="0.2">
      <c r="A124" s="660"/>
      <c r="B124" s="653" t="s">
        <v>660</v>
      </c>
      <c r="C124" s="654"/>
      <c r="D124" s="655"/>
      <c r="E124" s="622"/>
      <c r="F124" s="623"/>
      <c r="G124" s="624"/>
      <c r="H124" s="613"/>
      <c r="I124" s="614"/>
      <c r="J124" s="615"/>
      <c r="K124" s="211"/>
      <c r="L124" s="61"/>
    </row>
    <row r="125" spans="1:12" ht="13.5" thickBot="1" x14ac:dyDescent="0.25">
      <c r="A125" s="660"/>
      <c r="B125" s="634" t="s">
        <v>656</v>
      </c>
      <c r="C125" s="635"/>
      <c r="D125" s="636"/>
      <c r="E125" s="193">
        <v>0</v>
      </c>
      <c r="F125" s="186">
        <v>4</v>
      </c>
      <c r="G125" s="74">
        <f>E125*F125</f>
        <v>0</v>
      </c>
      <c r="H125" s="616"/>
      <c r="I125" s="617"/>
      <c r="J125" s="618"/>
      <c r="K125" s="210">
        <f>G125</f>
        <v>0</v>
      </c>
      <c r="L125" s="61"/>
    </row>
    <row r="126" spans="1:12" ht="12.75" customHeight="1" x14ac:dyDescent="0.2">
      <c r="A126" s="659" t="s">
        <v>661</v>
      </c>
      <c r="B126" s="694" t="s">
        <v>649</v>
      </c>
      <c r="C126" s="695"/>
      <c r="D126" s="696"/>
      <c r="E126" s="619"/>
      <c r="F126" s="620"/>
      <c r="G126" s="621"/>
      <c r="H126" s="610"/>
      <c r="I126" s="611"/>
      <c r="J126" s="612"/>
      <c r="K126" s="211"/>
      <c r="L126" s="61"/>
    </row>
    <row r="127" spans="1:12" ht="13.5" customHeight="1" x14ac:dyDescent="0.2">
      <c r="A127" s="660"/>
      <c r="B127" s="653" t="s">
        <v>662</v>
      </c>
      <c r="C127" s="654"/>
      <c r="D127" s="655"/>
      <c r="E127" s="622"/>
      <c r="F127" s="623"/>
      <c r="G127" s="624"/>
      <c r="H127" s="613"/>
      <c r="I127" s="614"/>
      <c r="J127" s="615"/>
      <c r="K127" s="211"/>
      <c r="L127" s="61"/>
    </row>
    <row r="128" spans="1:12" ht="13.5" thickBot="1" x14ac:dyDescent="0.25">
      <c r="A128" s="660"/>
      <c r="B128" s="634" t="s">
        <v>663</v>
      </c>
      <c r="C128" s="635"/>
      <c r="D128" s="636"/>
      <c r="E128" s="193">
        <v>0</v>
      </c>
      <c r="F128" s="186">
        <v>2</v>
      </c>
      <c r="G128" s="74">
        <f>E128*F128</f>
        <v>0</v>
      </c>
      <c r="H128" s="616"/>
      <c r="I128" s="617"/>
      <c r="J128" s="618"/>
      <c r="K128" s="210">
        <f>G128</f>
        <v>0</v>
      </c>
      <c r="L128" s="61"/>
    </row>
    <row r="129" spans="1:12" x14ac:dyDescent="0.2">
      <c r="A129" s="659" t="s">
        <v>664</v>
      </c>
      <c r="B129" s="694" t="s">
        <v>649</v>
      </c>
      <c r="C129" s="695"/>
      <c r="D129" s="696"/>
      <c r="E129" s="619"/>
      <c r="F129" s="620"/>
      <c r="G129" s="621"/>
      <c r="H129" s="610"/>
      <c r="I129" s="611"/>
      <c r="J129" s="612"/>
      <c r="K129" s="211"/>
      <c r="L129" s="61"/>
    </row>
    <row r="130" spans="1:12" ht="13.5" customHeight="1" x14ac:dyDescent="0.2">
      <c r="A130" s="660"/>
      <c r="B130" s="653" t="s">
        <v>665</v>
      </c>
      <c r="C130" s="654"/>
      <c r="D130" s="655"/>
      <c r="E130" s="622"/>
      <c r="F130" s="623"/>
      <c r="G130" s="624"/>
      <c r="H130" s="613"/>
      <c r="I130" s="614"/>
      <c r="J130" s="615"/>
      <c r="K130" s="211"/>
      <c r="L130" s="61"/>
    </row>
    <row r="131" spans="1:12" ht="13.5" thickBot="1" x14ac:dyDescent="0.25">
      <c r="A131" s="660"/>
      <c r="B131" s="749" t="s">
        <v>663</v>
      </c>
      <c r="C131" s="750"/>
      <c r="D131" s="751"/>
      <c r="E131" s="206">
        <v>0</v>
      </c>
      <c r="F131" s="186">
        <v>4</v>
      </c>
      <c r="G131" s="74">
        <f>E131*F131</f>
        <v>0</v>
      </c>
      <c r="H131" s="613"/>
      <c r="I131" s="614"/>
      <c r="J131" s="615"/>
      <c r="K131" s="210">
        <f>G131</f>
        <v>0</v>
      </c>
      <c r="L131" s="61"/>
    </row>
    <row r="132" spans="1:12" ht="12.75" customHeight="1" thickTop="1" x14ac:dyDescent="0.2">
      <c r="A132" s="735" t="s">
        <v>666</v>
      </c>
      <c r="B132" s="752" t="s">
        <v>649</v>
      </c>
      <c r="C132" s="753"/>
      <c r="D132" s="754"/>
      <c r="E132" s="737"/>
      <c r="F132" s="738"/>
      <c r="G132" s="739"/>
      <c r="H132" s="740"/>
      <c r="I132" s="741"/>
      <c r="J132" s="742"/>
      <c r="K132" s="211"/>
      <c r="L132" s="61"/>
    </row>
    <row r="133" spans="1:12" ht="32.25" customHeight="1" x14ac:dyDescent="0.2">
      <c r="A133" s="660"/>
      <c r="B133" s="653" t="s">
        <v>667</v>
      </c>
      <c r="C133" s="654"/>
      <c r="D133" s="655"/>
      <c r="E133" s="622"/>
      <c r="F133" s="623"/>
      <c r="G133" s="624"/>
      <c r="H133" s="613"/>
      <c r="I133" s="614"/>
      <c r="J133" s="615"/>
      <c r="K133" s="211"/>
      <c r="L133" s="61"/>
    </row>
    <row r="134" spans="1:12" ht="13.5" thickBot="1" x14ac:dyDescent="0.25">
      <c r="A134" s="736"/>
      <c r="B134" s="746" t="s">
        <v>663</v>
      </c>
      <c r="C134" s="747"/>
      <c r="D134" s="748"/>
      <c r="E134" s="207">
        <v>0</v>
      </c>
      <c r="F134" s="208">
        <v>2</v>
      </c>
      <c r="G134" s="209">
        <f>E134*F134</f>
        <v>0</v>
      </c>
      <c r="H134" s="743"/>
      <c r="I134" s="744"/>
      <c r="J134" s="745"/>
      <c r="K134" s="210">
        <f>G134</f>
        <v>0</v>
      </c>
      <c r="L134" s="61"/>
    </row>
    <row r="135" spans="1:12" ht="14.25" thickTop="1" thickBot="1" x14ac:dyDescent="0.25">
      <c r="A135" s="199"/>
      <c r="B135" s="200" t="s">
        <v>668</v>
      </c>
      <c r="C135" s="200"/>
      <c r="D135" s="200"/>
      <c r="E135" s="697">
        <f>SUM(K9:K134)</f>
        <v>0</v>
      </c>
      <c r="F135" s="698"/>
      <c r="G135" s="698"/>
      <c r="H135" s="732"/>
      <c r="I135" s="733"/>
      <c r="J135" s="734"/>
      <c r="K135" s="61"/>
      <c r="L135" s="61"/>
    </row>
    <row r="136" spans="1:12" ht="13.5" thickTop="1" x14ac:dyDescent="0.2">
      <c r="A136" s="61"/>
      <c r="B136" s="61"/>
      <c r="C136" s="61"/>
      <c r="D136" s="61"/>
      <c r="E136" s="61"/>
      <c r="F136" s="61"/>
      <c r="G136" s="61"/>
      <c r="H136" s="61"/>
      <c r="I136" s="61"/>
      <c r="J136" s="61"/>
    </row>
    <row r="137" spans="1:12" x14ac:dyDescent="0.2">
      <c r="A137" s="61"/>
      <c r="B137" s="61"/>
      <c r="C137" s="61"/>
      <c r="D137" s="61"/>
      <c r="E137" s="61"/>
      <c r="F137" s="61"/>
      <c r="G137" s="61"/>
      <c r="H137" s="61"/>
      <c r="I137" s="61"/>
      <c r="J137" s="61"/>
    </row>
    <row r="174" s="61" customFormat="1" x14ac:dyDescent="0.2"/>
    <row r="175" s="61" customFormat="1" x14ac:dyDescent="0.2"/>
  </sheetData>
  <sheetProtection password="FB4B" sheet="1" formatRows="0"/>
  <mergeCells count="251">
    <mergeCell ref="H135:J135"/>
    <mergeCell ref="A69:A71"/>
    <mergeCell ref="B71:D71"/>
    <mergeCell ref="A123:A125"/>
    <mergeCell ref="E135:G135"/>
    <mergeCell ref="A132:A134"/>
    <mergeCell ref="E132:G133"/>
    <mergeCell ref="H129:J131"/>
    <mergeCell ref="E126:G127"/>
    <mergeCell ref="H132:J134"/>
    <mergeCell ref="B134:D134"/>
    <mergeCell ref="B133:D133"/>
    <mergeCell ref="E117:G118"/>
    <mergeCell ref="H117:J119"/>
    <mergeCell ref="E129:G130"/>
    <mergeCell ref="B131:D131"/>
    <mergeCell ref="B132:D132"/>
    <mergeCell ref="E120:G121"/>
    <mergeCell ref="B129:D129"/>
    <mergeCell ref="E123:G124"/>
    <mergeCell ref="H126:J128"/>
    <mergeCell ref="B123:D123"/>
    <mergeCell ref="B124:D124"/>
    <mergeCell ref="B125:D125"/>
    <mergeCell ref="B126:D126"/>
    <mergeCell ref="A66:A68"/>
    <mergeCell ref="E66:G67"/>
    <mergeCell ref="B128:D128"/>
    <mergeCell ref="A129:A131"/>
    <mergeCell ref="B127:D127"/>
    <mergeCell ref="E114:G115"/>
    <mergeCell ref="B108:D108"/>
    <mergeCell ref="B110:D110"/>
    <mergeCell ref="B130:D130"/>
    <mergeCell ref="A126:A128"/>
    <mergeCell ref="B118:D118"/>
    <mergeCell ref="A114:A116"/>
    <mergeCell ref="A120:A122"/>
    <mergeCell ref="A117:A119"/>
    <mergeCell ref="B119:D119"/>
    <mergeCell ref="B120:D120"/>
    <mergeCell ref="B121:D121"/>
    <mergeCell ref="B122:D122"/>
    <mergeCell ref="E105:G106"/>
    <mergeCell ref="B100:D100"/>
    <mergeCell ref="A96:A98"/>
    <mergeCell ref="A99:A101"/>
    <mergeCell ref="B101:D101"/>
    <mergeCell ref="H123:J125"/>
    <mergeCell ref="H120:J122"/>
    <mergeCell ref="H114:J116"/>
    <mergeCell ref="B113:D113"/>
    <mergeCell ref="B114:D114"/>
    <mergeCell ref="B115:D115"/>
    <mergeCell ref="B116:D116"/>
    <mergeCell ref="H111:J113"/>
    <mergeCell ref="B111:D111"/>
    <mergeCell ref="B112:D112"/>
    <mergeCell ref="B117:D117"/>
    <mergeCell ref="H105:J107"/>
    <mergeCell ref="E102:G103"/>
    <mergeCell ref="H102:J104"/>
    <mergeCell ref="H108:J110"/>
    <mergeCell ref="B109:D109"/>
    <mergeCell ref="A105:A107"/>
    <mergeCell ref="A111:A113"/>
    <mergeCell ref="E111:G112"/>
    <mergeCell ref="A108:A110"/>
    <mergeCell ref="E108:G109"/>
    <mergeCell ref="B105:D105"/>
    <mergeCell ref="B106:D106"/>
    <mergeCell ref="B107:D107"/>
    <mergeCell ref="A102:A104"/>
    <mergeCell ref="B102:D102"/>
    <mergeCell ref="B103:D103"/>
    <mergeCell ref="B104:D104"/>
    <mergeCell ref="E96:G97"/>
    <mergeCell ref="B90:D90"/>
    <mergeCell ref="B92:D92"/>
    <mergeCell ref="E87:G88"/>
    <mergeCell ref="E99:G100"/>
    <mergeCell ref="H96:J98"/>
    <mergeCell ref="B95:D95"/>
    <mergeCell ref="B96:D96"/>
    <mergeCell ref="B97:D97"/>
    <mergeCell ref="B98:D98"/>
    <mergeCell ref="H93:J95"/>
    <mergeCell ref="B93:D93"/>
    <mergeCell ref="B94:D94"/>
    <mergeCell ref="B99:D99"/>
    <mergeCell ref="H99:J101"/>
    <mergeCell ref="H90:J92"/>
    <mergeCell ref="B91:D91"/>
    <mergeCell ref="A93:A95"/>
    <mergeCell ref="E93:G94"/>
    <mergeCell ref="A90:A92"/>
    <mergeCell ref="E90:G91"/>
    <mergeCell ref="B87:D87"/>
    <mergeCell ref="B88:D88"/>
    <mergeCell ref="B89:D89"/>
    <mergeCell ref="A84:A86"/>
    <mergeCell ref="A81:A83"/>
    <mergeCell ref="B83:D83"/>
    <mergeCell ref="B84:D84"/>
    <mergeCell ref="B85:D85"/>
    <mergeCell ref="B86:D86"/>
    <mergeCell ref="E84:G85"/>
    <mergeCell ref="B81:D81"/>
    <mergeCell ref="B82:D82"/>
    <mergeCell ref="E81:G82"/>
    <mergeCell ref="H81:J83"/>
    <mergeCell ref="B79:D79"/>
    <mergeCell ref="B80:D80"/>
    <mergeCell ref="B74:D74"/>
    <mergeCell ref="B75:D75"/>
    <mergeCell ref="B76:D76"/>
    <mergeCell ref="A87:A89"/>
    <mergeCell ref="E78:G79"/>
    <mergeCell ref="H78:J80"/>
    <mergeCell ref="H87:J89"/>
    <mergeCell ref="H84:J86"/>
    <mergeCell ref="A72:A74"/>
    <mergeCell ref="E72:G73"/>
    <mergeCell ref="H72:J74"/>
    <mergeCell ref="B72:D72"/>
    <mergeCell ref="B77:D77"/>
    <mergeCell ref="B78:D78"/>
    <mergeCell ref="A78:A80"/>
    <mergeCell ref="B73:D73"/>
    <mergeCell ref="A75:A77"/>
    <mergeCell ref="E75:G76"/>
    <mergeCell ref="H75:J77"/>
    <mergeCell ref="E63:G64"/>
    <mergeCell ref="H63:J65"/>
    <mergeCell ref="B65:D65"/>
    <mergeCell ref="B63:D63"/>
    <mergeCell ref="B64:D64"/>
    <mergeCell ref="H61:J61"/>
    <mergeCell ref="A49:A54"/>
    <mergeCell ref="B49:D49"/>
    <mergeCell ref="E49:G51"/>
    <mergeCell ref="H49:J54"/>
    <mergeCell ref="A58:A60"/>
    <mergeCell ref="A55:A57"/>
    <mergeCell ref="H69:J71"/>
    <mergeCell ref="B68:D68"/>
    <mergeCell ref="B69:D69"/>
    <mergeCell ref="B70:D70"/>
    <mergeCell ref="E69:G70"/>
    <mergeCell ref="H66:J68"/>
    <mergeCell ref="B66:D66"/>
    <mergeCell ref="B67:D67"/>
    <mergeCell ref="B37:D37"/>
    <mergeCell ref="B52:D52"/>
    <mergeCell ref="B53:D53"/>
    <mergeCell ref="B54:D54"/>
    <mergeCell ref="B58:D58"/>
    <mergeCell ref="E58:G59"/>
    <mergeCell ref="H58:J60"/>
    <mergeCell ref="B59:D59"/>
    <mergeCell ref="B60:D60"/>
    <mergeCell ref="B55:D55"/>
    <mergeCell ref="E55:G56"/>
    <mergeCell ref="H55:J57"/>
    <mergeCell ref="B56:D56"/>
    <mergeCell ref="B57:D57"/>
    <mergeCell ref="A62:J62"/>
    <mergeCell ref="A63:A65"/>
    <mergeCell ref="B38:D38"/>
    <mergeCell ref="B31:D31"/>
    <mergeCell ref="E61:G61"/>
    <mergeCell ref="A36:J36"/>
    <mergeCell ref="B39:D39"/>
    <mergeCell ref="B40:D40"/>
    <mergeCell ref="E37:G39"/>
    <mergeCell ref="B41:D41"/>
    <mergeCell ref="B42:D42"/>
    <mergeCell ref="A37:A42"/>
    <mergeCell ref="H37:J42"/>
    <mergeCell ref="A43:A48"/>
    <mergeCell ref="B43:D43"/>
    <mergeCell ref="E43:G45"/>
    <mergeCell ref="H43:J48"/>
    <mergeCell ref="B44:D44"/>
    <mergeCell ref="B45:D45"/>
    <mergeCell ref="H33:J35"/>
    <mergeCell ref="B46:D46"/>
    <mergeCell ref="B47:D47"/>
    <mergeCell ref="B48:D48"/>
    <mergeCell ref="B50:D50"/>
    <mergeCell ref="B51:D51"/>
    <mergeCell ref="E18:G19"/>
    <mergeCell ref="E15:G16"/>
    <mergeCell ref="B15:D15"/>
    <mergeCell ref="B11:D11"/>
    <mergeCell ref="B12:D12"/>
    <mergeCell ref="A33:A35"/>
    <mergeCell ref="A30:A32"/>
    <mergeCell ref="B35:D35"/>
    <mergeCell ref="B16:D16"/>
    <mergeCell ref="B17:D17"/>
    <mergeCell ref="B18:D18"/>
    <mergeCell ref="B19:D19"/>
    <mergeCell ref="B30:D30"/>
    <mergeCell ref="A24:A26"/>
    <mergeCell ref="B25:D25"/>
    <mergeCell ref="B26:D26"/>
    <mergeCell ref="B33:D33"/>
    <mergeCell ref="B32:D32"/>
    <mergeCell ref="B24:D24"/>
    <mergeCell ref="E27:G28"/>
    <mergeCell ref="A27:A29"/>
    <mergeCell ref="B34:D34"/>
    <mergeCell ref="H12:J14"/>
    <mergeCell ref="E6:E7"/>
    <mergeCell ref="H15:J17"/>
    <mergeCell ref="A8:J8"/>
    <mergeCell ref="A15:A17"/>
    <mergeCell ref="H9:J11"/>
    <mergeCell ref="A6:A7"/>
    <mergeCell ref="B13:D13"/>
    <mergeCell ref="A9:A11"/>
    <mergeCell ref="B14:D14"/>
    <mergeCell ref="E9:G10"/>
    <mergeCell ref="A12:A14"/>
    <mergeCell ref="B10:D10"/>
    <mergeCell ref="B9:D9"/>
    <mergeCell ref="H27:J29"/>
    <mergeCell ref="E33:G34"/>
    <mergeCell ref="H30:J32"/>
    <mergeCell ref="E24:G25"/>
    <mergeCell ref="A5:J5"/>
    <mergeCell ref="E30:G31"/>
    <mergeCell ref="H21:J23"/>
    <mergeCell ref="H24:J26"/>
    <mergeCell ref="B29:D29"/>
    <mergeCell ref="B27:D27"/>
    <mergeCell ref="B28:D28"/>
    <mergeCell ref="E12:G13"/>
    <mergeCell ref="B6:D7"/>
    <mergeCell ref="G6:G7"/>
    <mergeCell ref="B22:D22"/>
    <mergeCell ref="B23:D23"/>
    <mergeCell ref="F6:F7"/>
    <mergeCell ref="E21:G22"/>
    <mergeCell ref="B21:D21"/>
    <mergeCell ref="B20:D20"/>
    <mergeCell ref="A21:A23"/>
    <mergeCell ref="H6:J7"/>
    <mergeCell ref="H18:J20"/>
    <mergeCell ref="A18:A20"/>
  </mergeCells>
  <phoneticPr fontId="9" type="noConversion"/>
  <dataValidations count="10">
    <dataValidation type="decimal" allowBlank="1" showInputMessage="1" showErrorMessage="1" error="Informe números com até 2 casas decimais." sqref="E11 E68 E71 E74 E77 E80 E83 E86 E89 E92 E95 E98 E101 E104 E107 E110 E113 E116 E119 E122 E125 E128 E131 E134 E65 E57 E60 E35 E32 E29 E26 E23 E20 E17 E14">
      <formula1>0</formula1>
      <formula2>1000000</formula2>
    </dataValidation>
    <dataValidation type="decimal" allowBlank="1" showInputMessage="1" showErrorMessage="1" error="Informe números com até 2 casas decimais." promptTitle="Orientação para classificação:" prompt="Compreende a utilização de linguagem de Marcação." sqref="E40">
      <formula1>0</formula1>
      <formula2>1000000</formula2>
    </dataValidation>
    <dataValidation type="decimal" allowBlank="1" showInputMessage="1" showErrorMessage="1" error="Informe números com até 2 casas decimais." promptTitle="Orientação para classificação:" prompt="Linguagem de Marcação + Linguagem de Script ou Linguagem de Definição de Apresentação." sqref="E41">
      <formula1>0</formula1>
      <formula2>1000000</formula2>
    </dataValidation>
    <dataValidation type="decimal" allowBlank="1" showInputMessage="1" showErrorMessage="1" error="Informe números com até 2 casas decimais." promptTitle="Orientação para classificação:" prompt="Linguagem de Marcação + Linguagem de Script + Linguagem de Definição de Apresentação." sqref="E42">
      <formula1>0</formula1>
      <formula2>1000000</formula2>
    </dataValidation>
    <dataValidation type="decimal" allowBlank="1" showInputMessage="1" showErrorMessage="1" error="Informe números com até 2 casas decimais." promptTitle="Orientação para classificação:" prompt="Linguagem de Marcação + Linguagem de Definição de Apresentação ou Linguagem de Script. Compreende também a implementação de peças ou conteúdos animados construídos por Agências Publicitárias." sqref="E46">
      <formula1>0</formula1>
      <formula2>1000000</formula2>
    </dataValidation>
    <dataValidation type="decimal" allowBlank="1" showInputMessage="1" showErrorMessage="1" error="Informe números com até 2 casas decimais." promptTitle="Orientação para classificação:" prompt="Linguagem de Marcação + Linguagem de Script + Linguagem de Definição de Apresentação. Compreende também a implementação de peças ou conteúdos animados construídos por Agências Publicitárias." sqref="E47">
      <formula1>0</formula1>
      <formula2>1000000</formula2>
    </dataValidation>
    <dataValidation type="decimal" allowBlank="1" showInputMessage="1" showErrorMessage="1" error="Informe números com até 2 casas decimais." promptTitle="Orientação para classificação:" prompt="Compreende o desenvolvimento de fragmentos com conteúdo animado e/ou interativo, utilizando RIAs ou Rich Web Clients construídos pela Fábrica." sqref="E48">
      <formula1>0</formula1>
      <formula2>1000000</formula2>
    </dataValidation>
    <dataValidation type="decimal" allowBlank="1" showInputMessage="1" showErrorMessage="1" error="Informe números com até 2 casas decimais." promptTitle="Orientação para classificação:" prompt="Compreende a criação de templates utilizando Linguagem de Marcação + Linguagem de Definição de Apresentação ou Linguagem de Script." sqref="E52">
      <formula1>0</formula1>
      <formula2>1000000</formula2>
    </dataValidation>
    <dataValidation type="decimal" allowBlank="1" showInputMessage="1" showErrorMessage="1" error="Informe números com até 2 casas decimais." promptTitle="Orientação para classificação:" prompt="Compreende a criação de templates utilizando Linguagem de Marcação + Linguagem de Script + Linguagem de Definição de Apresentação." sqref="E53">
      <formula1>0</formula1>
      <formula2>1000000</formula2>
    </dataValidation>
    <dataValidation type="decimal" allowBlank="1" showInputMessage="1" showErrorMessage="1" error="Informe números com até 2 casas decimais." promptTitle="Orientação para classificação:" prompt="Compreende a criação de templates utilizando recursos de programação (API) específicos." sqref="E54">
      <formula1>0</formula1>
      <formula2>1000000</formula2>
    </dataValidation>
  </dataValidations>
  <pageMargins left="0.75" right="0.75" top="1" bottom="1" header="0.49212598499999999" footer="0.49212598499999999"/>
  <pageSetup paperSize="9" scale="57"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M84"/>
  <sheetViews>
    <sheetView zoomScaleNormal="100" workbookViewId="0">
      <pane ySplit="7" topLeftCell="A32" activePane="bottomLeft" state="frozen"/>
      <selection activeCell="A75" sqref="A75:E75"/>
      <selection pane="bottomLeft" activeCell="G32" sqref="G32"/>
    </sheetView>
  </sheetViews>
  <sheetFormatPr defaultColWidth="0" defaultRowHeight="12.75" customHeight="1" zeroHeight="1" x14ac:dyDescent="0.2"/>
  <cols>
    <col min="1" max="1" width="6.28515625" customWidth="1"/>
    <col min="2" max="2" width="25.7109375" customWidth="1"/>
    <col min="3" max="3" width="11.5703125" customWidth="1"/>
    <col min="4" max="4" width="16.85546875" customWidth="1"/>
    <col min="5" max="5" width="15.140625" customWidth="1"/>
    <col min="6" max="7" width="14.28515625" customWidth="1"/>
    <col min="8" max="8" width="21.42578125" customWidth="1"/>
    <col min="9" max="9" width="0" hidden="1" customWidth="1"/>
    <col min="10" max="10" width="18.85546875" customWidth="1"/>
    <col min="11" max="11" width="14.85546875" customWidth="1"/>
    <col min="12" max="12" width="8" hidden="1" customWidth="1"/>
  </cols>
  <sheetData>
    <row r="1" spans="1:13" ht="18.75" customHeight="1" x14ac:dyDescent="0.2">
      <c r="A1" s="111"/>
      <c r="B1" s="112"/>
      <c r="C1" s="112"/>
      <c r="D1" s="112"/>
      <c r="E1" s="112"/>
      <c r="F1" s="112"/>
      <c r="G1" s="112"/>
      <c r="H1" s="112"/>
      <c r="I1" s="54"/>
      <c r="J1" s="91"/>
      <c r="K1" s="55"/>
    </row>
    <row r="2" spans="1:13" ht="32.25" hidden="1" customHeight="1" x14ac:dyDescent="0.2">
      <c r="A2" s="109"/>
      <c r="B2" s="110"/>
      <c r="D2" s="117"/>
      <c r="H2" s="117"/>
      <c r="I2" s="117"/>
      <c r="J2" s="117"/>
      <c r="K2" s="56"/>
    </row>
    <row r="3" spans="1:13" ht="18.75" hidden="1" customHeight="1" x14ac:dyDescent="0.2">
      <c r="A3" s="113"/>
      <c r="B3" s="113"/>
      <c r="C3" s="118"/>
      <c r="D3" s="118"/>
      <c r="H3" s="114"/>
      <c r="I3" s="115"/>
      <c r="J3" s="57"/>
      <c r="K3" s="57"/>
    </row>
    <row r="4" spans="1:13" ht="18.75" customHeight="1" thickBot="1" x14ac:dyDescent="0.25">
      <c r="A4" s="113"/>
      <c r="B4" s="113"/>
      <c r="C4" s="114"/>
      <c r="D4" s="114"/>
      <c r="E4" s="114"/>
      <c r="F4" s="114"/>
      <c r="G4" s="114"/>
      <c r="H4" s="114"/>
      <c r="I4" s="114"/>
      <c r="J4" s="116"/>
      <c r="K4" s="58"/>
      <c r="M4" s="59"/>
    </row>
    <row r="5" spans="1:13" ht="24.75" customHeight="1" thickBot="1" x14ac:dyDescent="0.25">
      <c r="A5" s="800" t="s">
        <v>669</v>
      </c>
      <c r="B5" s="801"/>
      <c r="C5" s="801"/>
      <c r="D5" s="801"/>
      <c r="E5" s="801"/>
      <c r="F5" s="801"/>
      <c r="G5" s="801"/>
      <c r="H5" s="801"/>
      <c r="I5" s="801"/>
      <c r="J5" s="802"/>
      <c r="K5" s="60"/>
    </row>
    <row r="6" spans="1:13" ht="21" customHeight="1" x14ac:dyDescent="0.2">
      <c r="A6" s="808" t="s">
        <v>100</v>
      </c>
      <c r="B6" s="645" t="s">
        <v>670</v>
      </c>
      <c r="C6" s="646"/>
      <c r="D6" s="647"/>
      <c r="E6" s="669" t="s">
        <v>671</v>
      </c>
      <c r="F6" s="651" t="s">
        <v>672</v>
      </c>
      <c r="G6" s="651" t="s">
        <v>233</v>
      </c>
      <c r="H6" s="661" t="s">
        <v>573</v>
      </c>
      <c r="I6" s="662"/>
      <c r="J6" s="783"/>
      <c r="K6" s="61"/>
      <c r="L6" s="61"/>
    </row>
    <row r="7" spans="1:13" ht="33.75" customHeight="1" thickBot="1" x14ac:dyDescent="0.25">
      <c r="A7" s="809"/>
      <c r="B7" s="648"/>
      <c r="C7" s="649"/>
      <c r="D7" s="650"/>
      <c r="E7" s="670"/>
      <c r="F7" s="652"/>
      <c r="G7" s="652"/>
      <c r="H7" s="648"/>
      <c r="I7" s="664"/>
      <c r="J7" s="784"/>
      <c r="K7" s="61"/>
      <c r="L7" s="61"/>
    </row>
    <row r="8" spans="1:13" ht="15" customHeight="1" x14ac:dyDescent="0.2">
      <c r="A8" s="806" t="s">
        <v>575</v>
      </c>
      <c r="B8" s="682" t="s">
        <v>673</v>
      </c>
      <c r="C8" s="683"/>
      <c r="D8" s="684"/>
      <c r="E8" s="619"/>
      <c r="F8" s="620"/>
      <c r="G8" s="643"/>
      <c r="H8" s="785"/>
      <c r="I8" s="786"/>
      <c r="J8" s="787"/>
      <c r="L8" s="61"/>
    </row>
    <row r="9" spans="1:13" ht="118.5" customHeight="1" x14ac:dyDescent="0.2">
      <c r="A9" s="806"/>
      <c r="B9" s="653" t="s">
        <v>674</v>
      </c>
      <c r="C9" s="654"/>
      <c r="D9" s="655"/>
      <c r="E9" s="622"/>
      <c r="F9" s="623"/>
      <c r="G9" s="644"/>
      <c r="H9" s="666"/>
      <c r="I9" s="667"/>
      <c r="J9" s="788"/>
      <c r="K9" s="61"/>
      <c r="L9" s="61"/>
    </row>
    <row r="10" spans="1:13" ht="17.25" customHeight="1" thickBot="1" x14ac:dyDescent="0.25">
      <c r="A10" s="807"/>
      <c r="B10" s="768" t="s">
        <v>675</v>
      </c>
      <c r="C10" s="792"/>
      <c r="D10" s="793"/>
      <c r="E10" s="62">
        <v>0</v>
      </c>
      <c r="F10" s="63">
        <v>0.2</v>
      </c>
      <c r="G10" s="64">
        <f>(E10/5)*F10</f>
        <v>0</v>
      </c>
      <c r="H10" s="789"/>
      <c r="I10" s="790"/>
      <c r="J10" s="791"/>
      <c r="K10" s="61"/>
      <c r="L10" s="61"/>
    </row>
    <row r="11" spans="1:13" ht="15" customHeight="1" x14ac:dyDescent="0.2">
      <c r="A11" s="679" t="s">
        <v>579</v>
      </c>
      <c r="B11" s="637" t="s">
        <v>676</v>
      </c>
      <c r="C11" s="638"/>
      <c r="D11" s="639"/>
      <c r="E11" s="619"/>
      <c r="F11" s="620"/>
      <c r="G11" s="643"/>
      <c r="H11" s="666"/>
      <c r="I11" s="667"/>
      <c r="J11" s="788"/>
      <c r="K11" s="61"/>
      <c r="L11" s="61"/>
    </row>
    <row r="12" spans="1:13" ht="84.75" customHeight="1" x14ac:dyDescent="0.2">
      <c r="A12" s="680"/>
      <c r="B12" s="653" t="s">
        <v>677</v>
      </c>
      <c r="C12" s="654"/>
      <c r="D12" s="655"/>
      <c r="E12" s="622"/>
      <c r="F12" s="623"/>
      <c r="G12" s="644"/>
      <c r="H12" s="666"/>
      <c r="I12" s="667"/>
      <c r="J12" s="788"/>
      <c r="K12" s="61"/>
      <c r="L12" s="61"/>
    </row>
    <row r="13" spans="1:13" ht="17.25" customHeight="1" thickBot="1" x14ac:dyDescent="0.25">
      <c r="A13" s="680"/>
      <c r="B13" s="656" t="s">
        <v>678</v>
      </c>
      <c r="C13" s="657"/>
      <c r="D13" s="658"/>
      <c r="E13" s="65">
        <v>0</v>
      </c>
      <c r="F13" s="66">
        <v>0.4</v>
      </c>
      <c r="G13" s="67">
        <f>(E13/5)*F13</f>
        <v>0</v>
      </c>
      <c r="H13" s="666"/>
      <c r="I13" s="667"/>
      <c r="J13" s="788"/>
      <c r="K13" s="61"/>
      <c r="L13" s="61"/>
    </row>
    <row r="14" spans="1:13" x14ac:dyDescent="0.2">
      <c r="A14" s="679" t="s">
        <v>582</v>
      </c>
      <c r="B14" s="777" t="s">
        <v>679</v>
      </c>
      <c r="C14" s="778"/>
      <c r="D14" s="779"/>
      <c r="E14" s="619"/>
      <c r="F14" s="620"/>
      <c r="G14" s="621"/>
      <c r="H14" s="795"/>
      <c r="I14" s="667"/>
      <c r="J14" s="788"/>
      <c r="K14" s="61"/>
      <c r="L14" s="61"/>
    </row>
    <row r="15" spans="1:13" ht="68.25" customHeight="1" x14ac:dyDescent="0.2">
      <c r="A15" s="680"/>
      <c r="B15" s="653" t="s">
        <v>680</v>
      </c>
      <c r="C15" s="654"/>
      <c r="D15" s="655"/>
      <c r="E15" s="622"/>
      <c r="F15" s="623"/>
      <c r="G15" s="624"/>
      <c r="H15" s="795"/>
      <c r="I15" s="667"/>
      <c r="J15" s="788"/>
      <c r="K15" s="61"/>
      <c r="L15" s="61"/>
    </row>
    <row r="16" spans="1:13" ht="17.25" customHeight="1" thickBot="1" x14ac:dyDescent="0.25">
      <c r="A16" s="680"/>
      <c r="B16" s="780" t="s">
        <v>681</v>
      </c>
      <c r="C16" s="781"/>
      <c r="D16" s="782"/>
      <c r="E16" s="65">
        <v>0</v>
      </c>
      <c r="F16" s="66">
        <v>0.2</v>
      </c>
      <c r="G16" s="68">
        <f>(E16/5)*F16</f>
        <v>0</v>
      </c>
      <c r="H16" s="796"/>
      <c r="I16" s="790"/>
      <c r="J16" s="791"/>
      <c r="K16" s="61"/>
      <c r="L16" s="61"/>
    </row>
    <row r="17" spans="1:12" x14ac:dyDescent="0.2">
      <c r="A17" s="679" t="s">
        <v>584</v>
      </c>
      <c r="B17" s="777" t="s">
        <v>682</v>
      </c>
      <c r="C17" s="778"/>
      <c r="D17" s="779"/>
      <c r="E17" s="619"/>
      <c r="F17" s="620"/>
      <c r="G17" s="621"/>
      <c r="H17" s="794"/>
      <c r="I17" s="786"/>
      <c r="J17" s="787"/>
      <c r="K17" s="61"/>
      <c r="L17" s="61"/>
    </row>
    <row r="18" spans="1:12" ht="43.5" customHeight="1" x14ac:dyDescent="0.2">
      <c r="A18" s="680"/>
      <c r="B18" s="653" t="s">
        <v>683</v>
      </c>
      <c r="C18" s="654"/>
      <c r="D18" s="655"/>
      <c r="E18" s="622"/>
      <c r="F18" s="623"/>
      <c r="G18" s="624"/>
      <c r="H18" s="795"/>
      <c r="I18" s="667"/>
      <c r="J18" s="788"/>
      <c r="K18" s="61"/>
      <c r="L18" s="61"/>
    </row>
    <row r="19" spans="1:12" ht="15" customHeight="1" x14ac:dyDescent="0.2">
      <c r="A19" s="680"/>
      <c r="B19" s="640" t="s">
        <v>684</v>
      </c>
      <c r="C19" s="641"/>
      <c r="D19" s="642"/>
      <c r="E19" s="69">
        <v>0</v>
      </c>
      <c r="F19" s="70">
        <v>0.5</v>
      </c>
      <c r="G19" s="71">
        <f>E19*F19</f>
        <v>0</v>
      </c>
      <c r="H19" s="795"/>
      <c r="I19" s="667"/>
      <c r="J19" s="788"/>
      <c r="K19" s="61"/>
      <c r="L19" s="61"/>
    </row>
    <row r="20" spans="1:12" ht="13.5" thickBot="1" x14ac:dyDescent="0.25">
      <c r="A20" s="680"/>
      <c r="B20" s="656" t="s">
        <v>685</v>
      </c>
      <c r="C20" s="657"/>
      <c r="D20" s="658"/>
      <c r="E20" s="72">
        <v>0</v>
      </c>
      <c r="F20" s="73">
        <v>0.1</v>
      </c>
      <c r="G20" s="74">
        <f>E20*F20</f>
        <v>0</v>
      </c>
      <c r="H20" s="796"/>
      <c r="I20" s="790"/>
      <c r="J20" s="791"/>
      <c r="K20" s="61"/>
      <c r="L20" s="61"/>
    </row>
    <row r="21" spans="1:12" x14ac:dyDescent="0.2">
      <c r="A21" s="679" t="s">
        <v>588</v>
      </c>
      <c r="B21" s="637" t="s">
        <v>686</v>
      </c>
      <c r="C21" s="638"/>
      <c r="D21" s="639"/>
      <c r="E21" s="619"/>
      <c r="F21" s="620"/>
      <c r="G21" s="621"/>
      <c r="H21" s="794"/>
      <c r="I21" s="786"/>
      <c r="J21" s="787"/>
      <c r="K21" s="61"/>
      <c r="L21" s="61"/>
    </row>
    <row r="22" spans="1:12" ht="72.75" customHeight="1" x14ac:dyDescent="0.2">
      <c r="A22" s="680"/>
      <c r="B22" s="640" t="s">
        <v>687</v>
      </c>
      <c r="C22" s="641"/>
      <c r="D22" s="642"/>
      <c r="E22" s="622"/>
      <c r="F22" s="623"/>
      <c r="G22" s="624"/>
      <c r="H22" s="795"/>
      <c r="I22" s="667"/>
      <c r="J22" s="788"/>
      <c r="K22" s="61"/>
      <c r="L22" s="61"/>
    </row>
    <row r="23" spans="1:12" ht="17.25" customHeight="1" thickBot="1" x14ac:dyDescent="0.25">
      <c r="A23" s="680"/>
      <c r="B23" s="656" t="s">
        <v>678</v>
      </c>
      <c r="C23" s="657"/>
      <c r="D23" s="658"/>
      <c r="E23" s="65">
        <v>0</v>
      </c>
      <c r="F23" s="75">
        <v>0.2</v>
      </c>
      <c r="G23" s="68">
        <f>(E23/5)*F23</f>
        <v>0</v>
      </c>
      <c r="H23" s="796"/>
      <c r="I23" s="790"/>
      <c r="J23" s="791"/>
      <c r="K23" s="61"/>
      <c r="L23" s="61"/>
    </row>
    <row r="24" spans="1:12" ht="14.25" customHeight="1" x14ac:dyDescent="0.2">
      <c r="A24" s="679" t="s">
        <v>590</v>
      </c>
      <c r="B24" s="637" t="s">
        <v>688</v>
      </c>
      <c r="C24" s="638"/>
      <c r="D24" s="639"/>
      <c r="E24" s="619"/>
      <c r="F24" s="620"/>
      <c r="G24" s="621"/>
      <c r="H24" s="794"/>
      <c r="I24" s="786"/>
      <c r="J24" s="787"/>
      <c r="K24" s="61"/>
      <c r="L24" s="61"/>
    </row>
    <row r="25" spans="1:12" ht="88.5" customHeight="1" x14ac:dyDescent="0.2">
      <c r="A25" s="680"/>
      <c r="B25" s="640" t="s">
        <v>689</v>
      </c>
      <c r="C25" s="641"/>
      <c r="D25" s="642"/>
      <c r="E25" s="622"/>
      <c r="F25" s="623"/>
      <c r="G25" s="624"/>
      <c r="H25" s="795"/>
      <c r="I25" s="667"/>
      <c r="J25" s="788"/>
      <c r="K25" s="61"/>
      <c r="L25" s="61"/>
    </row>
    <row r="26" spans="1:12" ht="13.5" thickBot="1" x14ac:dyDescent="0.25">
      <c r="A26" s="680"/>
      <c r="B26" s="656" t="s">
        <v>690</v>
      </c>
      <c r="C26" s="657"/>
      <c r="D26" s="658"/>
      <c r="E26" s="65">
        <v>0</v>
      </c>
      <c r="F26" s="75">
        <v>0.1</v>
      </c>
      <c r="G26" s="68">
        <f>(E26/5)*F26</f>
        <v>0</v>
      </c>
      <c r="H26" s="796"/>
      <c r="I26" s="790"/>
      <c r="J26" s="791"/>
      <c r="K26" s="61"/>
      <c r="L26" s="61"/>
    </row>
    <row r="27" spans="1:12" ht="15.75" customHeight="1" x14ac:dyDescent="0.2">
      <c r="A27" s="679" t="s">
        <v>593</v>
      </c>
      <c r="B27" s="637" t="s">
        <v>691</v>
      </c>
      <c r="C27" s="638"/>
      <c r="D27" s="639"/>
      <c r="E27" s="619"/>
      <c r="F27" s="620"/>
      <c r="G27" s="621"/>
      <c r="H27" s="794"/>
      <c r="I27" s="786"/>
      <c r="J27" s="787"/>
      <c r="K27" s="61"/>
      <c r="L27" s="61"/>
    </row>
    <row r="28" spans="1:12" ht="93" customHeight="1" x14ac:dyDescent="0.2">
      <c r="A28" s="680"/>
      <c r="B28" s="640" t="s">
        <v>692</v>
      </c>
      <c r="C28" s="641"/>
      <c r="D28" s="642"/>
      <c r="E28" s="622"/>
      <c r="F28" s="623"/>
      <c r="G28" s="624"/>
      <c r="H28" s="795"/>
      <c r="I28" s="667"/>
      <c r="J28" s="788"/>
      <c r="K28" s="61"/>
      <c r="L28" s="61"/>
    </row>
    <row r="29" spans="1:12" ht="27" customHeight="1" thickBot="1" x14ac:dyDescent="0.25">
      <c r="A29" s="680"/>
      <c r="B29" s="803" t="s">
        <v>693</v>
      </c>
      <c r="C29" s="804"/>
      <c r="D29" s="805"/>
      <c r="E29" s="65">
        <v>0</v>
      </c>
      <c r="F29" s="76">
        <v>0.3</v>
      </c>
      <c r="G29" s="68">
        <f>E29*F29</f>
        <v>0</v>
      </c>
      <c r="H29" s="796"/>
      <c r="I29" s="790"/>
      <c r="J29" s="791"/>
      <c r="K29" s="61"/>
      <c r="L29" s="61"/>
    </row>
    <row r="30" spans="1:12" ht="15" customHeight="1" x14ac:dyDescent="0.2">
      <c r="A30" s="679" t="s">
        <v>596</v>
      </c>
      <c r="B30" s="694" t="s">
        <v>694</v>
      </c>
      <c r="C30" s="695"/>
      <c r="D30" s="696"/>
      <c r="E30" s="628" t="s">
        <v>695</v>
      </c>
      <c r="F30" s="629"/>
      <c r="G30" s="630"/>
      <c r="H30" s="794"/>
      <c r="I30" s="786"/>
      <c r="J30" s="787"/>
      <c r="K30" s="61"/>
      <c r="L30" s="61"/>
    </row>
    <row r="31" spans="1:12" ht="81.75" customHeight="1" x14ac:dyDescent="0.2">
      <c r="A31" s="680"/>
      <c r="B31" s="653" t="s">
        <v>696</v>
      </c>
      <c r="C31" s="654"/>
      <c r="D31" s="655"/>
      <c r="E31" s="631"/>
      <c r="F31" s="632"/>
      <c r="G31" s="633"/>
      <c r="H31" s="795"/>
      <c r="I31" s="667"/>
      <c r="J31" s="788"/>
      <c r="K31" s="61"/>
      <c r="L31" s="61"/>
    </row>
    <row r="32" spans="1:12" ht="57.75" customHeight="1" thickBot="1" x14ac:dyDescent="0.25">
      <c r="A32" s="680"/>
      <c r="B32" s="797" t="s">
        <v>697</v>
      </c>
      <c r="C32" s="798"/>
      <c r="D32" s="799"/>
      <c r="E32" s="77">
        <v>0</v>
      </c>
      <c r="F32" s="149">
        <f>IF(FSDMS!E43&lt;&gt;"",IF(VLOOKUP(FSDMS!E43,Parâmetros!$B$76:$F$160,3,FALSE)&gt;0,VLOOKUP(FSDMS!E43,Parâmetros!$B$76:$F$160,3,FALSE),0))</f>
        <v>0</v>
      </c>
      <c r="G32" s="68">
        <f>IF(FSDMS!E43&lt;&gt;"",IF(AND(Parâmetros!J75&lt;&gt;29,F32&lt;&gt;0),(E32*8)/F32,0),0)</f>
        <v>0</v>
      </c>
      <c r="H32" s="796"/>
      <c r="I32" s="790"/>
      <c r="J32" s="791"/>
      <c r="K32" s="61"/>
      <c r="L32" s="61"/>
    </row>
    <row r="33" spans="1:12" x14ac:dyDescent="0.2">
      <c r="A33" s="679" t="s">
        <v>600</v>
      </c>
      <c r="B33" s="694" t="s">
        <v>698</v>
      </c>
      <c r="C33" s="695"/>
      <c r="D33" s="696"/>
      <c r="E33" s="619"/>
      <c r="F33" s="620"/>
      <c r="G33" s="621"/>
      <c r="H33" s="794"/>
      <c r="I33" s="786"/>
      <c r="J33" s="787"/>
      <c r="K33" s="61"/>
      <c r="L33" s="61"/>
    </row>
    <row r="34" spans="1:12" ht="65.25" customHeight="1" x14ac:dyDescent="0.2">
      <c r="A34" s="680"/>
      <c r="B34" s="653" t="s">
        <v>699</v>
      </c>
      <c r="C34" s="654"/>
      <c r="D34" s="655"/>
      <c r="E34" s="622"/>
      <c r="F34" s="623"/>
      <c r="G34" s="624"/>
      <c r="H34" s="795"/>
      <c r="I34" s="667"/>
      <c r="J34" s="788"/>
      <c r="K34" s="61"/>
      <c r="L34" s="61"/>
    </row>
    <row r="35" spans="1:12" ht="44.25" customHeight="1" x14ac:dyDescent="0.2">
      <c r="A35" s="680"/>
      <c r="B35" s="653" t="s">
        <v>700</v>
      </c>
      <c r="C35" s="654"/>
      <c r="D35" s="655"/>
      <c r="E35" s="78">
        <v>0</v>
      </c>
      <c r="F35" s="70">
        <v>2.7</v>
      </c>
      <c r="G35" s="79">
        <f t="shared" ref="G35:G42" si="0">(E35)*F35</f>
        <v>0</v>
      </c>
      <c r="H35" s="795"/>
      <c r="I35" s="667"/>
      <c r="J35" s="788"/>
      <c r="K35" s="61"/>
      <c r="L35" s="61"/>
    </row>
    <row r="36" spans="1:12" ht="27.75" customHeight="1" x14ac:dyDescent="0.2">
      <c r="A36" s="680"/>
      <c r="B36" s="653" t="s">
        <v>701</v>
      </c>
      <c r="C36" s="654"/>
      <c r="D36" s="655"/>
      <c r="E36" s="80">
        <v>0</v>
      </c>
      <c r="F36" s="81">
        <v>1.3</v>
      </c>
      <c r="G36" s="79">
        <f t="shared" si="0"/>
        <v>0</v>
      </c>
      <c r="H36" s="795"/>
      <c r="I36" s="667"/>
      <c r="J36" s="788"/>
      <c r="K36" s="61"/>
      <c r="L36" s="61"/>
    </row>
    <row r="37" spans="1:12" ht="26.25" customHeight="1" x14ac:dyDescent="0.2">
      <c r="A37" s="680"/>
      <c r="B37" s="653" t="s">
        <v>702</v>
      </c>
      <c r="C37" s="654"/>
      <c r="D37" s="655"/>
      <c r="E37" s="80">
        <v>0</v>
      </c>
      <c r="F37" s="81">
        <v>0.6</v>
      </c>
      <c r="G37" s="79">
        <f t="shared" si="0"/>
        <v>0</v>
      </c>
      <c r="H37" s="795"/>
      <c r="I37" s="667"/>
      <c r="J37" s="788"/>
      <c r="K37" s="61"/>
      <c r="L37" s="61"/>
    </row>
    <row r="38" spans="1:12" ht="27.75" customHeight="1" x14ac:dyDescent="0.2">
      <c r="A38" s="680"/>
      <c r="B38" s="653" t="s">
        <v>703</v>
      </c>
      <c r="C38" s="654"/>
      <c r="D38" s="655"/>
      <c r="E38" s="80">
        <v>0</v>
      </c>
      <c r="F38" s="81">
        <v>0.3</v>
      </c>
      <c r="G38" s="79">
        <f t="shared" si="0"/>
        <v>0</v>
      </c>
      <c r="H38" s="795"/>
      <c r="I38" s="667"/>
      <c r="J38" s="788"/>
      <c r="K38" s="61"/>
      <c r="L38" s="61"/>
    </row>
    <row r="39" spans="1:12" ht="27" customHeight="1" x14ac:dyDescent="0.2">
      <c r="A39" s="680"/>
      <c r="B39" s="653" t="s">
        <v>704</v>
      </c>
      <c r="C39" s="654"/>
      <c r="D39" s="655"/>
      <c r="E39" s="80">
        <v>0</v>
      </c>
      <c r="F39" s="81">
        <v>0.3</v>
      </c>
      <c r="G39" s="79">
        <f t="shared" si="0"/>
        <v>0</v>
      </c>
      <c r="H39" s="795"/>
      <c r="I39" s="667"/>
      <c r="J39" s="788"/>
      <c r="K39" s="61"/>
      <c r="L39" s="61"/>
    </row>
    <row r="40" spans="1:12" ht="26.25" customHeight="1" thickBot="1" x14ac:dyDescent="0.25">
      <c r="A40" s="680"/>
      <c r="B40" s="768" t="s">
        <v>705</v>
      </c>
      <c r="C40" s="769"/>
      <c r="D40" s="770"/>
      <c r="E40" s="82">
        <v>0</v>
      </c>
      <c r="F40" s="73">
        <v>0.3</v>
      </c>
      <c r="G40" s="74">
        <f t="shared" si="0"/>
        <v>0</v>
      </c>
      <c r="H40" s="796"/>
      <c r="I40" s="790"/>
      <c r="J40" s="791"/>
      <c r="K40" s="61"/>
      <c r="L40" s="61"/>
    </row>
    <row r="41" spans="1:12" ht="73.5" customHeight="1" thickBot="1" x14ac:dyDescent="0.25">
      <c r="A41" s="83" t="s">
        <v>616</v>
      </c>
      <c r="B41" s="774" t="s">
        <v>706</v>
      </c>
      <c r="C41" s="775"/>
      <c r="D41" s="776"/>
      <c r="E41" s="84">
        <v>0</v>
      </c>
      <c r="F41" s="85">
        <v>2</v>
      </c>
      <c r="G41" s="86">
        <f t="shared" si="0"/>
        <v>0</v>
      </c>
      <c r="H41" s="763"/>
      <c r="I41" s="764"/>
      <c r="J41" s="765"/>
      <c r="K41" s="61"/>
      <c r="L41" s="61"/>
    </row>
    <row r="42" spans="1:12" ht="64.5" customHeight="1" thickBot="1" x14ac:dyDescent="0.25">
      <c r="A42" s="83" t="s">
        <v>620</v>
      </c>
      <c r="B42" s="771" t="s">
        <v>707</v>
      </c>
      <c r="C42" s="772"/>
      <c r="D42" s="773"/>
      <c r="E42" s="84">
        <v>0</v>
      </c>
      <c r="F42" s="85">
        <v>2.4</v>
      </c>
      <c r="G42" s="86">
        <f t="shared" si="0"/>
        <v>0</v>
      </c>
      <c r="H42" s="763"/>
      <c r="I42" s="764"/>
      <c r="J42" s="765"/>
      <c r="K42" s="61"/>
      <c r="L42" s="61"/>
    </row>
    <row r="43" spans="1:12" ht="25.5" x14ac:dyDescent="0.2">
      <c r="A43" s="87"/>
      <c r="B43" s="88" t="s">
        <v>708</v>
      </c>
      <c r="C43" s="88"/>
      <c r="D43" s="88"/>
      <c r="E43" s="766">
        <f>G10+G13+G16+G19+G20+G23+G26+G29+G32+G35+G36+G37+G38+G39+G40+G41+G42</f>
        <v>0</v>
      </c>
      <c r="F43" s="767"/>
      <c r="G43" s="767"/>
      <c r="H43" s="755"/>
      <c r="I43" s="756"/>
      <c r="J43" s="757"/>
      <c r="K43" s="61"/>
      <c r="L43" s="61"/>
    </row>
    <row r="44" spans="1:12" ht="13.5" hidden="1" thickBot="1" x14ac:dyDescent="0.25">
      <c r="A44" s="89"/>
      <c r="B44" s="90" t="s">
        <v>709</v>
      </c>
      <c r="C44" s="90"/>
      <c r="D44" s="90"/>
      <c r="E44" s="761">
        <f>E43*F32</f>
        <v>0</v>
      </c>
      <c r="F44" s="762"/>
      <c r="G44" s="762"/>
      <c r="H44" s="758"/>
      <c r="I44" s="759"/>
      <c r="J44" s="760"/>
      <c r="K44" s="61"/>
      <c r="L44" s="61"/>
    </row>
    <row r="45" spans="1:12" x14ac:dyDescent="0.2">
      <c r="A45" s="61"/>
      <c r="B45" s="61"/>
      <c r="C45" s="61"/>
      <c r="D45" s="61"/>
      <c r="E45" s="61"/>
      <c r="F45" s="61"/>
      <c r="G45" s="61"/>
      <c r="H45" s="61"/>
      <c r="I45" s="61"/>
      <c r="J45" s="61"/>
    </row>
    <row r="46" spans="1:12" hidden="1" x14ac:dyDescent="0.2">
      <c r="A46" s="61"/>
      <c r="B46" s="61"/>
      <c r="C46" s="61"/>
      <c r="D46" s="61"/>
      <c r="E46" s="61"/>
      <c r="F46" s="61"/>
      <c r="G46" s="61"/>
      <c r="H46" s="61"/>
      <c r="I46" s="61"/>
      <c r="J46" s="61"/>
    </row>
    <row r="83" s="61" customFormat="1" hidden="1" x14ac:dyDescent="0.2"/>
    <row r="84" s="61" customFormat="1" hidden="1" x14ac:dyDescent="0.2"/>
  </sheetData>
  <sheetProtection password="FB4B" sheet="1" objects="1" scenarios="1"/>
  <mergeCells count="74">
    <mergeCell ref="A5:J5"/>
    <mergeCell ref="E30:G31"/>
    <mergeCell ref="H21:J23"/>
    <mergeCell ref="H24:J26"/>
    <mergeCell ref="B29:D29"/>
    <mergeCell ref="B27:D27"/>
    <mergeCell ref="B28:D28"/>
    <mergeCell ref="E11:G12"/>
    <mergeCell ref="A8:A10"/>
    <mergeCell ref="E8:G9"/>
    <mergeCell ref="A11:A13"/>
    <mergeCell ref="E14:G15"/>
    <mergeCell ref="A17:A20"/>
    <mergeCell ref="B13:D13"/>
    <mergeCell ref="A6:A7"/>
    <mergeCell ref="B24:D24"/>
    <mergeCell ref="H8:J10"/>
    <mergeCell ref="B9:D9"/>
    <mergeCell ref="B10:D10"/>
    <mergeCell ref="B8:D8"/>
    <mergeCell ref="B38:D38"/>
    <mergeCell ref="H27:J29"/>
    <mergeCell ref="E33:G34"/>
    <mergeCell ref="B11:D11"/>
    <mergeCell ref="E21:G22"/>
    <mergeCell ref="H17:J20"/>
    <mergeCell ref="B12:D12"/>
    <mergeCell ref="H30:J32"/>
    <mergeCell ref="H14:J16"/>
    <mergeCell ref="H11:J13"/>
    <mergeCell ref="B32:D32"/>
    <mergeCell ref="H33:J40"/>
    <mergeCell ref="B6:D7"/>
    <mergeCell ref="E6:E7"/>
    <mergeCell ref="G6:G7"/>
    <mergeCell ref="F6:F7"/>
    <mergeCell ref="H6:J7"/>
    <mergeCell ref="E17:G18"/>
    <mergeCell ref="B22:D22"/>
    <mergeCell ref="B26:D26"/>
    <mergeCell ref="E24:G25"/>
    <mergeCell ref="B23:D23"/>
    <mergeCell ref="A14:A16"/>
    <mergeCell ref="B19:D19"/>
    <mergeCell ref="A30:A32"/>
    <mergeCell ref="A27:A29"/>
    <mergeCell ref="A21:A23"/>
    <mergeCell ref="B14:D14"/>
    <mergeCell ref="B30:D30"/>
    <mergeCell ref="B15:D15"/>
    <mergeCell ref="B16:D16"/>
    <mergeCell ref="B17:D17"/>
    <mergeCell ref="B18:D18"/>
    <mergeCell ref="B20:D20"/>
    <mergeCell ref="A24:A26"/>
    <mergeCell ref="B25:D25"/>
    <mergeCell ref="B21:D21"/>
    <mergeCell ref="E27:G28"/>
    <mergeCell ref="B42:D42"/>
    <mergeCell ref="B31:D31"/>
    <mergeCell ref="B39:D39"/>
    <mergeCell ref="B37:D37"/>
    <mergeCell ref="B36:D36"/>
    <mergeCell ref="B41:D41"/>
    <mergeCell ref="B34:D34"/>
    <mergeCell ref="B35:D35"/>
    <mergeCell ref="A33:A40"/>
    <mergeCell ref="H43:J44"/>
    <mergeCell ref="E44:G44"/>
    <mergeCell ref="H42:J42"/>
    <mergeCell ref="H41:J41"/>
    <mergeCell ref="E43:G43"/>
    <mergeCell ref="B33:D33"/>
    <mergeCell ref="B40:D40"/>
  </mergeCells>
  <phoneticPr fontId="40" type="noConversion"/>
  <pageMargins left="0.75" right="0.75" top="1" bottom="1" header="0.49212598499999999" footer="0.49212598499999999"/>
  <pageSetup paperSize="9" scale="57"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M77"/>
  <sheetViews>
    <sheetView zoomScale="115" zoomScaleNormal="100" workbookViewId="0">
      <selection activeCell="B16" sqref="B16:D16"/>
    </sheetView>
  </sheetViews>
  <sheetFormatPr defaultColWidth="0" defaultRowHeight="12.75" customHeight="1" zeroHeight="1" x14ac:dyDescent="0.2"/>
  <cols>
    <col min="1" max="1" width="6.28515625" customWidth="1"/>
    <col min="2" max="2" width="25.7109375" customWidth="1"/>
    <col min="3" max="3" width="11.5703125" customWidth="1"/>
    <col min="4" max="4" width="16.85546875" customWidth="1"/>
    <col min="5" max="5" width="15.140625" customWidth="1"/>
    <col min="6" max="7" width="14.28515625" customWidth="1"/>
    <col min="8" max="8" width="21.42578125" customWidth="1"/>
    <col min="9" max="9" width="0" hidden="1" customWidth="1"/>
    <col min="10" max="10" width="18.85546875" customWidth="1"/>
    <col min="11" max="11" width="14.85546875" customWidth="1"/>
    <col min="12" max="12" width="8" hidden="1" customWidth="1"/>
  </cols>
  <sheetData>
    <row r="1" spans="1:13" ht="18.75" customHeight="1" x14ac:dyDescent="0.2">
      <c r="A1" s="111"/>
      <c r="B1" s="112"/>
      <c r="C1" s="112"/>
      <c r="D1" s="112"/>
      <c r="E1" s="112"/>
      <c r="F1" s="112"/>
      <c r="G1" s="112"/>
      <c r="H1" s="112"/>
      <c r="I1" s="54"/>
      <c r="J1" s="91"/>
      <c r="K1" s="55"/>
    </row>
    <row r="2" spans="1:13" ht="32.25" hidden="1" customHeight="1" x14ac:dyDescent="0.2">
      <c r="A2" s="109"/>
      <c r="B2" s="110"/>
      <c r="D2" s="117"/>
      <c r="H2" s="117"/>
      <c r="I2" s="117"/>
      <c r="J2" s="117"/>
      <c r="K2" s="56"/>
    </row>
    <row r="3" spans="1:13" ht="18.75" hidden="1" customHeight="1" x14ac:dyDescent="0.2">
      <c r="A3" s="113"/>
      <c r="B3" s="113"/>
      <c r="C3" s="118"/>
      <c r="D3" s="118"/>
      <c r="H3" s="114"/>
      <c r="I3" s="115"/>
      <c r="J3" s="57"/>
      <c r="K3" s="57"/>
    </row>
    <row r="4" spans="1:13" ht="18.75" customHeight="1" thickBot="1" x14ac:dyDescent="0.25">
      <c r="A4" s="113"/>
      <c r="B4" s="113"/>
      <c r="C4" s="114"/>
      <c r="D4" s="114"/>
      <c r="E4" s="114"/>
      <c r="F4" s="114"/>
      <c r="G4" s="114"/>
      <c r="H4" s="114"/>
      <c r="I4" s="114"/>
      <c r="J4" s="116"/>
      <c r="K4" s="58"/>
      <c r="M4" s="59"/>
    </row>
    <row r="5" spans="1:13" ht="24.75" customHeight="1" thickBot="1" x14ac:dyDescent="0.25">
      <c r="A5" s="800" t="s">
        <v>710</v>
      </c>
      <c r="B5" s="801"/>
      <c r="C5" s="801"/>
      <c r="D5" s="801"/>
      <c r="E5" s="801"/>
      <c r="F5" s="801"/>
      <c r="G5" s="801"/>
      <c r="H5" s="801"/>
      <c r="I5" s="801"/>
      <c r="J5" s="802"/>
      <c r="K5" s="60"/>
    </row>
    <row r="6" spans="1:13" ht="21" customHeight="1" x14ac:dyDescent="0.2">
      <c r="A6" s="808" t="s">
        <v>100</v>
      </c>
      <c r="B6" s="645" t="s">
        <v>670</v>
      </c>
      <c r="C6" s="646"/>
      <c r="D6" s="647"/>
      <c r="E6" s="669" t="s">
        <v>671</v>
      </c>
      <c r="F6" s="651" t="s">
        <v>672</v>
      </c>
      <c r="G6" s="651" t="s">
        <v>233</v>
      </c>
      <c r="H6" s="661" t="s">
        <v>573</v>
      </c>
      <c r="I6" s="662"/>
      <c r="J6" s="783"/>
      <c r="K6" s="61"/>
      <c r="L6" s="61"/>
    </row>
    <row r="7" spans="1:13" ht="33.75" customHeight="1" thickBot="1" x14ac:dyDescent="0.25">
      <c r="A7" s="809"/>
      <c r="B7" s="648"/>
      <c r="C7" s="649"/>
      <c r="D7" s="650"/>
      <c r="E7" s="670"/>
      <c r="F7" s="652"/>
      <c r="G7" s="652"/>
      <c r="H7" s="648"/>
      <c r="I7" s="664"/>
      <c r="J7" s="784"/>
      <c r="K7" s="61"/>
      <c r="L7" s="61"/>
    </row>
    <row r="8" spans="1:13" ht="15" customHeight="1" x14ac:dyDescent="0.2">
      <c r="A8" s="806" t="s">
        <v>575</v>
      </c>
      <c r="B8" s="682" t="s">
        <v>711</v>
      </c>
      <c r="C8" s="683"/>
      <c r="D8" s="684"/>
      <c r="E8" s="619"/>
      <c r="F8" s="620"/>
      <c r="G8" s="643"/>
      <c r="H8" s="785"/>
      <c r="I8" s="786"/>
      <c r="J8" s="787"/>
      <c r="L8" s="61"/>
    </row>
    <row r="9" spans="1:13" ht="118.5" customHeight="1" x14ac:dyDescent="0.2">
      <c r="A9" s="806"/>
      <c r="B9" s="653" t="s">
        <v>712</v>
      </c>
      <c r="C9" s="654"/>
      <c r="D9" s="655"/>
      <c r="E9" s="622"/>
      <c r="F9" s="623"/>
      <c r="G9" s="644"/>
      <c r="H9" s="666"/>
      <c r="I9" s="667"/>
      <c r="J9" s="788"/>
      <c r="K9" s="61"/>
      <c r="L9" s="61"/>
    </row>
    <row r="10" spans="1:13" ht="17.25" customHeight="1" thickBot="1" x14ac:dyDescent="0.25">
      <c r="A10" s="807"/>
      <c r="B10" s="768" t="s">
        <v>713</v>
      </c>
      <c r="C10" s="792"/>
      <c r="D10" s="793"/>
      <c r="E10" s="62">
        <v>0</v>
      </c>
      <c r="F10" s="63">
        <v>0.2</v>
      </c>
      <c r="G10" s="64">
        <f>(E10/5)*F10</f>
        <v>0</v>
      </c>
      <c r="H10" s="789"/>
      <c r="I10" s="790"/>
      <c r="J10" s="791"/>
      <c r="K10" s="61"/>
      <c r="L10" s="61"/>
    </row>
    <row r="11" spans="1:13" ht="15" customHeight="1" x14ac:dyDescent="0.2">
      <c r="A11" s="679" t="s">
        <v>579</v>
      </c>
      <c r="B11" s="682" t="s">
        <v>711</v>
      </c>
      <c r="C11" s="683"/>
      <c r="D11" s="684"/>
      <c r="E11" s="619"/>
      <c r="F11" s="822"/>
      <c r="G11" s="823"/>
      <c r="H11" s="829"/>
      <c r="I11" s="720"/>
      <c r="J11" s="816"/>
      <c r="K11" s="61"/>
      <c r="L11" s="61"/>
    </row>
    <row r="12" spans="1:13" ht="28.5" customHeight="1" x14ac:dyDescent="0.2">
      <c r="A12" s="680"/>
      <c r="B12" s="653" t="s">
        <v>714</v>
      </c>
      <c r="C12" s="654"/>
      <c r="D12" s="655"/>
      <c r="E12" s="174">
        <v>0</v>
      </c>
      <c r="F12" s="175">
        <v>0.64</v>
      </c>
      <c r="G12" s="176">
        <f>E12*F12</f>
        <v>0</v>
      </c>
      <c r="H12" s="824"/>
      <c r="I12" s="722"/>
      <c r="J12" s="811"/>
      <c r="K12" s="61"/>
      <c r="L12" s="61"/>
    </row>
    <row r="13" spans="1:13" x14ac:dyDescent="0.2">
      <c r="A13" s="680"/>
      <c r="B13" s="653" t="s">
        <v>715</v>
      </c>
      <c r="C13" s="654"/>
      <c r="D13" s="655"/>
      <c r="E13" s="826"/>
      <c r="F13" s="827"/>
      <c r="G13" s="828"/>
      <c r="H13" s="824"/>
      <c r="I13" s="722"/>
      <c r="J13" s="811"/>
      <c r="K13" s="61"/>
      <c r="L13" s="61"/>
    </row>
    <row r="14" spans="1:13" x14ac:dyDescent="0.2">
      <c r="A14" s="680"/>
      <c r="B14" s="653" t="s">
        <v>716</v>
      </c>
      <c r="C14" s="654"/>
      <c r="D14" s="655"/>
      <c r="E14" s="174">
        <v>0</v>
      </c>
      <c r="F14" s="175">
        <v>3.63</v>
      </c>
      <c r="G14" s="176">
        <f>E14*F14</f>
        <v>0</v>
      </c>
      <c r="H14" s="824"/>
      <c r="I14" s="722"/>
      <c r="J14" s="811"/>
      <c r="K14" s="61"/>
      <c r="L14" s="61"/>
    </row>
    <row r="15" spans="1:13" ht="30" customHeight="1" thickBot="1" x14ac:dyDescent="0.25">
      <c r="A15" s="680"/>
      <c r="B15" s="656" t="s">
        <v>717</v>
      </c>
      <c r="C15" s="657"/>
      <c r="D15" s="658"/>
      <c r="E15" s="62">
        <v>0</v>
      </c>
      <c r="F15" s="180">
        <v>6.62</v>
      </c>
      <c r="G15" s="181">
        <f>E15*F15</f>
        <v>0</v>
      </c>
      <c r="H15" s="825"/>
      <c r="I15" s="724"/>
      <c r="J15" s="818"/>
      <c r="K15" s="61"/>
      <c r="L15" s="61"/>
    </row>
    <row r="16" spans="1:13" x14ac:dyDescent="0.2">
      <c r="A16" s="679" t="s">
        <v>582</v>
      </c>
      <c r="B16" s="685" t="s">
        <v>718</v>
      </c>
      <c r="C16" s="686"/>
      <c r="D16" s="687"/>
      <c r="E16" s="177"/>
      <c r="F16" s="178"/>
      <c r="G16" s="179"/>
      <c r="H16" s="815"/>
      <c r="I16" s="720"/>
      <c r="J16" s="816"/>
      <c r="K16" s="61"/>
      <c r="L16" s="61"/>
    </row>
    <row r="17" spans="1:12" ht="27.75" customHeight="1" x14ac:dyDescent="0.2">
      <c r="A17" s="680"/>
      <c r="B17" s="653" t="s">
        <v>719</v>
      </c>
      <c r="C17" s="654"/>
      <c r="D17" s="655"/>
      <c r="E17" s="174">
        <v>0</v>
      </c>
      <c r="F17" s="175">
        <v>0.64</v>
      </c>
      <c r="G17" s="79">
        <f>E17*F17</f>
        <v>0</v>
      </c>
      <c r="H17" s="810"/>
      <c r="I17" s="722"/>
      <c r="J17" s="811"/>
      <c r="K17" s="61"/>
      <c r="L17" s="61"/>
    </row>
    <row r="18" spans="1:12" ht="43.5" customHeight="1" x14ac:dyDescent="0.2">
      <c r="A18" s="680"/>
      <c r="B18" s="640" t="s">
        <v>720</v>
      </c>
      <c r="C18" s="641"/>
      <c r="D18" s="642"/>
      <c r="E18" s="174">
        <v>0</v>
      </c>
      <c r="F18" s="175">
        <v>2.08</v>
      </c>
      <c r="G18" s="79">
        <f t="shared" ref="G18:G26" si="0">E18*F18</f>
        <v>0</v>
      </c>
      <c r="H18" s="810"/>
      <c r="I18" s="722"/>
      <c r="J18" s="811"/>
      <c r="K18" s="61"/>
      <c r="L18" s="61"/>
    </row>
    <row r="19" spans="1:12" ht="43.5" customHeight="1" x14ac:dyDescent="0.2">
      <c r="A19" s="680"/>
      <c r="B19" s="812" t="s">
        <v>721</v>
      </c>
      <c r="C19" s="813"/>
      <c r="D19" s="814"/>
      <c r="E19" s="174">
        <v>0</v>
      </c>
      <c r="F19" s="175">
        <v>1.1499999999999999</v>
      </c>
      <c r="G19" s="79">
        <f t="shared" si="0"/>
        <v>0</v>
      </c>
      <c r="H19" s="810"/>
      <c r="I19" s="722"/>
      <c r="J19" s="811"/>
      <c r="K19" s="61"/>
      <c r="L19" s="61"/>
    </row>
    <row r="20" spans="1:12" ht="43.5" customHeight="1" x14ac:dyDescent="0.2">
      <c r="A20" s="680"/>
      <c r="B20" s="640" t="s">
        <v>722</v>
      </c>
      <c r="C20" s="641"/>
      <c r="D20" s="642"/>
      <c r="E20" s="174">
        <v>0</v>
      </c>
      <c r="F20" s="175">
        <v>6.41</v>
      </c>
      <c r="G20" s="79">
        <f t="shared" si="0"/>
        <v>0</v>
      </c>
      <c r="H20" s="810"/>
      <c r="I20" s="722"/>
      <c r="J20" s="811"/>
      <c r="K20" s="61"/>
      <c r="L20" s="61"/>
    </row>
    <row r="21" spans="1:12" ht="15" customHeight="1" x14ac:dyDescent="0.2">
      <c r="A21" s="680"/>
      <c r="B21" s="640" t="s">
        <v>723</v>
      </c>
      <c r="C21" s="641"/>
      <c r="D21" s="642"/>
      <c r="E21" s="174">
        <v>0</v>
      </c>
      <c r="F21" s="175">
        <v>3.11</v>
      </c>
      <c r="G21" s="79">
        <f t="shared" si="0"/>
        <v>0</v>
      </c>
      <c r="H21" s="810"/>
      <c r="I21" s="722"/>
      <c r="J21" s="811"/>
      <c r="K21" s="61"/>
      <c r="L21" s="61"/>
    </row>
    <row r="22" spans="1:12" ht="30" customHeight="1" x14ac:dyDescent="0.2">
      <c r="A22" s="680"/>
      <c r="B22" s="640" t="s">
        <v>724</v>
      </c>
      <c r="C22" s="641"/>
      <c r="D22" s="642"/>
      <c r="E22" s="174">
        <v>0</v>
      </c>
      <c r="F22" s="175">
        <v>6.92</v>
      </c>
      <c r="G22" s="79">
        <f t="shared" si="0"/>
        <v>0</v>
      </c>
      <c r="H22" s="810"/>
      <c r="I22" s="722"/>
      <c r="J22" s="811"/>
      <c r="K22" s="61"/>
      <c r="L22" s="61"/>
    </row>
    <row r="23" spans="1:12" ht="30" customHeight="1" x14ac:dyDescent="0.2">
      <c r="A23" s="680"/>
      <c r="B23" s="640" t="s">
        <v>725</v>
      </c>
      <c r="C23" s="641"/>
      <c r="D23" s="642"/>
      <c r="E23" s="174">
        <v>0</v>
      </c>
      <c r="F23" s="175">
        <v>1.46</v>
      </c>
      <c r="G23" s="79">
        <f t="shared" si="0"/>
        <v>0</v>
      </c>
      <c r="H23" s="810"/>
      <c r="I23" s="722"/>
      <c r="J23" s="811"/>
      <c r="K23" s="61"/>
      <c r="L23" s="61"/>
    </row>
    <row r="24" spans="1:12" ht="15" customHeight="1" x14ac:dyDescent="0.2">
      <c r="A24" s="680"/>
      <c r="B24" s="640" t="s">
        <v>726</v>
      </c>
      <c r="C24" s="641"/>
      <c r="D24" s="642"/>
      <c r="E24" s="174">
        <v>0</v>
      </c>
      <c r="F24" s="175">
        <v>7.44</v>
      </c>
      <c r="G24" s="79">
        <f t="shared" si="0"/>
        <v>0</v>
      </c>
      <c r="H24" s="810"/>
      <c r="I24" s="722"/>
      <c r="J24" s="811"/>
      <c r="K24" s="61"/>
      <c r="L24" s="61"/>
    </row>
    <row r="25" spans="1:12" ht="15" customHeight="1" x14ac:dyDescent="0.2">
      <c r="A25" s="680"/>
      <c r="B25" s="640" t="s">
        <v>594</v>
      </c>
      <c r="C25" s="641"/>
      <c r="D25" s="642"/>
      <c r="E25" s="174">
        <v>0</v>
      </c>
      <c r="F25" s="175">
        <v>1.35</v>
      </c>
      <c r="G25" s="79">
        <f t="shared" si="0"/>
        <v>0</v>
      </c>
      <c r="H25" s="810"/>
      <c r="I25" s="722"/>
      <c r="J25" s="811"/>
      <c r="K25" s="61"/>
      <c r="L25" s="61"/>
    </row>
    <row r="26" spans="1:12" ht="15" customHeight="1" thickBot="1" x14ac:dyDescent="0.25">
      <c r="A26" s="680"/>
      <c r="B26" s="812" t="s">
        <v>727</v>
      </c>
      <c r="C26" s="813"/>
      <c r="D26" s="814"/>
      <c r="E26" s="65">
        <v>0</v>
      </c>
      <c r="F26" s="173">
        <v>2.4900000000000002</v>
      </c>
      <c r="G26" s="79">
        <f t="shared" si="0"/>
        <v>0</v>
      </c>
      <c r="H26" s="817"/>
      <c r="I26" s="724"/>
      <c r="J26" s="818"/>
      <c r="K26" s="61"/>
      <c r="L26" s="61"/>
    </row>
    <row r="27" spans="1:12" x14ac:dyDescent="0.2">
      <c r="A27" s="679" t="s">
        <v>584</v>
      </c>
      <c r="B27" s="682" t="s">
        <v>711</v>
      </c>
      <c r="C27" s="683"/>
      <c r="D27" s="684"/>
      <c r="E27" s="619"/>
      <c r="F27" s="822"/>
      <c r="G27" s="834"/>
      <c r="H27" s="794"/>
      <c r="I27" s="786"/>
      <c r="J27" s="787"/>
      <c r="K27" s="61"/>
      <c r="L27" s="61"/>
    </row>
    <row r="28" spans="1:12" ht="93.75" customHeight="1" x14ac:dyDescent="0.2">
      <c r="A28" s="680"/>
      <c r="B28" s="653" t="s">
        <v>728</v>
      </c>
      <c r="C28" s="654"/>
      <c r="D28" s="655"/>
      <c r="E28" s="835"/>
      <c r="F28" s="836"/>
      <c r="G28" s="837"/>
      <c r="H28" s="795"/>
      <c r="I28" s="667"/>
      <c r="J28" s="788"/>
      <c r="K28" s="61"/>
      <c r="L28" s="61"/>
    </row>
    <row r="29" spans="1:12" ht="15" customHeight="1" x14ac:dyDescent="0.2">
      <c r="A29" s="680"/>
      <c r="B29" s="640" t="s">
        <v>729</v>
      </c>
      <c r="C29" s="641"/>
      <c r="D29" s="642"/>
      <c r="E29" s="69">
        <v>0</v>
      </c>
      <c r="F29" s="70">
        <v>0.5</v>
      </c>
      <c r="G29" s="71">
        <f>(E29/5)*F29</f>
        <v>0</v>
      </c>
      <c r="H29" s="795"/>
      <c r="I29" s="667"/>
      <c r="J29" s="788"/>
      <c r="K29" s="61"/>
      <c r="L29" s="61"/>
    </row>
    <row r="30" spans="1:12" ht="15" customHeight="1" thickBot="1" x14ac:dyDescent="0.25">
      <c r="A30" s="680"/>
      <c r="B30" s="656" t="s">
        <v>730</v>
      </c>
      <c r="C30" s="657"/>
      <c r="D30" s="658"/>
      <c r="E30" s="72">
        <v>0</v>
      </c>
      <c r="F30" s="73">
        <v>1</v>
      </c>
      <c r="G30" s="71">
        <f>(E30/5)*F30</f>
        <v>0</v>
      </c>
      <c r="H30" s="796"/>
      <c r="I30" s="790"/>
      <c r="J30" s="791"/>
      <c r="K30" s="61"/>
      <c r="L30" s="61"/>
    </row>
    <row r="31" spans="1:12" x14ac:dyDescent="0.2">
      <c r="A31" s="679" t="s">
        <v>588</v>
      </c>
      <c r="B31" s="685" t="s">
        <v>731</v>
      </c>
      <c r="C31" s="686"/>
      <c r="D31" s="687"/>
      <c r="E31" s="187"/>
      <c r="F31" s="188"/>
      <c r="G31" s="189"/>
      <c r="H31" s="794"/>
      <c r="I31" s="786"/>
      <c r="J31" s="787"/>
      <c r="K31" s="61"/>
      <c r="L31" s="61"/>
    </row>
    <row r="32" spans="1:12" ht="83.25" customHeight="1" thickBot="1" x14ac:dyDescent="0.25">
      <c r="A32" s="680"/>
      <c r="B32" s="830" t="s">
        <v>732</v>
      </c>
      <c r="C32" s="831"/>
      <c r="D32" s="832"/>
      <c r="E32" s="65">
        <v>0</v>
      </c>
      <c r="F32" s="182">
        <v>7.45</v>
      </c>
      <c r="G32" s="68">
        <f>E32*F32</f>
        <v>0</v>
      </c>
      <c r="H32" s="795"/>
      <c r="I32" s="667"/>
      <c r="J32" s="788"/>
      <c r="K32" s="61"/>
      <c r="L32" s="61"/>
    </row>
    <row r="33" spans="1:12" ht="14.25" customHeight="1" x14ac:dyDescent="0.2">
      <c r="A33" s="679" t="s">
        <v>590</v>
      </c>
      <c r="B33" s="637" t="s">
        <v>733</v>
      </c>
      <c r="C33" s="638"/>
      <c r="D33" s="639"/>
      <c r="E33" s="619"/>
      <c r="F33" s="822"/>
      <c r="G33" s="834"/>
      <c r="H33" s="794"/>
      <c r="I33" s="786"/>
      <c r="J33" s="787"/>
      <c r="K33" s="61"/>
      <c r="L33" s="61"/>
    </row>
    <row r="34" spans="1:12" ht="15" customHeight="1" x14ac:dyDescent="0.2">
      <c r="A34" s="680"/>
      <c r="B34" s="640" t="s">
        <v>734</v>
      </c>
      <c r="C34" s="641"/>
      <c r="D34" s="642"/>
      <c r="E34" s="174">
        <v>0</v>
      </c>
      <c r="F34" s="183">
        <v>1.46</v>
      </c>
      <c r="G34" s="79">
        <f>E34*F34</f>
        <v>0</v>
      </c>
      <c r="H34" s="795"/>
      <c r="I34" s="667"/>
      <c r="J34" s="788"/>
      <c r="K34" s="61"/>
      <c r="L34" s="61"/>
    </row>
    <row r="35" spans="1:12" ht="15" customHeight="1" thickBot="1" x14ac:dyDescent="0.25">
      <c r="A35" s="680"/>
      <c r="B35" s="819" t="s">
        <v>735</v>
      </c>
      <c r="C35" s="820"/>
      <c r="D35" s="821"/>
      <c r="E35" s="65">
        <v>0</v>
      </c>
      <c r="F35" s="182">
        <v>1.25</v>
      </c>
      <c r="G35" s="68">
        <f>E35*F35</f>
        <v>0</v>
      </c>
      <c r="H35" s="796"/>
      <c r="I35" s="790"/>
      <c r="J35" s="791"/>
      <c r="K35" s="61"/>
      <c r="L35" s="61"/>
    </row>
    <row r="36" spans="1:12" ht="25.5" customHeight="1" x14ac:dyDescent="0.2">
      <c r="A36" s="87"/>
      <c r="B36" s="833" t="s">
        <v>708</v>
      </c>
      <c r="C36" s="833"/>
      <c r="D36" s="88"/>
      <c r="E36" s="766">
        <f>G10+G12+G14+G15+G17+G18+G19+G20+G21+G22+G23+G24+G25+G26+G29+G30+G32+G34+G35</f>
        <v>0</v>
      </c>
      <c r="F36" s="767"/>
      <c r="G36" s="767"/>
      <c r="H36" s="755"/>
      <c r="I36" s="756"/>
      <c r="J36" s="757"/>
      <c r="K36" s="61"/>
      <c r="L36" s="61"/>
    </row>
    <row r="37" spans="1:12" ht="13.5" hidden="1" thickBot="1" x14ac:dyDescent="0.25">
      <c r="A37" s="89"/>
      <c r="B37" s="90"/>
      <c r="C37" s="90"/>
      <c r="D37" s="90"/>
      <c r="E37" s="761"/>
      <c r="F37" s="762"/>
      <c r="G37" s="762"/>
      <c r="H37" s="758"/>
      <c r="I37" s="759"/>
      <c r="J37" s="760"/>
      <c r="K37" s="61"/>
      <c r="L37" s="61"/>
    </row>
    <row r="38" spans="1:12" x14ac:dyDescent="0.2">
      <c r="A38" s="61"/>
      <c r="B38" s="61"/>
      <c r="C38" s="61"/>
      <c r="D38" s="61"/>
      <c r="E38" s="61"/>
      <c r="F38" s="61"/>
      <c r="G38" s="61"/>
      <c r="H38" s="61"/>
      <c r="I38" s="61"/>
      <c r="J38" s="61"/>
    </row>
    <row r="39" spans="1:12" hidden="1" x14ac:dyDescent="0.2">
      <c r="A39" s="61"/>
      <c r="B39" s="61"/>
      <c r="C39" s="61"/>
      <c r="D39" s="61"/>
      <c r="E39" s="61"/>
      <c r="F39" s="61"/>
      <c r="G39" s="61"/>
      <c r="H39" s="61"/>
      <c r="I39" s="61"/>
      <c r="J39" s="61"/>
    </row>
    <row r="76" s="61" customFormat="1" hidden="1" x14ac:dyDescent="0.2"/>
    <row r="77" s="61" customFormat="1" hidden="1" x14ac:dyDescent="0.2"/>
  </sheetData>
  <sheetProtection password="FB4B" sheet="1" objects="1" scenarios="1"/>
  <mergeCells count="67">
    <mergeCell ref="E37:G37"/>
    <mergeCell ref="H27:J30"/>
    <mergeCell ref="B32:D32"/>
    <mergeCell ref="B29:D29"/>
    <mergeCell ref="B36:C36"/>
    <mergeCell ref="H36:J37"/>
    <mergeCell ref="E36:G36"/>
    <mergeCell ref="B30:D30"/>
    <mergeCell ref="E27:G28"/>
    <mergeCell ref="E33:G33"/>
    <mergeCell ref="H33:J35"/>
    <mergeCell ref="B28:D28"/>
    <mergeCell ref="H13:J14"/>
    <mergeCell ref="H15:J15"/>
    <mergeCell ref="B15:D15"/>
    <mergeCell ref="H6:J7"/>
    <mergeCell ref="B6:D7"/>
    <mergeCell ref="E13:G13"/>
    <mergeCell ref="G6:G7"/>
    <mergeCell ref="F6:F7"/>
    <mergeCell ref="H11:J12"/>
    <mergeCell ref="B12:D12"/>
    <mergeCell ref="A5:J5"/>
    <mergeCell ref="H31:J32"/>
    <mergeCell ref="A8:A10"/>
    <mergeCell ref="A6:A7"/>
    <mergeCell ref="B27:D27"/>
    <mergeCell ref="B17:D17"/>
    <mergeCell ref="E11:G11"/>
    <mergeCell ref="H8:J10"/>
    <mergeCell ref="E8:G9"/>
    <mergeCell ref="H20:J20"/>
    <mergeCell ref="E6:E7"/>
    <mergeCell ref="B9:D9"/>
    <mergeCell ref="B16:D16"/>
    <mergeCell ref="B14:D14"/>
    <mergeCell ref="B8:D8"/>
    <mergeCell ref="B10:D10"/>
    <mergeCell ref="A33:A35"/>
    <mergeCell ref="B33:D33"/>
    <mergeCell ref="B34:D34"/>
    <mergeCell ref="B35:D35"/>
    <mergeCell ref="A11:A15"/>
    <mergeCell ref="B13:D13"/>
    <mergeCell ref="B11:D11"/>
    <mergeCell ref="B24:D24"/>
    <mergeCell ref="B26:D26"/>
    <mergeCell ref="B21:D21"/>
    <mergeCell ref="B20:D20"/>
    <mergeCell ref="B25:D25"/>
    <mergeCell ref="B22:D22"/>
    <mergeCell ref="B23:D23"/>
    <mergeCell ref="H18:J18"/>
    <mergeCell ref="B18:D18"/>
    <mergeCell ref="B19:D19"/>
    <mergeCell ref="A31:A32"/>
    <mergeCell ref="A16:A26"/>
    <mergeCell ref="A27:A30"/>
    <mergeCell ref="B31:D31"/>
    <mergeCell ref="H16:J17"/>
    <mergeCell ref="H21:J21"/>
    <mergeCell ref="H23:J23"/>
    <mergeCell ref="H19:J19"/>
    <mergeCell ref="H26:J26"/>
    <mergeCell ref="H24:J24"/>
    <mergeCell ref="H22:J22"/>
    <mergeCell ref="H25:J25"/>
  </mergeCells>
  <phoneticPr fontId="40" type="noConversion"/>
  <pageMargins left="0.75" right="0.75" top="1" bottom="1" header="0.49212598499999999" footer="0.49212598499999999"/>
  <pageSetup paperSize="9" scale="57"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M67"/>
  <sheetViews>
    <sheetView zoomScale="115" zoomScaleNormal="100" workbookViewId="0">
      <selection activeCell="G11" sqref="G11"/>
    </sheetView>
  </sheetViews>
  <sheetFormatPr defaultColWidth="0" defaultRowHeight="12.75" customHeight="1" zeroHeight="1" x14ac:dyDescent="0.2"/>
  <cols>
    <col min="1" max="1" width="6.28515625" customWidth="1"/>
    <col min="2" max="2" width="25.7109375" customWidth="1"/>
    <col min="3" max="3" width="11.5703125" customWidth="1"/>
    <col min="4" max="4" width="16.85546875" customWidth="1"/>
    <col min="5" max="5" width="15.140625" customWidth="1"/>
    <col min="6" max="7" width="14.28515625" customWidth="1"/>
    <col min="8" max="8" width="21.42578125" customWidth="1"/>
    <col min="9" max="9" width="0" hidden="1" customWidth="1"/>
    <col min="10" max="10" width="18.85546875" customWidth="1"/>
    <col min="11" max="11" width="14.85546875" customWidth="1"/>
    <col min="12" max="12" width="8" hidden="1" customWidth="1"/>
  </cols>
  <sheetData>
    <row r="1" spans="1:13" ht="18.75" customHeight="1" x14ac:dyDescent="0.2">
      <c r="A1" s="111"/>
      <c r="B1" s="112"/>
      <c r="C1" s="112"/>
      <c r="D1" s="112"/>
      <c r="E1" s="112"/>
      <c r="F1" s="112"/>
      <c r="G1" s="112"/>
      <c r="H1" s="112"/>
      <c r="I1" s="54"/>
      <c r="J1" s="91"/>
      <c r="K1" s="55"/>
    </row>
    <row r="2" spans="1:13" ht="32.25" hidden="1" customHeight="1" x14ac:dyDescent="0.2">
      <c r="A2" s="109"/>
      <c r="B2" s="110"/>
      <c r="D2" s="117"/>
      <c r="H2" s="117"/>
      <c r="I2" s="117"/>
      <c r="J2" s="117"/>
      <c r="K2" s="56"/>
    </row>
    <row r="3" spans="1:13" ht="18.75" hidden="1" customHeight="1" x14ac:dyDescent="0.2">
      <c r="A3" s="113"/>
      <c r="B3" s="113"/>
      <c r="C3" s="118"/>
      <c r="D3" s="118"/>
      <c r="H3" s="114"/>
      <c r="I3" s="115"/>
      <c r="J3" s="57"/>
      <c r="K3" s="57"/>
    </row>
    <row r="4" spans="1:13" ht="18.75" customHeight="1" thickBot="1" x14ac:dyDescent="0.25">
      <c r="A4" s="113"/>
      <c r="B4" s="113"/>
      <c r="C4" s="114"/>
      <c r="D4" s="114"/>
      <c r="E4" s="114"/>
      <c r="F4" s="114"/>
      <c r="G4" s="114"/>
      <c r="H4" s="114"/>
      <c r="I4" s="114"/>
      <c r="J4" s="116"/>
      <c r="K4" s="58"/>
      <c r="M4" s="59"/>
    </row>
    <row r="5" spans="1:13" ht="24.75" customHeight="1" thickBot="1" x14ac:dyDescent="0.25">
      <c r="A5" s="800" t="s">
        <v>736</v>
      </c>
      <c r="B5" s="801"/>
      <c r="C5" s="801"/>
      <c r="D5" s="801"/>
      <c r="E5" s="801"/>
      <c r="F5" s="801"/>
      <c r="G5" s="801"/>
      <c r="H5" s="801"/>
      <c r="I5" s="801"/>
      <c r="J5" s="802"/>
      <c r="K5" s="60"/>
    </row>
    <row r="6" spans="1:13" ht="21" customHeight="1" x14ac:dyDescent="0.2">
      <c r="A6" s="808" t="s">
        <v>100</v>
      </c>
      <c r="B6" s="645" t="s">
        <v>670</v>
      </c>
      <c r="C6" s="646"/>
      <c r="D6" s="647"/>
      <c r="E6" s="669" t="s">
        <v>671</v>
      </c>
      <c r="F6" s="651" t="s">
        <v>672</v>
      </c>
      <c r="G6" s="651" t="s">
        <v>233</v>
      </c>
      <c r="H6" s="661" t="s">
        <v>573</v>
      </c>
      <c r="I6" s="662"/>
      <c r="J6" s="783"/>
      <c r="K6" s="61"/>
      <c r="L6" s="61"/>
    </row>
    <row r="7" spans="1:13" ht="33.75" customHeight="1" thickBot="1" x14ac:dyDescent="0.25">
      <c r="A7" s="809"/>
      <c r="B7" s="648"/>
      <c r="C7" s="649"/>
      <c r="D7" s="650"/>
      <c r="E7" s="670"/>
      <c r="F7" s="652"/>
      <c r="G7" s="652"/>
      <c r="H7" s="648"/>
      <c r="I7" s="664"/>
      <c r="J7" s="784"/>
      <c r="K7" s="61"/>
      <c r="L7" s="61"/>
    </row>
    <row r="8" spans="1:13" ht="15" customHeight="1" x14ac:dyDescent="0.2">
      <c r="A8" s="806" t="s">
        <v>575</v>
      </c>
      <c r="B8" s="682" t="s">
        <v>737</v>
      </c>
      <c r="C8" s="683"/>
      <c r="D8" s="684"/>
      <c r="E8" s="619"/>
      <c r="F8" s="620"/>
      <c r="G8" s="643"/>
      <c r="H8" s="829"/>
      <c r="I8" s="720"/>
      <c r="J8" s="816"/>
      <c r="L8" s="61"/>
    </row>
    <row r="9" spans="1:13" ht="96" customHeight="1" x14ac:dyDescent="0.2">
      <c r="A9" s="806"/>
      <c r="B9" s="838" t="s">
        <v>738</v>
      </c>
      <c r="C9" s="654"/>
      <c r="D9" s="655"/>
      <c r="E9" s="622"/>
      <c r="F9" s="623"/>
      <c r="G9" s="644"/>
      <c r="H9" s="824"/>
      <c r="I9" s="722"/>
      <c r="J9" s="811"/>
      <c r="K9" s="61"/>
      <c r="L9" s="61"/>
    </row>
    <row r="10" spans="1:13" ht="30" customHeight="1" thickBot="1" x14ac:dyDescent="0.25">
      <c r="A10" s="806"/>
      <c r="B10" s="838" t="s">
        <v>739</v>
      </c>
      <c r="C10" s="839"/>
      <c r="D10" s="840"/>
      <c r="E10" s="62">
        <v>0</v>
      </c>
      <c r="F10" s="184">
        <v>0.51</v>
      </c>
      <c r="G10" s="64">
        <f>E10*F10</f>
        <v>0</v>
      </c>
      <c r="H10" s="824"/>
      <c r="I10" s="722"/>
      <c r="J10" s="811"/>
      <c r="K10" s="61"/>
      <c r="L10" s="61"/>
    </row>
    <row r="11" spans="1:13" ht="45" customHeight="1" thickBot="1" x14ac:dyDescent="0.25">
      <c r="A11" s="806"/>
      <c r="B11" s="838" t="s">
        <v>740</v>
      </c>
      <c r="C11" s="839"/>
      <c r="D11" s="840"/>
      <c r="E11" s="62">
        <v>0</v>
      </c>
      <c r="F11" s="184">
        <v>1.01</v>
      </c>
      <c r="G11" s="64">
        <f>E11*F11</f>
        <v>0</v>
      </c>
      <c r="H11" s="824"/>
      <c r="I11" s="722"/>
      <c r="J11" s="811"/>
      <c r="K11" s="61"/>
      <c r="L11" s="61"/>
    </row>
    <row r="12" spans="1:13" ht="45" customHeight="1" thickBot="1" x14ac:dyDescent="0.25">
      <c r="A12" s="806"/>
      <c r="B12" s="838" t="s">
        <v>741</v>
      </c>
      <c r="C12" s="839"/>
      <c r="D12" s="840"/>
      <c r="E12" s="62">
        <v>0</v>
      </c>
      <c r="F12" s="184">
        <v>1.51</v>
      </c>
      <c r="G12" s="64">
        <f>E12*F12</f>
        <v>0</v>
      </c>
      <c r="H12" s="824"/>
      <c r="I12" s="722"/>
      <c r="J12" s="811"/>
      <c r="K12" s="61"/>
      <c r="L12" s="61"/>
    </row>
    <row r="13" spans="1:13" ht="121.5" customHeight="1" x14ac:dyDescent="0.2">
      <c r="A13" s="806"/>
      <c r="B13" s="838" t="s">
        <v>742</v>
      </c>
      <c r="C13" s="654"/>
      <c r="D13" s="655"/>
      <c r="E13" s="619"/>
      <c r="F13" s="620"/>
      <c r="G13" s="643"/>
      <c r="H13" s="824"/>
      <c r="I13" s="722"/>
      <c r="J13" s="811"/>
      <c r="K13" s="61"/>
      <c r="L13" s="61"/>
    </row>
    <row r="14" spans="1:13" ht="67.5" customHeight="1" thickBot="1" x14ac:dyDescent="0.25">
      <c r="A14" s="806"/>
      <c r="B14" s="838" t="s">
        <v>743</v>
      </c>
      <c r="C14" s="839"/>
      <c r="D14" s="840"/>
      <c r="E14" s="62">
        <v>0</v>
      </c>
      <c r="F14" s="184">
        <v>1.01</v>
      </c>
      <c r="G14" s="64">
        <f>E14*F14</f>
        <v>0</v>
      </c>
      <c r="H14" s="824"/>
      <c r="I14" s="722"/>
      <c r="J14" s="811"/>
      <c r="K14" s="61"/>
      <c r="L14" s="61"/>
    </row>
    <row r="15" spans="1:13" ht="68.25" customHeight="1" thickBot="1" x14ac:dyDescent="0.25">
      <c r="A15" s="806"/>
      <c r="B15" s="838" t="s">
        <v>744</v>
      </c>
      <c r="C15" s="839"/>
      <c r="D15" s="840"/>
      <c r="E15" s="62">
        <v>0</v>
      </c>
      <c r="F15" s="184">
        <v>2.0099999999999998</v>
      </c>
      <c r="G15" s="64">
        <f>E15*F15</f>
        <v>0</v>
      </c>
      <c r="H15" s="824"/>
      <c r="I15" s="722"/>
      <c r="J15" s="811"/>
      <c r="K15" s="61"/>
      <c r="L15" s="61"/>
    </row>
    <row r="16" spans="1:13" ht="45" customHeight="1" thickBot="1" x14ac:dyDescent="0.25">
      <c r="A16" s="807"/>
      <c r="B16" s="838" t="s">
        <v>745</v>
      </c>
      <c r="C16" s="839"/>
      <c r="D16" s="840"/>
      <c r="E16" s="62">
        <v>0</v>
      </c>
      <c r="F16" s="184">
        <v>3.03</v>
      </c>
      <c r="G16" s="64">
        <f>E16*F16</f>
        <v>0</v>
      </c>
      <c r="H16" s="825"/>
      <c r="I16" s="724"/>
      <c r="J16" s="818"/>
      <c r="K16" s="61"/>
      <c r="L16" s="61"/>
    </row>
    <row r="17" spans="1:12" ht="15" customHeight="1" x14ac:dyDescent="0.2">
      <c r="A17" s="679" t="s">
        <v>579</v>
      </c>
      <c r="B17" s="682" t="s">
        <v>746</v>
      </c>
      <c r="C17" s="683"/>
      <c r="D17" s="684"/>
      <c r="E17" s="619"/>
      <c r="F17" s="822"/>
      <c r="G17" s="823"/>
      <c r="H17" s="829"/>
      <c r="I17" s="720"/>
      <c r="J17" s="816"/>
      <c r="K17" s="61"/>
      <c r="L17" s="61"/>
    </row>
    <row r="18" spans="1:12" ht="57.75" customHeight="1" thickBot="1" x14ac:dyDescent="0.25">
      <c r="A18" s="680"/>
      <c r="B18" s="653" t="s">
        <v>618</v>
      </c>
      <c r="C18" s="654"/>
      <c r="D18" s="655"/>
      <c r="E18" s="174">
        <v>0</v>
      </c>
      <c r="F18" s="175">
        <v>1.01</v>
      </c>
      <c r="G18" s="176">
        <f>F18*E18</f>
        <v>0</v>
      </c>
      <c r="H18" s="824"/>
      <c r="I18" s="722"/>
      <c r="J18" s="811"/>
      <c r="K18" s="61"/>
      <c r="L18" s="61"/>
    </row>
    <row r="19" spans="1:12" x14ac:dyDescent="0.2">
      <c r="A19" s="679" t="s">
        <v>582</v>
      </c>
      <c r="B19" s="685" t="s">
        <v>747</v>
      </c>
      <c r="C19" s="686"/>
      <c r="D19" s="687"/>
      <c r="E19" s="177"/>
      <c r="F19" s="178"/>
      <c r="G19" s="179"/>
      <c r="H19" s="815"/>
      <c r="I19" s="720"/>
      <c r="J19" s="816"/>
      <c r="K19" s="61"/>
      <c r="L19" s="61"/>
    </row>
    <row r="20" spans="1:12" ht="46.5" customHeight="1" thickBot="1" x14ac:dyDescent="0.25">
      <c r="A20" s="680"/>
      <c r="B20" s="653" t="s">
        <v>622</v>
      </c>
      <c r="C20" s="654"/>
      <c r="D20" s="655"/>
      <c r="E20" s="174">
        <v>0</v>
      </c>
      <c r="F20" s="175">
        <v>0.51</v>
      </c>
      <c r="G20" s="79">
        <f>E20*F20</f>
        <v>0</v>
      </c>
      <c r="H20" s="810"/>
      <c r="I20" s="722"/>
      <c r="J20" s="811"/>
      <c r="K20" s="61"/>
      <c r="L20" s="61"/>
    </row>
    <row r="21" spans="1:12" x14ac:dyDescent="0.2">
      <c r="A21" s="679" t="s">
        <v>584</v>
      </c>
      <c r="B21" s="682" t="s">
        <v>748</v>
      </c>
      <c r="C21" s="683"/>
      <c r="D21" s="684"/>
      <c r="E21" s="619"/>
      <c r="F21" s="822"/>
      <c r="G21" s="834"/>
      <c r="H21" s="794"/>
      <c r="I21" s="786"/>
      <c r="J21" s="787"/>
      <c r="K21" s="61"/>
      <c r="L21" s="61"/>
    </row>
    <row r="22" spans="1:12" ht="57.75" customHeight="1" x14ac:dyDescent="0.2">
      <c r="A22" s="680"/>
      <c r="B22" s="653" t="s">
        <v>749</v>
      </c>
      <c r="C22" s="654"/>
      <c r="D22" s="655"/>
      <c r="E22" s="835"/>
      <c r="F22" s="836"/>
      <c r="G22" s="837"/>
      <c r="H22" s="795"/>
      <c r="I22" s="667"/>
      <c r="J22" s="788"/>
      <c r="K22" s="61"/>
      <c r="L22" s="61"/>
    </row>
    <row r="23" spans="1:12" ht="56.25" customHeight="1" x14ac:dyDescent="0.2">
      <c r="A23" s="680"/>
      <c r="B23" s="838" t="s">
        <v>750</v>
      </c>
      <c r="C23" s="839"/>
      <c r="D23" s="840"/>
      <c r="E23" s="69">
        <v>0</v>
      </c>
      <c r="F23" s="185">
        <v>3.03</v>
      </c>
      <c r="G23" s="79">
        <f>E23*F23</f>
        <v>0</v>
      </c>
      <c r="H23" s="795"/>
      <c r="I23" s="667"/>
      <c r="J23" s="788"/>
      <c r="K23" s="61"/>
      <c r="L23" s="61"/>
    </row>
    <row r="24" spans="1:12" ht="54.75" customHeight="1" x14ac:dyDescent="0.2">
      <c r="A24" s="680"/>
      <c r="B24" s="838" t="s">
        <v>751</v>
      </c>
      <c r="C24" s="839"/>
      <c r="D24" s="840"/>
      <c r="E24" s="69">
        <v>0</v>
      </c>
      <c r="F24" s="185">
        <v>6.1</v>
      </c>
      <c r="G24" s="79">
        <f>E24*F24</f>
        <v>0</v>
      </c>
      <c r="H24" s="795"/>
      <c r="I24" s="667"/>
      <c r="J24" s="788"/>
      <c r="K24" s="61"/>
      <c r="L24" s="61"/>
    </row>
    <row r="25" spans="1:12" ht="29.25" customHeight="1" thickBot="1" x14ac:dyDescent="0.25">
      <c r="A25" s="680"/>
      <c r="B25" s="838" t="s">
        <v>752</v>
      </c>
      <c r="C25" s="839"/>
      <c r="D25" s="840"/>
      <c r="E25" s="72">
        <v>0</v>
      </c>
      <c r="F25" s="186">
        <v>9.07</v>
      </c>
      <c r="G25" s="79">
        <f>E25*F25</f>
        <v>0</v>
      </c>
      <c r="H25" s="796"/>
      <c r="I25" s="790"/>
      <c r="J25" s="791"/>
      <c r="K25" s="61"/>
      <c r="L25" s="61"/>
    </row>
    <row r="26" spans="1:12" ht="25.5" customHeight="1" x14ac:dyDescent="0.2">
      <c r="A26" s="87"/>
      <c r="B26" s="833" t="s">
        <v>708</v>
      </c>
      <c r="C26" s="833"/>
      <c r="D26" s="88"/>
      <c r="E26" s="766">
        <f>G10+G11+G12+G14+G15+G16+G18+G20+G23+G24+G25</f>
        <v>0</v>
      </c>
      <c r="F26" s="767"/>
      <c r="G26" s="767"/>
      <c r="H26" s="755"/>
      <c r="I26" s="756"/>
      <c r="J26" s="757"/>
      <c r="K26" s="61"/>
      <c r="L26" s="61"/>
    </row>
    <row r="27" spans="1:12" ht="13.5" hidden="1" thickBot="1" x14ac:dyDescent="0.25">
      <c r="A27" s="89"/>
      <c r="B27" s="90"/>
      <c r="C27" s="90"/>
      <c r="D27" s="90"/>
      <c r="E27" s="761"/>
      <c r="F27" s="762"/>
      <c r="G27" s="762"/>
      <c r="H27" s="758"/>
      <c r="I27" s="759"/>
      <c r="J27" s="760"/>
      <c r="K27" s="61"/>
      <c r="L27" s="61"/>
    </row>
    <row r="28" spans="1:12" x14ac:dyDescent="0.2">
      <c r="A28" s="61"/>
      <c r="B28" s="61"/>
      <c r="C28" s="61"/>
      <c r="D28" s="61"/>
      <c r="E28" s="61"/>
      <c r="F28" s="61"/>
      <c r="G28" s="61"/>
      <c r="H28" s="61"/>
      <c r="I28" s="61"/>
      <c r="J28" s="61"/>
    </row>
    <row r="29" spans="1:12" hidden="1" x14ac:dyDescent="0.2">
      <c r="A29" s="61"/>
      <c r="B29" s="61"/>
      <c r="C29" s="61"/>
      <c r="D29" s="61"/>
      <c r="E29" s="61"/>
      <c r="F29" s="61"/>
      <c r="G29" s="61"/>
      <c r="H29" s="61"/>
      <c r="I29" s="61"/>
      <c r="J29" s="61"/>
    </row>
    <row r="66" s="61" customFormat="1" hidden="1" x14ac:dyDescent="0.2"/>
    <row r="67" s="61" customFormat="1" hidden="1" x14ac:dyDescent="0.2"/>
  </sheetData>
  <sheetProtection password="FB4B" sheet="1" objects="1" scenarios="1"/>
  <mergeCells count="42">
    <mergeCell ref="A5:J5"/>
    <mergeCell ref="B10:D10"/>
    <mergeCell ref="B11:D11"/>
    <mergeCell ref="B12:D12"/>
    <mergeCell ref="A8:A16"/>
    <mergeCell ref="A6:A7"/>
    <mergeCell ref="E6:E7"/>
    <mergeCell ref="G6:G7"/>
    <mergeCell ref="F6:F7"/>
    <mergeCell ref="H6:J7"/>
    <mergeCell ref="E13:G13"/>
    <mergeCell ref="B14:D14"/>
    <mergeCell ref="H8:J12"/>
    <mergeCell ref="H13:J16"/>
    <mergeCell ref="E8:G9"/>
    <mergeCell ref="B16:D16"/>
    <mergeCell ref="B6:D7"/>
    <mergeCell ref="B15:D15"/>
    <mergeCell ref="B9:D9"/>
    <mergeCell ref="A21:A25"/>
    <mergeCell ref="B24:D24"/>
    <mergeCell ref="B23:D23"/>
    <mergeCell ref="B25:D25"/>
    <mergeCell ref="B17:D17"/>
    <mergeCell ref="B18:D18"/>
    <mergeCell ref="B13:D13"/>
    <mergeCell ref="B8:D8"/>
    <mergeCell ref="E17:G17"/>
    <mergeCell ref="H17:J18"/>
    <mergeCell ref="H19:J20"/>
    <mergeCell ref="A19:A20"/>
    <mergeCell ref="B20:D20"/>
    <mergeCell ref="B19:D19"/>
    <mergeCell ref="A17:A18"/>
    <mergeCell ref="B26:C26"/>
    <mergeCell ref="E21:G22"/>
    <mergeCell ref="H26:J27"/>
    <mergeCell ref="B21:D21"/>
    <mergeCell ref="B22:D22"/>
    <mergeCell ref="E26:G26"/>
    <mergeCell ref="E27:G27"/>
    <mergeCell ref="H21:J25"/>
  </mergeCells>
  <phoneticPr fontId="40" type="noConversion"/>
  <pageMargins left="0.75" right="0.75" top="1" bottom="1" header="0.49212598499999999" footer="0.49212598499999999"/>
  <pageSetup paperSize="9" scale="57"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R83"/>
  <sheetViews>
    <sheetView showGridLines="0" workbookViewId="0">
      <selection activeCell="A3" sqref="A3"/>
    </sheetView>
  </sheetViews>
  <sheetFormatPr defaultColWidth="0" defaultRowHeight="12.75" zeroHeight="1" x14ac:dyDescent="0.2"/>
  <cols>
    <col min="1" max="1" width="9.140625" customWidth="1"/>
    <col min="2" max="2" width="19.5703125" customWidth="1"/>
    <col min="3" max="5" width="9.140625" customWidth="1"/>
    <col min="6" max="6" width="10.7109375" customWidth="1"/>
    <col min="7" max="7" width="11.42578125" customWidth="1"/>
    <col min="8" max="8" width="14.42578125" customWidth="1"/>
    <col min="9" max="19" width="9.140625" customWidth="1"/>
  </cols>
  <sheetData>
    <row r="1" spans="1:8" ht="25.5" customHeight="1" x14ac:dyDescent="0.2">
      <c r="A1" s="873" t="s">
        <v>753</v>
      </c>
      <c r="B1" s="873"/>
      <c r="C1" s="873"/>
      <c r="D1" s="873"/>
      <c r="E1" s="873"/>
      <c r="F1" s="873"/>
      <c r="G1" s="873"/>
      <c r="H1" s="873"/>
    </row>
    <row r="2" spans="1:8" ht="14.25" customHeight="1" x14ac:dyDescent="0.2">
      <c r="A2" s="28" t="s">
        <v>754</v>
      </c>
      <c r="B2" s="874" t="s">
        <v>755</v>
      </c>
      <c r="C2" s="874"/>
      <c r="D2" s="874"/>
      <c r="E2" s="874"/>
      <c r="F2" s="875" t="s">
        <v>4</v>
      </c>
      <c r="G2" s="875"/>
      <c r="H2" s="875"/>
    </row>
    <row r="3" spans="1:8" x14ac:dyDescent="0.2">
      <c r="A3" s="157"/>
      <c r="B3" s="876"/>
      <c r="C3" s="876"/>
      <c r="D3" s="876"/>
      <c r="E3" s="876"/>
      <c r="F3" s="877"/>
      <c r="G3" s="877"/>
      <c r="H3" s="877"/>
    </row>
    <row r="4" spans="1:8" ht="25.5" customHeight="1" x14ac:dyDescent="0.2">
      <c r="A4" s="868" t="s">
        <v>756</v>
      </c>
      <c r="B4" s="868"/>
      <c r="C4" s="868"/>
      <c r="D4" s="868"/>
      <c r="E4" s="868"/>
      <c r="F4" s="869" t="s">
        <v>6</v>
      </c>
      <c r="G4" s="869"/>
      <c r="H4" s="869"/>
    </row>
    <row r="5" spans="1:8" x14ac:dyDescent="0.2">
      <c r="A5" s="870"/>
      <c r="B5" s="870"/>
      <c r="C5" s="870"/>
      <c r="D5" s="870"/>
      <c r="E5" s="870"/>
      <c r="F5" s="870"/>
      <c r="G5" s="870"/>
      <c r="H5" s="870"/>
    </row>
    <row r="6" spans="1:8" ht="25.5" customHeight="1" x14ac:dyDescent="0.2">
      <c r="A6" s="871" t="s">
        <v>757</v>
      </c>
      <c r="B6" s="871"/>
      <c r="C6" s="872" t="s">
        <v>758</v>
      </c>
      <c r="D6" s="872"/>
      <c r="E6" s="872"/>
      <c r="F6" s="872"/>
      <c r="G6" s="872"/>
      <c r="H6" s="872"/>
    </row>
    <row r="7" spans="1:8" ht="17.25" customHeight="1" x14ac:dyDescent="0.2">
      <c r="A7" s="158"/>
      <c r="B7" s="29" t="s">
        <v>18</v>
      </c>
      <c r="C7" s="861"/>
      <c r="D7" s="861"/>
      <c r="E7" s="845" t="s">
        <v>19</v>
      </c>
      <c r="F7" s="845"/>
      <c r="G7" s="845"/>
      <c r="H7" s="845"/>
    </row>
    <row r="8" spans="1:8" ht="13.35" customHeight="1" x14ac:dyDescent="0.2">
      <c r="A8" s="158"/>
      <c r="B8" s="29" t="s">
        <v>20</v>
      </c>
      <c r="C8" s="861"/>
      <c r="D8" s="861"/>
      <c r="E8" s="845" t="s">
        <v>21</v>
      </c>
      <c r="F8" s="845"/>
      <c r="G8" s="845"/>
      <c r="H8" s="845"/>
    </row>
    <row r="9" spans="1:8" ht="13.35" customHeight="1" thickBot="1" x14ac:dyDescent="0.25">
      <c r="A9" s="159"/>
      <c r="B9" s="30" t="s">
        <v>22</v>
      </c>
      <c r="C9" s="861"/>
      <c r="D9" s="861"/>
      <c r="E9" s="845" t="s">
        <v>23</v>
      </c>
      <c r="F9" s="845"/>
      <c r="G9" s="845"/>
      <c r="H9" s="845"/>
    </row>
    <row r="10" spans="1:8" ht="13.35" customHeight="1" x14ac:dyDescent="0.2">
      <c r="A10" s="857"/>
      <c r="B10" s="858"/>
      <c r="C10" s="861"/>
      <c r="D10" s="861"/>
      <c r="E10" s="845" t="s">
        <v>24</v>
      </c>
      <c r="F10" s="845"/>
      <c r="G10" s="845"/>
      <c r="H10" s="845"/>
    </row>
    <row r="11" spans="1:8" ht="13.35" customHeight="1" thickBot="1" x14ac:dyDescent="0.25">
      <c r="A11" s="859"/>
      <c r="B11" s="860"/>
      <c r="C11" s="862"/>
      <c r="D11" s="862"/>
      <c r="E11" s="853" t="s">
        <v>25</v>
      </c>
      <c r="F11" s="853"/>
      <c r="G11" s="853"/>
      <c r="H11" s="853"/>
    </row>
    <row r="12" spans="1:8" ht="13.35" customHeight="1" thickBot="1" x14ac:dyDescent="0.25">
      <c r="A12" s="878" t="s">
        <v>759</v>
      </c>
      <c r="B12" s="878"/>
      <c r="C12" s="878"/>
      <c r="D12" s="878"/>
      <c r="E12" s="878"/>
      <c r="F12" s="878"/>
      <c r="G12" s="31" t="s">
        <v>27</v>
      </c>
      <c r="H12" s="160"/>
    </row>
    <row r="13" spans="1:8" x14ac:dyDescent="0.2">
      <c r="A13" s="878"/>
      <c r="B13" s="878"/>
      <c r="C13" s="878"/>
      <c r="D13" s="878"/>
      <c r="E13" s="878"/>
      <c r="F13" s="878"/>
      <c r="G13" s="32" t="s">
        <v>28</v>
      </c>
      <c r="H13" s="161"/>
    </row>
    <row r="14" spans="1:8" ht="13.35" customHeight="1" x14ac:dyDescent="0.2">
      <c r="A14" s="879" t="s">
        <v>760</v>
      </c>
      <c r="B14" s="879"/>
      <c r="C14" s="879"/>
      <c r="D14" s="879"/>
      <c r="E14" s="879"/>
      <c r="F14" s="879"/>
      <c r="G14" s="879"/>
      <c r="H14" s="879"/>
    </row>
    <row r="15" spans="1:8" ht="13.35" customHeight="1" x14ac:dyDescent="0.2">
      <c r="A15" s="158"/>
      <c r="B15" s="845" t="s">
        <v>30</v>
      </c>
      <c r="C15" s="845"/>
      <c r="D15" s="845"/>
      <c r="E15" s="845"/>
      <c r="F15" s="845"/>
      <c r="G15" s="845"/>
      <c r="H15" s="845"/>
    </row>
    <row r="16" spans="1:8" ht="13.35" customHeight="1" x14ac:dyDescent="0.2">
      <c r="A16" s="158"/>
      <c r="B16" s="845" t="s">
        <v>31</v>
      </c>
      <c r="C16" s="845"/>
      <c r="D16" s="845"/>
      <c r="E16" s="845"/>
      <c r="F16" s="845"/>
      <c r="G16" s="845"/>
      <c r="H16" s="845"/>
    </row>
    <row r="17" spans="1:8" ht="13.35" customHeight="1" x14ac:dyDescent="0.2">
      <c r="A17" s="158"/>
      <c r="B17" s="845" t="s">
        <v>32</v>
      </c>
      <c r="C17" s="845"/>
      <c r="D17" s="845"/>
      <c r="E17" s="845"/>
      <c r="F17" s="845"/>
      <c r="G17" s="845"/>
      <c r="H17" s="845"/>
    </row>
    <row r="18" spans="1:8" ht="13.35" customHeight="1" x14ac:dyDescent="0.2">
      <c r="A18" s="158"/>
      <c r="B18" s="845" t="s">
        <v>33</v>
      </c>
      <c r="C18" s="845"/>
      <c r="D18" s="845"/>
      <c r="E18" s="845"/>
      <c r="F18" s="845"/>
      <c r="G18" s="845"/>
      <c r="H18" s="845"/>
    </row>
    <row r="19" spans="1:8" ht="13.35" customHeight="1" x14ac:dyDescent="0.2">
      <c r="A19" s="158"/>
      <c r="B19" s="845" t="s">
        <v>34</v>
      </c>
      <c r="C19" s="845"/>
      <c r="D19" s="845"/>
      <c r="E19" s="845"/>
      <c r="F19" s="845"/>
      <c r="G19" s="845"/>
      <c r="H19" s="845"/>
    </row>
    <row r="20" spans="1:8" ht="13.35" customHeight="1" x14ac:dyDescent="0.2">
      <c r="A20" s="158"/>
      <c r="B20" s="845" t="s">
        <v>35</v>
      </c>
      <c r="C20" s="845"/>
      <c r="D20" s="845"/>
      <c r="E20" s="845"/>
      <c r="F20" s="845"/>
      <c r="G20" s="845"/>
      <c r="H20" s="845"/>
    </row>
    <row r="21" spans="1:8" ht="13.35" customHeight="1" x14ac:dyDescent="0.2">
      <c r="A21" s="158"/>
      <c r="B21" s="845" t="s">
        <v>36</v>
      </c>
      <c r="C21" s="845"/>
      <c r="D21" s="845"/>
      <c r="E21" s="845"/>
      <c r="F21" s="845"/>
      <c r="G21" s="845"/>
      <c r="H21" s="845"/>
    </row>
    <row r="22" spans="1:8" ht="13.35" customHeight="1" x14ac:dyDescent="0.2">
      <c r="A22" s="158"/>
      <c r="B22" s="845" t="s">
        <v>37</v>
      </c>
      <c r="C22" s="845"/>
      <c r="D22" s="845"/>
      <c r="E22" s="845"/>
      <c r="F22" s="845"/>
      <c r="G22" s="845"/>
      <c r="H22" s="845"/>
    </row>
    <row r="23" spans="1:8" x14ac:dyDescent="0.2">
      <c r="A23" s="158"/>
      <c r="B23" s="845" t="s">
        <v>38</v>
      </c>
      <c r="C23" s="845"/>
      <c r="D23" s="845"/>
      <c r="E23" s="845"/>
      <c r="F23" s="845"/>
      <c r="G23" s="845"/>
      <c r="H23" s="845"/>
    </row>
    <row r="24" spans="1:8" ht="13.35" customHeight="1" x14ac:dyDescent="0.2">
      <c r="A24" s="162"/>
      <c r="B24" s="853" t="s">
        <v>39</v>
      </c>
      <c r="C24" s="853"/>
      <c r="D24" s="853"/>
      <c r="E24" s="853"/>
      <c r="F24" s="853"/>
      <c r="G24" s="853"/>
      <c r="H24" s="853"/>
    </row>
    <row r="25" spans="1:8" ht="12.75" customHeight="1" x14ac:dyDescent="0.2">
      <c r="A25" s="883" t="s">
        <v>761</v>
      </c>
      <c r="B25" s="883"/>
      <c r="C25" s="883"/>
      <c r="D25" s="883"/>
      <c r="E25" s="883"/>
      <c r="F25" s="883"/>
      <c r="G25" s="883"/>
      <c r="H25" s="884"/>
    </row>
    <row r="26" spans="1:8" x14ac:dyDescent="0.2">
      <c r="A26" s="883"/>
      <c r="B26" s="883"/>
      <c r="C26" s="883"/>
      <c r="D26" s="883"/>
      <c r="E26" s="883"/>
      <c r="F26" s="883"/>
      <c r="G26" s="883"/>
      <c r="H26" s="884"/>
    </row>
    <row r="27" spans="1:8" x14ac:dyDescent="0.2">
      <c r="A27" s="885" t="s">
        <v>762</v>
      </c>
      <c r="B27" s="885"/>
      <c r="C27" s="885"/>
      <c r="D27" s="885"/>
      <c r="E27" s="885"/>
      <c r="F27" s="885"/>
      <c r="G27" s="885"/>
      <c r="H27" s="885"/>
    </row>
    <row r="28" spans="1:8" x14ac:dyDescent="0.2">
      <c r="A28" s="886" t="s">
        <v>763</v>
      </c>
      <c r="B28" s="886"/>
      <c r="C28" s="886"/>
      <c r="D28" s="887"/>
      <c r="E28" s="887"/>
      <c r="F28" s="887"/>
      <c r="G28" s="887"/>
      <c r="H28" s="887"/>
    </row>
    <row r="29" spans="1:8" x14ac:dyDescent="0.2">
      <c r="A29" s="880" t="s">
        <v>764</v>
      </c>
      <c r="B29" s="880"/>
      <c r="C29" s="880"/>
      <c r="D29" s="880"/>
      <c r="E29" s="880"/>
      <c r="F29" s="880"/>
      <c r="G29" s="880"/>
      <c r="H29" s="880"/>
    </row>
    <row r="30" spans="1:8" ht="43.5" customHeight="1" x14ac:dyDescent="0.2">
      <c r="A30" s="881" t="s">
        <v>765</v>
      </c>
      <c r="B30" s="881"/>
      <c r="C30" s="882" t="s">
        <v>766</v>
      </c>
      <c r="D30" s="882"/>
      <c r="E30" s="882"/>
      <c r="F30" s="882"/>
      <c r="G30" s="33" t="s">
        <v>63</v>
      </c>
      <c r="H30" s="34" t="s">
        <v>767</v>
      </c>
    </row>
    <row r="31" spans="1:8" x14ac:dyDescent="0.2">
      <c r="A31" s="35" t="s">
        <v>768</v>
      </c>
      <c r="B31" s="103"/>
      <c r="C31" s="854"/>
      <c r="D31" s="854"/>
      <c r="E31" s="854"/>
      <c r="F31" s="854"/>
      <c r="G31" s="163"/>
      <c r="H31" s="164"/>
    </row>
    <row r="32" spans="1:8" x14ac:dyDescent="0.2">
      <c r="A32" s="35" t="s">
        <v>769</v>
      </c>
      <c r="B32" s="103"/>
      <c r="C32" s="854"/>
      <c r="D32" s="854"/>
      <c r="E32" s="854"/>
      <c r="F32" s="854"/>
      <c r="G32" s="163"/>
      <c r="H32" s="164"/>
    </row>
    <row r="33" spans="1:18" x14ac:dyDescent="0.2">
      <c r="A33" s="35" t="s">
        <v>770</v>
      </c>
      <c r="B33" s="103"/>
      <c r="C33" s="854"/>
      <c r="D33" s="854"/>
      <c r="E33" s="854"/>
      <c r="F33" s="854"/>
      <c r="G33" s="163"/>
      <c r="H33" s="164"/>
    </row>
    <row r="34" spans="1:18" x14ac:dyDescent="0.2">
      <c r="A34" s="35" t="s">
        <v>771</v>
      </c>
      <c r="B34" s="103"/>
      <c r="C34" s="854"/>
      <c r="D34" s="854"/>
      <c r="E34" s="854"/>
      <c r="F34" s="854"/>
      <c r="G34" s="163"/>
      <c r="H34" s="164"/>
    </row>
    <row r="35" spans="1:18" x14ac:dyDescent="0.2">
      <c r="A35" s="35" t="s">
        <v>772</v>
      </c>
      <c r="B35" s="103"/>
      <c r="C35" s="854"/>
      <c r="D35" s="854"/>
      <c r="E35" s="854"/>
      <c r="F35" s="854"/>
      <c r="G35" s="163"/>
      <c r="H35" s="164"/>
    </row>
    <row r="36" spans="1:18" x14ac:dyDescent="0.2">
      <c r="A36" s="36" t="s">
        <v>773</v>
      </c>
      <c r="B36" s="165"/>
      <c r="C36" s="855"/>
      <c r="D36" s="855"/>
      <c r="E36" s="855"/>
      <c r="F36" s="855"/>
      <c r="G36" s="166"/>
      <c r="H36" s="167"/>
    </row>
    <row r="37" spans="1:18" x14ac:dyDescent="0.2">
      <c r="A37" s="856" t="s">
        <v>774</v>
      </c>
      <c r="B37" s="856"/>
      <c r="C37" s="856"/>
      <c r="D37" s="856"/>
      <c r="E37" s="856"/>
      <c r="F37" s="856"/>
      <c r="G37" s="856"/>
      <c r="H37" s="856"/>
    </row>
    <row r="38" spans="1:18" x14ac:dyDescent="0.2">
      <c r="A38" s="888" t="s">
        <v>775</v>
      </c>
      <c r="B38" s="888"/>
      <c r="C38" s="888"/>
      <c r="D38" s="888"/>
      <c r="E38" s="888"/>
      <c r="F38" s="888"/>
      <c r="G38" s="888"/>
      <c r="H38" s="888"/>
    </row>
    <row r="39" spans="1:18" x14ac:dyDescent="0.2">
      <c r="A39" s="888"/>
      <c r="B39" s="888"/>
      <c r="C39" s="888"/>
      <c r="D39" s="888"/>
      <c r="E39" s="888"/>
      <c r="F39" s="888"/>
      <c r="G39" s="888"/>
      <c r="H39" s="888"/>
    </row>
    <row r="40" spans="1:18" x14ac:dyDescent="0.2"/>
    <row r="41" spans="1:18" x14ac:dyDescent="0.2">
      <c r="A41" s="37" t="s">
        <v>776</v>
      </c>
      <c r="B41" s="38"/>
      <c r="C41" s="38"/>
      <c r="D41" s="38"/>
      <c r="E41" s="38"/>
      <c r="F41" s="38"/>
    </row>
    <row r="42" spans="1:18" x14ac:dyDescent="0.2">
      <c r="A42" s="37" t="s">
        <v>777</v>
      </c>
      <c r="B42" s="38"/>
      <c r="C42" s="38"/>
      <c r="D42" s="38"/>
      <c r="E42" s="38"/>
      <c r="F42" s="38"/>
    </row>
    <row r="43" spans="1:18" x14ac:dyDescent="0.2">
      <c r="A43" s="37" t="s">
        <v>778</v>
      </c>
      <c r="B43" s="38"/>
      <c r="C43" s="38"/>
      <c r="D43" s="38"/>
      <c r="E43" s="38"/>
      <c r="F43" s="38"/>
    </row>
    <row r="44" spans="1:18" x14ac:dyDescent="0.2">
      <c r="A44" s="37" t="s">
        <v>779</v>
      </c>
      <c r="B44" s="38"/>
      <c r="C44" s="38"/>
      <c r="D44" s="38"/>
      <c r="E44" s="38"/>
      <c r="F44" s="38"/>
    </row>
    <row r="45" spans="1:18" x14ac:dyDescent="0.2">
      <c r="A45" s="37" t="s">
        <v>780</v>
      </c>
      <c r="B45" s="38"/>
      <c r="C45" s="38"/>
      <c r="D45" s="38"/>
      <c r="E45" s="38"/>
      <c r="F45" s="38"/>
    </row>
    <row r="46" spans="1:18" x14ac:dyDescent="0.2">
      <c r="A46" s="37" t="s">
        <v>781</v>
      </c>
      <c r="B46" s="38"/>
      <c r="C46" s="38"/>
      <c r="D46" s="38"/>
      <c r="E46" s="38"/>
      <c r="F46" s="38"/>
    </row>
    <row r="47" spans="1:18" ht="15" x14ac:dyDescent="0.2">
      <c r="A47" s="39"/>
    </row>
    <row r="48" spans="1:18" ht="13.5" customHeight="1" x14ac:dyDescent="0.2">
      <c r="A48" s="889" t="s">
        <v>782</v>
      </c>
      <c r="B48" s="889"/>
      <c r="C48" s="889"/>
      <c r="D48" s="889"/>
      <c r="E48" s="889"/>
      <c r="F48" s="889"/>
      <c r="G48" s="889"/>
      <c r="H48" s="889"/>
      <c r="I48" s="889"/>
      <c r="J48" s="889"/>
      <c r="K48" s="889"/>
      <c r="L48" s="889"/>
      <c r="M48" s="889"/>
      <c r="N48" s="889"/>
      <c r="O48" s="889"/>
      <c r="P48" s="889"/>
      <c r="Q48" s="889"/>
      <c r="R48" s="889"/>
    </row>
    <row r="49" spans="1:18" ht="22.35" customHeight="1" x14ac:dyDescent="0.2">
      <c r="A49" s="864" t="s">
        <v>97</v>
      </c>
      <c r="B49" s="864"/>
      <c r="C49" s="40" t="s">
        <v>783</v>
      </c>
      <c r="D49" s="40" t="s">
        <v>784</v>
      </c>
      <c r="E49" s="40" t="s">
        <v>785</v>
      </c>
      <c r="F49" s="40" t="s">
        <v>786</v>
      </c>
      <c r="G49" s="865" t="s">
        <v>787</v>
      </c>
      <c r="H49" s="865"/>
      <c r="I49" s="865"/>
      <c r="J49" s="865"/>
      <c r="K49" s="865" t="s">
        <v>788</v>
      </c>
      <c r="L49" s="865"/>
      <c r="M49" s="865"/>
      <c r="N49" s="865"/>
      <c r="O49" s="850" t="s">
        <v>789</v>
      </c>
      <c r="P49" s="850"/>
      <c r="Q49" s="850"/>
      <c r="R49" s="850"/>
    </row>
    <row r="50" spans="1:18" x14ac:dyDescent="0.2">
      <c r="A50" s="848"/>
      <c r="B50" s="848"/>
      <c r="C50" s="106"/>
      <c r="D50" s="168"/>
      <c r="E50" s="168"/>
      <c r="F50" s="168"/>
      <c r="G50" s="849"/>
      <c r="H50" s="849"/>
      <c r="I50" s="849"/>
      <c r="J50" s="849"/>
      <c r="K50" s="849"/>
      <c r="L50" s="849"/>
      <c r="M50" s="849"/>
      <c r="N50" s="849"/>
      <c r="O50" s="847"/>
      <c r="P50" s="847"/>
      <c r="Q50" s="847"/>
      <c r="R50" s="847"/>
    </row>
    <row r="51" spans="1:18" x14ac:dyDescent="0.2">
      <c r="A51" s="848"/>
      <c r="B51" s="848"/>
      <c r="C51" s="106"/>
      <c r="D51" s="168"/>
      <c r="E51" s="168"/>
      <c r="F51" s="168"/>
      <c r="G51" s="849"/>
      <c r="H51" s="849"/>
      <c r="I51" s="849"/>
      <c r="J51" s="849"/>
      <c r="K51" s="849"/>
      <c r="L51" s="849"/>
      <c r="M51" s="849"/>
      <c r="N51" s="849"/>
      <c r="O51" s="847"/>
      <c r="P51" s="847"/>
      <c r="Q51" s="847"/>
      <c r="R51" s="847"/>
    </row>
    <row r="52" spans="1:18" x14ac:dyDescent="0.2">
      <c r="A52" s="848"/>
      <c r="B52" s="848"/>
      <c r="C52" s="169"/>
      <c r="D52" s="168"/>
      <c r="E52" s="168"/>
      <c r="F52" s="168"/>
      <c r="G52" s="849"/>
      <c r="H52" s="849"/>
      <c r="I52" s="849"/>
      <c r="J52" s="849"/>
      <c r="K52" s="849"/>
      <c r="L52" s="849"/>
      <c r="M52" s="849"/>
      <c r="N52" s="849"/>
      <c r="O52" s="847"/>
      <c r="P52" s="847"/>
      <c r="Q52" s="847"/>
      <c r="R52" s="847"/>
    </row>
    <row r="53" spans="1:18" x14ac:dyDescent="0.2">
      <c r="A53" s="848"/>
      <c r="B53" s="848"/>
      <c r="C53" s="106"/>
      <c r="D53" s="106"/>
      <c r="E53" s="106"/>
      <c r="F53" s="106"/>
      <c r="G53" s="849"/>
      <c r="H53" s="849"/>
      <c r="I53" s="849"/>
      <c r="J53" s="849"/>
      <c r="K53" s="849"/>
      <c r="L53" s="849"/>
      <c r="M53" s="849"/>
      <c r="N53" s="849"/>
      <c r="O53" s="847"/>
      <c r="P53" s="847"/>
      <c r="Q53" s="847"/>
      <c r="R53" s="847"/>
    </row>
    <row r="54" spans="1:18" x14ac:dyDescent="0.2">
      <c r="A54" s="846"/>
      <c r="B54" s="846"/>
      <c r="C54" s="170"/>
      <c r="D54" s="170"/>
      <c r="E54" s="170"/>
      <c r="F54" s="170"/>
      <c r="G54" s="841"/>
      <c r="H54" s="841"/>
      <c r="I54" s="841"/>
      <c r="J54" s="841"/>
      <c r="K54" s="841"/>
      <c r="L54" s="841"/>
      <c r="M54" s="841"/>
      <c r="N54" s="841"/>
      <c r="O54" s="842"/>
      <c r="P54" s="842"/>
      <c r="Q54" s="842"/>
      <c r="R54" s="842"/>
    </row>
    <row r="55" spans="1:18" x14ac:dyDescent="0.2">
      <c r="A55" s="41"/>
    </row>
    <row r="56" spans="1:18" ht="13.5" customHeight="1" x14ac:dyDescent="0.2">
      <c r="A56" s="863" t="s">
        <v>790</v>
      </c>
      <c r="B56" s="863"/>
      <c r="C56" s="863"/>
      <c r="D56" s="863"/>
      <c r="E56" s="863"/>
      <c r="F56" s="863"/>
      <c r="G56" s="863"/>
      <c r="H56" s="863"/>
      <c r="I56" s="863"/>
      <c r="J56" s="863"/>
      <c r="K56" s="863"/>
      <c r="L56" s="863"/>
      <c r="M56" s="863"/>
      <c r="N56" s="863"/>
      <c r="O56" s="863"/>
      <c r="P56" s="863"/>
      <c r="Q56" s="863"/>
      <c r="R56" s="863"/>
    </row>
    <row r="57" spans="1:18" ht="23.25" customHeight="1" x14ac:dyDescent="0.2">
      <c r="A57" s="864" t="s">
        <v>97</v>
      </c>
      <c r="B57" s="864"/>
      <c r="C57" s="40" t="s">
        <v>783</v>
      </c>
      <c r="D57" s="40" t="s">
        <v>791</v>
      </c>
      <c r="E57" s="40" t="s">
        <v>785</v>
      </c>
      <c r="F57" s="40" t="s">
        <v>786</v>
      </c>
      <c r="G57" s="865" t="s">
        <v>787</v>
      </c>
      <c r="H57" s="865"/>
      <c r="I57" s="865"/>
      <c r="J57" s="865"/>
      <c r="K57" s="865" t="s">
        <v>788</v>
      </c>
      <c r="L57" s="865"/>
      <c r="M57" s="865"/>
      <c r="N57" s="865"/>
      <c r="O57" s="850" t="s">
        <v>789</v>
      </c>
      <c r="P57" s="850"/>
      <c r="Q57" s="850"/>
      <c r="R57" s="850"/>
    </row>
    <row r="58" spans="1:18" x14ac:dyDescent="0.2">
      <c r="A58" s="848"/>
      <c r="B58" s="848"/>
      <c r="C58" s="106"/>
      <c r="D58" s="168"/>
      <c r="E58" s="168"/>
      <c r="F58" s="168"/>
      <c r="G58" s="849"/>
      <c r="H58" s="849"/>
      <c r="I58" s="849"/>
      <c r="J58" s="849"/>
      <c r="K58" s="849"/>
      <c r="L58" s="849"/>
      <c r="M58" s="849"/>
      <c r="N58" s="849"/>
      <c r="O58" s="847"/>
      <c r="P58" s="847"/>
      <c r="Q58" s="847"/>
      <c r="R58" s="847"/>
    </row>
    <row r="59" spans="1:18" x14ac:dyDescent="0.2">
      <c r="A59" s="848"/>
      <c r="B59" s="848"/>
      <c r="C59" s="106"/>
      <c r="D59" s="168"/>
      <c r="E59" s="168"/>
      <c r="F59" s="168"/>
      <c r="G59" s="849"/>
      <c r="H59" s="849"/>
      <c r="I59" s="849"/>
      <c r="J59" s="849"/>
      <c r="K59" s="849"/>
      <c r="L59" s="849"/>
      <c r="M59" s="849"/>
      <c r="N59" s="849"/>
      <c r="O59" s="847"/>
      <c r="P59" s="847"/>
      <c r="Q59" s="847"/>
      <c r="R59" s="847"/>
    </row>
    <row r="60" spans="1:18" x14ac:dyDescent="0.2">
      <c r="A60" s="848"/>
      <c r="B60" s="848"/>
      <c r="C60" s="106"/>
      <c r="D60" s="106"/>
      <c r="E60" s="106"/>
      <c r="F60" s="106"/>
      <c r="G60" s="849"/>
      <c r="H60" s="849"/>
      <c r="I60" s="849"/>
      <c r="J60" s="849"/>
      <c r="K60" s="849"/>
      <c r="L60" s="849"/>
      <c r="M60" s="849"/>
      <c r="N60" s="849"/>
      <c r="O60" s="847"/>
      <c r="P60" s="847"/>
      <c r="Q60" s="847"/>
      <c r="R60" s="847"/>
    </row>
    <row r="61" spans="1:18" x14ac:dyDescent="0.2">
      <c r="A61" s="848"/>
      <c r="B61" s="848"/>
      <c r="C61" s="106"/>
      <c r="D61" s="106"/>
      <c r="E61" s="106"/>
      <c r="F61" s="106"/>
      <c r="G61" s="849"/>
      <c r="H61" s="849"/>
      <c r="I61" s="849"/>
      <c r="J61" s="849"/>
      <c r="K61" s="849"/>
      <c r="L61" s="849"/>
      <c r="M61" s="849"/>
      <c r="N61" s="849"/>
      <c r="O61" s="847"/>
      <c r="P61" s="847"/>
      <c r="Q61" s="847"/>
      <c r="R61" s="847"/>
    </row>
    <row r="62" spans="1:18" x14ac:dyDescent="0.2">
      <c r="A62" s="846"/>
      <c r="B62" s="846"/>
      <c r="C62" s="170"/>
      <c r="D62" s="170"/>
      <c r="E62" s="170"/>
      <c r="F62" s="170"/>
      <c r="G62" s="841"/>
      <c r="H62" s="841"/>
      <c r="I62" s="841"/>
      <c r="J62" s="841"/>
      <c r="K62" s="841"/>
      <c r="L62" s="841"/>
      <c r="M62" s="841"/>
      <c r="N62" s="841"/>
      <c r="O62" s="842"/>
      <c r="P62" s="842"/>
      <c r="Q62" s="842"/>
      <c r="R62" s="842"/>
    </row>
    <row r="63" spans="1:18" ht="13.5" thickBot="1" x14ac:dyDescent="0.25">
      <c r="A63" s="301"/>
      <c r="B63" s="301"/>
      <c r="C63" s="302"/>
      <c r="D63" s="302"/>
      <c r="E63" s="302"/>
      <c r="F63" s="302"/>
      <c r="G63" s="301"/>
      <c r="H63" s="301"/>
      <c r="I63" s="301"/>
      <c r="J63" s="301"/>
      <c r="K63" s="301"/>
      <c r="L63" s="301"/>
      <c r="M63" s="301"/>
      <c r="N63" s="301"/>
      <c r="O63" s="42"/>
      <c r="P63" s="42"/>
      <c r="Q63" s="42"/>
      <c r="R63" s="42"/>
    </row>
    <row r="64" spans="1:18" x14ac:dyDescent="0.2">
      <c r="A64" s="863" t="s">
        <v>792</v>
      </c>
      <c r="B64" s="863"/>
      <c r="C64" s="863"/>
      <c r="D64" s="863"/>
      <c r="E64" s="863"/>
      <c r="F64" s="863"/>
      <c r="G64" s="863"/>
      <c r="H64" s="863"/>
      <c r="I64" s="863"/>
      <c r="J64" s="863"/>
      <c r="K64" s="863"/>
      <c r="L64" s="863"/>
      <c r="M64" s="863"/>
      <c r="N64" s="863"/>
      <c r="O64" s="863"/>
      <c r="P64" s="863"/>
      <c r="Q64" s="863"/>
      <c r="R64" s="863"/>
    </row>
    <row r="65" spans="1:18" ht="22.5" x14ac:dyDescent="0.2">
      <c r="A65" s="864" t="s">
        <v>119</v>
      </c>
      <c r="B65" s="864"/>
      <c r="C65" s="40" t="s">
        <v>783</v>
      </c>
      <c r="D65" s="851" t="s">
        <v>123</v>
      </c>
      <c r="E65" s="852"/>
      <c r="F65" s="40" t="s">
        <v>786</v>
      </c>
      <c r="G65" s="865" t="s">
        <v>787</v>
      </c>
      <c r="H65" s="865"/>
      <c r="I65" s="865"/>
      <c r="J65" s="865"/>
      <c r="K65" s="865" t="s">
        <v>788</v>
      </c>
      <c r="L65" s="865"/>
      <c r="M65" s="865"/>
      <c r="N65" s="865"/>
      <c r="O65" s="850" t="s">
        <v>789</v>
      </c>
      <c r="P65" s="850"/>
      <c r="Q65" s="850"/>
      <c r="R65" s="850"/>
    </row>
    <row r="66" spans="1:18" x14ac:dyDescent="0.2">
      <c r="A66" s="848"/>
      <c r="B66" s="848"/>
      <c r="C66" s="106"/>
      <c r="D66" s="866"/>
      <c r="E66" s="867"/>
      <c r="F66" s="168"/>
      <c r="G66" s="849"/>
      <c r="H66" s="849"/>
      <c r="I66" s="849"/>
      <c r="J66" s="849"/>
      <c r="K66" s="849"/>
      <c r="L66" s="849"/>
      <c r="M66" s="849"/>
      <c r="N66" s="849"/>
      <c r="O66" s="847"/>
      <c r="P66" s="847"/>
      <c r="Q66" s="847"/>
      <c r="R66" s="847"/>
    </row>
    <row r="67" spans="1:18" x14ac:dyDescent="0.2">
      <c r="A67" s="848"/>
      <c r="B67" s="848"/>
      <c r="C67" s="106"/>
      <c r="D67" s="866"/>
      <c r="E67" s="867"/>
      <c r="F67" s="168"/>
      <c r="G67" s="849"/>
      <c r="H67" s="849"/>
      <c r="I67" s="849"/>
      <c r="J67" s="849"/>
      <c r="K67" s="849"/>
      <c r="L67" s="849"/>
      <c r="M67" s="849"/>
      <c r="N67" s="849"/>
      <c r="O67" s="847"/>
      <c r="P67" s="847"/>
      <c r="Q67" s="847"/>
      <c r="R67" s="847"/>
    </row>
    <row r="68" spans="1:18" x14ac:dyDescent="0.2">
      <c r="A68" s="848"/>
      <c r="B68" s="848"/>
      <c r="C68" s="106"/>
      <c r="D68" s="866"/>
      <c r="E68" s="867"/>
      <c r="F68" s="106"/>
      <c r="G68" s="849"/>
      <c r="H68" s="849"/>
      <c r="I68" s="849"/>
      <c r="J68" s="849"/>
      <c r="K68" s="849"/>
      <c r="L68" s="849"/>
      <c r="M68" s="849"/>
      <c r="N68" s="849"/>
      <c r="O68" s="847"/>
      <c r="P68" s="847"/>
      <c r="Q68" s="847"/>
      <c r="R68" s="847"/>
    </row>
    <row r="69" spans="1:18" x14ac:dyDescent="0.2">
      <c r="A69" s="848"/>
      <c r="B69" s="848"/>
      <c r="C69" s="106"/>
      <c r="D69" s="866"/>
      <c r="E69" s="867"/>
      <c r="F69" s="106"/>
      <c r="G69" s="849"/>
      <c r="H69" s="849"/>
      <c r="I69" s="849"/>
      <c r="J69" s="849"/>
      <c r="K69" s="849"/>
      <c r="L69" s="849"/>
      <c r="M69" s="849"/>
      <c r="N69" s="849"/>
      <c r="O69" s="847"/>
      <c r="P69" s="847"/>
      <c r="Q69" s="847"/>
      <c r="R69" s="847"/>
    </row>
    <row r="70" spans="1:18" ht="13.5" thickBot="1" x14ac:dyDescent="0.25">
      <c r="A70" s="846"/>
      <c r="B70" s="846"/>
      <c r="C70" s="170"/>
      <c r="D70" s="843"/>
      <c r="E70" s="844"/>
      <c r="F70" s="170"/>
      <c r="G70" s="841"/>
      <c r="H70" s="841"/>
      <c r="I70" s="841"/>
      <c r="J70" s="841"/>
      <c r="K70" s="841"/>
      <c r="L70" s="841"/>
      <c r="M70" s="841"/>
      <c r="N70" s="841"/>
      <c r="O70" s="842"/>
      <c r="P70" s="842"/>
      <c r="Q70" s="842"/>
      <c r="R70" s="842"/>
    </row>
    <row r="71" spans="1:18" x14ac:dyDescent="0.2">
      <c r="A71" s="301"/>
      <c r="B71" s="301"/>
      <c r="C71" s="302"/>
      <c r="D71" s="302"/>
      <c r="E71" s="302"/>
      <c r="F71" s="302"/>
      <c r="G71" s="301"/>
      <c r="H71" s="301"/>
      <c r="I71" s="301"/>
      <c r="J71" s="301"/>
      <c r="K71" s="301"/>
      <c r="L71" s="301"/>
      <c r="M71" s="301"/>
      <c r="N71" s="301"/>
      <c r="O71" s="42"/>
      <c r="P71" s="42"/>
      <c r="Q71" s="42"/>
      <c r="R71" s="42"/>
    </row>
    <row r="72" spans="1:18" ht="13.5" thickBot="1" x14ac:dyDescent="0.25">
      <c r="A72" s="42"/>
      <c r="B72" s="42"/>
      <c r="C72" s="43"/>
      <c r="D72" s="43"/>
      <c r="E72" s="43"/>
      <c r="F72" s="43"/>
      <c r="G72" s="42"/>
      <c r="H72" s="42"/>
      <c r="I72" s="42"/>
      <c r="J72" s="303"/>
    </row>
    <row r="73" spans="1:18" ht="13.35" customHeight="1" thickBot="1" x14ac:dyDescent="0.25">
      <c r="A73" s="890" t="s">
        <v>793</v>
      </c>
      <c r="B73" s="890"/>
      <c r="C73" s="890"/>
      <c r="D73" s="890"/>
      <c r="E73" s="890"/>
      <c r="F73" s="890"/>
      <c r="G73" s="890"/>
      <c r="H73" s="890"/>
      <c r="I73" s="890"/>
      <c r="J73" s="890"/>
    </row>
    <row r="74" spans="1:18" ht="42" customHeight="1" x14ac:dyDescent="0.2">
      <c r="A74" s="891" t="s">
        <v>794</v>
      </c>
      <c r="B74" s="891"/>
      <c r="C74" s="891"/>
      <c r="D74" s="891"/>
      <c r="E74" s="891"/>
      <c r="F74" s="891"/>
      <c r="G74" s="891"/>
      <c r="H74" s="891"/>
      <c r="I74" s="891"/>
      <c r="J74" s="891"/>
    </row>
    <row r="75" spans="1:18" x14ac:dyDescent="0.2"/>
    <row r="76" spans="1:18" ht="13.35" customHeight="1" x14ac:dyDescent="0.2">
      <c r="A76" s="890" t="s">
        <v>795</v>
      </c>
      <c r="B76" s="890"/>
      <c r="C76" s="890"/>
      <c r="D76" s="890"/>
      <c r="E76" s="890"/>
      <c r="F76" s="890"/>
      <c r="G76" s="890"/>
      <c r="H76" s="890"/>
      <c r="I76" s="890"/>
      <c r="J76" s="890"/>
    </row>
    <row r="77" spans="1:18" ht="39" customHeight="1" x14ac:dyDescent="0.2">
      <c r="A77" s="891" t="s">
        <v>796</v>
      </c>
      <c r="B77" s="891"/>
      <c r="C77" s="891"/>
      <c r="D77" s="891"/>
      <c r="E77" s="891"/>
      <c r="F77" s="891"/>
      <c r="G77" s="891"/>
      <c r="H77" s="891"/>
      <c r="I77" s="891"/>
      <c r="J77" s="891"/>
    </row>
    <row r="78" spans="1:18" x14ac:dyDescent="0.2"/>
    <row r="79" spans="1:18" ht="13.35" customHeight="1" x14ac:dyDescent="0.2">
      <c r="A79" s="890" t="s">
        <v>797</v>
      </c>
      <c r="B79" s="890"/>
      <c r="C79" s="890"/>
      <c r="D79" s="890"/>
      <c r="E79" s="890"/>
      <c r="F79" s="890"/>
      <c r="G79" s="890"/>
      <c r="H79" s="890"/>
      <c r="I79" s="890"/>
      <c r="J79" s="890"/>
    </row>
    <row r="80" spans="1:18" ht="32.25" customHeight="1" x14ac:dyDescent="0.2">
      <c r="A80" s="891" t="s">
        <v>798</v>
      </c>
      <c r="B80" s="891"/>
      <c r="C80" s="891"/>
      <c r="D80" s="891"/>
      <c r="E80" s="891"/>
      <c r="F80" s="891"/>
      <c r="G80" s="891"/>
      <c r="H80" s="891"/>
      <c r="I80" s="891"/>
      <c r="J80" s="891"/>
    </row>
    <row r="81" spans="1:1" x14ac:dyDescent="0.2"/>
    <row r="82" spans="1:1" ht="18" x14ac:dyDescent="0.25">
      <c r="A82" s="27" t="s">
        <v>91</v>
      </c>
    </row>
    <row r="83" spans="1:1" x14ac:dyDescent="0.2"/>
  </sheetData>
  <sheetProtection password="FB4B" sheet="1" objects="1" scenarios="1" formatCells="0" formatColumns="0" formatRows="0"/>
  <mergeCells count="137">
    <mergeCell ref="A79:J79"/>
    <mergeCell ref="A80:J80"/>
    <mergeCell ref="A73:J73"/>
    <mergeCell ref="A74:J74"/>
    <mergeCell ref="A76:J76"/>
    <mergeCell ref="A77:J77"/>
    <mergeCell ref="A62:B62"/>
    <mergeCell ref="G62:J62"/>
    <mergeCell ref="A60:B60"/>
    <mergeCell ref="G60:J60"/>
    <mergeCell ref="A61:B61"/>
    <mergeCell ref="G61:J61"/>
    <mergeCell ref="K60:N60"/>
    <mergeCell ref="O60:R60"/>
    <mergeCell ref="O61:R61"/>
    <mergeCell ref="K62:N62"/>
    <mergeCell ref="O62:R62"/>
    <mergeCell ref="K61:N61"/>
    <mergeCell ref="A57:B57"/>
    <mergeCell ref="G57:J57"/>
    <mergeCell ref="K57:N57"/>
    <mergeCell ref="O57:R57"/>
    <mergeCell ref="A58:B58"/>
    <mergeCell ref="G58:J58"/>
    <mergeCell ref="A59:B59"/>
    <mergeCell ref="G59:J59"/>
    <mergeCell ref="K59:N59"/>
    <mergeCell ref="O59:R59"/>
    <mergeCell ref="K58:N58"/>
    <mergeCell ref="O58:R58"/>
    <mergeCell ref="K54:N54"/>
    <mergeCell ref="O54:R54"/>
    <mergeCell ref="A53:B53"/>
    <mergeCell ref="G53:J53"/>
    <mergeCell ref="K53:N53"/>
    <mergeCell ref="O53:R53"/>
    <mergeCell ref="A54:B54"/>
    <mergeCell ref="G54:J54"/>
    <mergeCell ref="A56:R56"/>
    <mergeCell ref="A38:H39"/>
    <mergeCell ref="A48:R48"/>
    <mergeCell ref="K50:N50"/>
    <mergeCell ref="O50:R50"/>
    <mergeCell ref="A49:B49"/>
    <mergeCell ref="G49:J49"/>
    <mergeCell ref="K49:N49"/>
    <mergeCell ref="O49:R49"/>
    <mergeCell ref="A52:B52"/>
    <mergeCell ref="G52:J52"/>
    <mergeCell ref="K52:N52"/>
    <mergeCell ref="O52:R52"/>
    <mergeCell ref="A51:B51"/>
    <mergeCell ref="G51:J51"/>
    <mergeCell ref="K51:N51"/>
    <mergeCell ref="O51:R51"/>
    <mergeCell ref="A1:H1"/>
    <mergeCell ref="B2:E2"/>
    <mergeCell ref="F2:H2"/>
    <mergeCell ref="B3:E3"/>
    <mergeCell ref="F3:H3"/>
    <mergeCell ref="A12:F13"/>
    <mergeCell ref="A14:H14"/>
    <mergeCell ref="A29:H29"/>
    <mergeCell ref="A30:B30"/>
    <mergeCell ref="C30:F30"/>
    <mergeCell ref="A25:G26"/>
    <mergeCell ref="H25:H26"/>
    <mergeCell ref="B21:H21"/>
    <mergeCell ref="B22:H22"/>
    <mergeCell ref="B17:H17"/>
    <mergeCell ref="C9:D9"/>
    <mergeCell ref="E9:H9"/>
    <mergeCell ref="A27:H27"/>
    <mergeCell ref="A28:C28"/>
    <mergeCell ref="D28:H28"/>
    <mergeCell ref="B15:H15"/>
    <mergeCell ref="B16:H16"/>
    <mergeCell ref="B20:H20"/>
    <mergeCell ref="B23:H23"/>
    <mergeCell ref="C8:D8"/>
    <mergeCell ref="E8:H8"/>
    <mergeCell ref="A4:E4"/>
    <mergeCell ref="F4:H4"/>
    <mergeCell ref="A5:E5"/>
    <mergeCell ref="F5:H5"/>
    <mergeCell ref="A6:B6"/>
    <mergeCell ref="C6:H6"/>
    <mergeCell ref="C7:D7"/>
    <mergeCell ref="E7:H7"/>
    <mergeCell ref="A10:B11"/>
    <mergeCell ref="C10:D10"/>
    <mergeCell ref="C11:D11"/>
    <mergeCell ref="E10:H10"/>
    <mergeCell ref="E11:H11"/>
    <mergeCell ref="K69:N69"/>
    <mergeCell ref="A64:R64"/>
    <mergeCell ref="A65:B65"/>
    <mergeCell ref="G65:J65"/>
    <mergeCell ref="K65:N65"/>
    <mergeCell ref="O69:R69"/>
    <mergeCell ref="D68:E68"/>
    <mergeCell ref="D69:E69"/>
    <mergeCell ref="A68:B68"/>
    <mergeCell ref="G68:J68"/>
    <mergeCell ref="K68:N68"/>
    <mergeCell ref="O66:R66"/>
    <mergeCell ref="A67:B67"/>
    <mergeCell ref="G67:J67"/>
    <mergeCell ref="K67:N67"/>
    <mergeCell ref="O67:R67"/>
    <mergeCell ref="D66:E66"/>
    <mergeCell ref="D67:E67"/>
    <mergeCell ref="A66:B66"/>
    <mergeCell ref="K70:N70"/>
    <mergeCell ref="O70:R70"/>
    <mergeCell ref="D70:E70"/>
    <mergeCell ref="B18:H18"/>
    <mergeCell ref="B19:H19"/>
    <mergeCell ref="A70:B70"/>
    <mergeCell ref="G70:J70"/>
    <mergeCell ref="O68:R68"/>
    <mergeCell ref="A69:B69"/>
    <mergeCell ref="G69:J69"/>
    <mergeCell ref="G66:J66"/>
    <mergeCell ref="K66:N66"/>
    <mergeCell ref="O65:R65"/>
    <mergeCell ref="D65:E65"/>
    <mergeCell ref="B24:H24"/>
    <mergeCell ref="C31:F31"/>
    <mergeCell ref="C32:F32"/>
    <mergeCell ref="C33:F33"/>
    <mergeCell ref="C36:F36"/>
    <mergeCell ref="C34:F34"/>
    <mergeCell ref="C35:F35"/>
    <mergeCell ref="A37:H37"/>
    <mergeCell ref="A50:B50"/>
    <mergeCell ref="G50:J50"/>
  </mergeCells>
  <phoneticPr fontId="22" type="noConversion"/>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C101"/>
  <sheetViews>
    <sheetView showGridLines="0" workbookViewId="0">
      <pane ySplit="3" topLeftCell="A92" activePane="bottomLeft" state="frozen"/>
      <selection activeCell="A31" sqref="A31:G31"/>
      <selection pane="bottomLeft" activeCell="B98" sqref="B98"/>
    </sheetView>
  </sheetViews>
  <sheetFormatPr defaultColWidth="0" defaultRowHeight="12.75" zeroHeight="1" x14ac:dyDescent="0.2"/>
  <cols>
    <col min="1" max="1" width="11.28515625" customWidth="1"/>
    <col min="2" max="2" width="97.140625" customWidth="1"/>
    <col min="3" max="3" width="38.140625" customWidth="1"/>
    <col min="4" max="4" width="9.140625" customWidth="1"/>
  </cols>
  <sheetData>
    <row r="1" spans="1:3" x14ac:dyDescent="0.2">
      <c r="A1" s="16" t="s">
        <v>799</v>
      </c>
    </row>
    <row r="2" spans="1:3" x14ac:dyDescent="0.2"/>
    <row r="3" spans="1:3" x14ac:dyDescent="0.2">
      <c r="A3" s="44" t="s">
        <v>63</v>
      </c>
      <c r="B3" s="44" t="s">
        <v>800</v>
      </c>
      <c r="C3" s="44" t="s">
        <v>801</v>
      </c>
    </row>
    <row r="4" spans="1:3" ht="25.5" x14ac:dyDescent="0.2">
      <c r="A4" s="3" t="s">
        <v>802</v>
      </c>
      <c r="B4" s="45" t="s">
        <v>803</v>
      </c>
      <c r="C4" s="3" t="s">
        <v>804</v>
      </c>
    </row>
    <row r="5" spans="1:3" ht="205.5" customHeight="1" x14ac:dyDescent="0.2">
      <c r="A5" s="3" t="s">
        <v>805</v>
      </c>
      <c r="B5" s="46" t="s">
        <v>806</v>
      </c>
      <c r="C5" s="3" t="s">
        <v>804</v>
      </c>
    </row>
    <row r="6" spans="1:3" ht="25.5" x14ac:dyDescent="0.2">
      <c r="A6" s="3" t="s">
        <v>807</v>
      </c>
      <c r="B6" s="45" t="s">
        <v>808</v>
      </c>
      <c r="C6" s="3" t="s">
        <v>804</v>
      </c>
    </row>
    <row r="7" spans="1:3" ht="25.5" x14ac:dyDescent="0.2">
      <c r="A7" s="3" t="s">
        <v>809</v>
      </c>
      <c r="B7" s="45" t="s">
        <v>810</v>
      </c>
      <c r="C7" s="3" t="s">
        <v>804</v>
      </c>
    </row>
    <row r="8" spans="1:3" ht="25.5" x14ac:dyDescent="0.2">
      <c r="A8" s="3" t="s">
        <v>811</v>
      </c>
      <c r="B8" s="45" t="s">
        <v>812</v>
      </c>
      <c r="C8" s="3" t="s">
        <v>804</v>
      </c>
    </row>
    <row r="9" spans="1:3" x14ac:dyDescent="0.2">
      <c r="A9" s="3" t="s">
        <v>813</v>
      </c>
      <c r="B9" s="3" t="s">
        <v>814</v>
      </c>
      <c r="C9" s="3" t="s">
        <v>804</v>
      </c>
    </row>
    <row r="10" spans="1:3" s="20" customFormat="1" ht="204" x14ac:dyDescent="0.2">
      <c r="A10" s="45" t="s">
        <v>815</v>
      </c>
      <c r="B10" s="46" t="s">
        <v>816</v>
      </c>
      <c r="C10" s="45" t="s">
        <v>817</v>
      </c>
    </row>
    <row r="11" spans="1:3" ht="127.5" x14ac:dyDescent="0.2">
      <c r="A11" s="150" t="s">
        <v>818</v>
      </c>
      <c r="B11" s="151" t="s">
        <v>819</v>
      </c>
      <c r="C11" s="150" t="s">
        <v>817</v>
      </c>
    </row>
    <row r="12" spans="1:3" ht="25.5" x14ac:dyDescent="0.2">
      <c r="A12" s="152" t="s">
        <v>820</v>
      </c>
      <c r="B12" s="153" t="s">
        <v>821</v>
      </c>
      <c r="C12" s="152" t="s">
        <v>817</v>
      </c>
    </row>
    <row r="13" spans="1:3" ht="140.25" x14ac:dyDescent="0.2">
      <c r="A13" s="152" t="s">
        <v>822</v>
      </c>
      <c r="B13" s="153" t="s">
        <v>823</v>
      </c>
      <c r="C13" s="152" t="s">
        <v>817</v>
      </c>
    </row>
    <row r="14" spans="1:3" ht="204" x14ac:dyDescent="0.2">
      <c r="A14" s="152" t="s">
        <v>824</v>
      </c>
      <c r="B14" s="154" t="s">
        <v>825</v>
      </c>
      <c r="C14" s="152" t="s">
        <v>826</v>
      </c>
    </row>
    <row r="15" spans="1:3" ht="127.5" x14ac:dyDescent="0.2">
      <c r="A15" s="152" t="s">
        <v>827</v>
      </c>
      <c r="B15" s="154" t="s">
        <v>828</v>
      </c>
      <c r="C15" s="152" t="s">
        <v>817</v>
      </c>
    </row>
    <row r="16" spans="1:3" ht="51" x14ac:dyDescent="0.2">
      <c r="A16" s="152" t="s">
        <v>829</v>
      </c>
      <c r="B16" s="154" t="s">
        <v>830</v>
      </c>
      <c r="C16" s="152" t="s">
        <v>817</v>
      </c>
    </row>
    <row r="17" spans="1:3" ht="114.75" x14ac:dyDescent="0.2">
      <c r="A17" s="152" t="s">
        <v>831</v>
      </c>
      <c r="B17" s="154" t="s">
        <v>832</v>
      </c>
      <c r="C17" s="152" t="s">
        <v>817</v>
      </c>
    </row>
    <row r="18" spans="1:3" ht="63.75" x14ac:dyDescent="0.2">
      <c r="A18" s="152" t="s">
        <v>833</v>
      </c>
      <c r="B18" s="154" t="s">
        <v>834</v>
      </c>
      <c r="C18" s="152" t="s">
        <v>817</v>
      </c>
    </row>
    <row r="19" spans="1:3" ht="76.5" x14ac:dyDescent="0.2">
      <c r="A19" s="152" t="s">
        <v>835</v>
      </c>
      <c r="B19" s="154" t="s">
        <v>836</v>
      </c>
      <c r="C19" s="152" t="s">
        <v>837</v>
      </c>
    </row>
    <row r="20" spans="1:3" ht="127.5" x14ac:dyDescent="0.2">
      <c r="A20" s="152" t="s">
        <v>838</v>
      </c>
      <c r="B20" s="154" t="s">
        <v>839</v>
      </c>
      <c r="C20" s="152" t="s">
        <v>840</v>
      </c>
    </row>
    <row r="21" spans="1:3" ht="76.5" x14ac:dyDescent="0.2">
      <c r="A21" s="152" t="s">
        <v>841</v>
      </c>
      <c r="B21" s="154" t="s">
        <v>842</v>
      </c>
      <c r="C21" s="152" t="s">
        <v>840</v>
      </c>
    </row>
    <row r="22" spans="1:3" ht="63.75" x14ac:dyDescent="0.2">
      <c r="A22" s="152" t="s">
        <v>843</v>
      </c>
      <c r="B22" s="154" t="s">
        <v>844</v>
      </c>
      <c r="C22" s="152" t="s">
        <v>840</v>
      </c>
    </row>
    <row r="23" spans="1:3" ht="38.25" x14ac:dyDescent="0.2">
      <c r="A23" s="152" t="s">
        <v>845</v>
      </c>
      <c r="B23" s="154" t="s">
        <v>846</v>
      </c>
      <c r="C23" s="152" t="s">
        <v>840</v>
      </c>
    </row>
    <row r="24" spans="1:3" ht="255" x14ac:dyDescent="0.2">
      <c r="A24" s="152" t="s">
        <v>847</v>
      </c>
      <c r="B24" s="154" t="s">
        <v>848</v>
      </c>
      <c r="C24" s="152" t="s">
        <v>840</v>
      </c>
    </row>
    <row r="25" spans="1:3" ht="38.25" x14ac:dyDescent="0.2">
      <c r="A25" s="152" t="s">
        <v>849</v>
      </c>
      <c r="B25" s="154" t="s">
        <v>850</v>
      </c>
      <c r="C25" s="152" t="s">
        <v>840</v>
      </c>
    </row>
    <row r="26" spans="1:3" ht="63.75" x14ac:dyDescent="0.2">
      <c r="A26" s="152" t="s">
        <v>851</v>
      </c>
      <c r="B26" s="154" t="s">
        <v>852</v>
      </c>
      <c r="C26" s="152" t="s">
        <v>840</v>
      </c>
    </row>
    <row r="27" spans="1:3" ht="76.5" x14ac:dyDescent="0.2">
      <c r="A27" s="152" t="s">
        <v>853</v>
      </c>
      <c r="B27" s="154" t="s">
        <v>854</v>
      </c>
      <c r="C27" s="152" t="s">
        <v>840</v>
      </c>
    </row>
    <row r="28" spans="1:3" ht="63.75" x14ac:dyDescent="0.2">
      <c r="A28" s="152" t="s">
        <v>855</v>
      </c>
      <c r="B28" s="154" t="s">
        <v>856</v>
      </c>
      <c r="C28" s="152" t="s">
        <v>840</v>
      </c>
    </row>
    <row r="29" spans="1:3" ht="51" x14ac:dyDescent="0.2">
      <c r="A29" s="152" t="s">
        <v>857</v>
      </c>
      <c r="B29" s="154" t="s">
        <v>858</v>
      </c>
      <c r="C29" s="152" t="s">
        <v>840</v>
      </c>
    </row>
    <row r="30" spans="1:3" ht="63.75" x14ac:dyDescent="0.2">
      <c r="A30" s="152" t="s">
        <v>859</v>
      </c>
      <c r="B30" s="154" t="s">
        <v>860</v>
      </c>
      <c r="C30" s="152" t="s">
        <v>840</v>
      </c>
    </row>
    <row r="31" spans="1:3" ht="63.75" x14ac:dyDescent="0.2">
      <c r="A31" s="152" t="s">
        <v>861</v>
      </c>
      <c r="B31" s="154" t="s">
        <v>862</v>
      </c>
      <c r="C31" s="152" t="s">
        <v>840</v>
      </c>
    </row>
    <row r="32" spans="1:3" ht="241.5" customHeight="1" x14ac:dyDescent="0.2">
      <c r="A32" s="152" t="s">
        <v>863</v>
      </c>
      <c r="B32" s="153" t="s">
        <v>864</v>
      </c>
      <c r="C32" s="152" t="s">
        <v>840</v>
      </c>
    </row>
    <row r="33" spans="1:3" ht="90.75" customHeight="1" x14ac:dyDescent="0.2">
      <c r="A33" s="152" t="s">
        <v>865</v>
      </c>
      <c r="B33" s="154" t="s">
        <v>866</v>
      </c>
      <c r="C33" s="152" t="s">
        <v>840</v>
      </c>
    </row>
    <row r="34" spans="1:3" ht="90.75" customHeight="1" x14ac:dyDescent="0.2">
      <c r="A34" s="191" t="s">
        <v>867</v>
      </c>
      <c r="B34" s="192" t="s">
        <v>868</v>
      </c>
      <c r="C34" s="191" t="s">
        <v>869</v>
      </c>
    </row>
    <row r="35" spans="1:3" ht="90.75" customHeight="1" x14ac:dyDescent="0.2">
      <c r="A35" s="892" t="s">
        <v>870</v>
      </c>
      <c r="B35" s="192" t="s">
        <v>871</v>
      </c>
      <c r="C35" s="191" t="s">
        <v>869</v>
      </c>
    </row>
    <row r="36" spans="1:3" ht="90.75" customHeight="1" x14ac:dyDescent="0.2">
      <c r="A36" s="893"/>
      <c r="B36" s="192" t="s">
        <v>872</v>
      </c>
      <c r="C36" s="191" t="s">
        <v>869</v>
      </c>
    </row>
    <row r="37" spans="1:3" ht="378" customHeight="1" x14ac:dyDescent="0.2">
      <c r="A37" s="893"/>
      <c r="B37" s="192" t="s">
        <v>873</v>
      </c>
      <c r="C37" s="191" t="s">
        <v>869</v>
      </c>
    </row>
    <row r="38" spans="1:3" ht="105.75" customHeight="1" x14ac:dyDescent="0.2">
      <c r="A38" s="204" t="s">
        <v>874</v>
      </c>
      <c r="B38" s="192" t="s">
        <v>875</v>
      </c>
      <c r="C38" s="191" t="s">
        <v>869</v>
      </c>
    </row>
    <row r="39" spans="1:3" ht="270" customHeight="1" x14ac:dyDescent="0.2">
      <c r="A39" s="204" t="s">
        <v>876</v>
      </c>
      <c r="B39" s="192" t="s">
        <v>877</v>
      </c>
      <c r="C39" s="191" t="s">
        <v>869</v>
      </c>
    </row>
    <row r="40" spans="1:3" ht="158.25" customHeight="1" x14ac:dyDescent="0.2">
      <c r="A40" s="204" t="s">
        <v>878</v>
      </c>
      <c r="B40" s="192" t="s">
        <v>879</v>
      </c>
      <c r="C40" s="191" t="s">
        <v>869</v>
      </c>
    </row>
    <row r="41" spans="1:3" ht="107.25" customHeight="1" x14ac:dyDescent="0.2">
      <c r="A41" s="204" t="s">
        <v>880</v>
      </c>
      <c r="B41" s="192" t="s">
        <v>881</v>
      </c>
      <c r="C41" s="191" t="s">
        <v>869</v>
      </c>
    </row>
    <row r="42" spans="1:3" ht="51" customHeight="1" x14ac:dyDescent="0.2">
      <c r="A42" s="204" t="s">
        <v>882</v>
      </c>
      <c r="B42" s="192" t="s">
        <v>883</v>
      </c>
      <c r="C42" s="191" t="s">
        <v>869</v>
      </c>
    </row>
    <row r="43" spans="1:3" ht="160.5" customHeight="1" x14ac:dyDescent="0.2">
      <c r="A43" s="204" t="s">
        <v>884</v>
      </c>
      <c r="B43" s="192" t="s">
        <v>885</v>
      </c>
      <c r="C43" s="191" t="s">
        <v>869</v>
      </c>
    </row>
    <row r="44" spans="1:3" ht="160.5" customHeight="1" x14ac:dyDescent="0.2">
      <c r="A44" s="204" t="s">
        <v>886</v>
      </c>
      <c r="B44" s="192" t="s">
        <v>887</v>
      </c>
      <c r="C44" s="191" t="s">
        <v>869</v>
      </c>
    </row>
    <row r="45" spans="1:3" ht="65.25" customHeight="1" x14ac:dyDescent="0.2">
      <c r="A45" s="204" t="s">
        <v>888</v>
      </c>
      <c r="B45" s="223" t="s">
        <v>889</v>
      </c>
      <c r="C45" s="191" t="s">
        <v>869</v>
      </c>
    </row>
    <row r="46" spans="1:3" ht="333" customHeight="1" x14ac:dyDescent="0.2">
      <c r="A46" s="204" t="s">
        <v>890</v>
      </c>
      <c r="B46" s="192" t="s">
        <v>891</v>
      </c>
      <c r="C46" s="191" t="s">
        <v>869</v>
      </c>
    </row>
    <row r="47" spans="1:3" ht="267.75" x14ac:dyDescent="0.2">
      <c r="A47" s="204" t="s">
        <v>892</v>
      </c>
      <c r="B47" s="232" t="s">
        <v>893</v>
      </c>
      <c r="C47" s="191" t="s">
        <v>894</v>
      </c>
    </row>
    <row r="48" spans="1:3" ht="114.75" x14ac:dyDescent="0.2">
      <c r="A48" s="204" t="s">
        <v>895</v>
      </c>
      <c r="B48" s="236" t="s">
        <v>896</v>
      </c>
      <c r="C48" s="191" t="s">
        <v>894</v>
      </c>
    </row>
    <row r="49" spans="1:3" ht="25.5" x14ac:dyDescent="0.2">
      <c r="A49" s="204" t="s">
        <v>897</v>
      </c>
      <c r="B49" s="232" t="s">
        <v>898</v>
      </c>
      <c r="C49" s="191" t="s">
        <v>894</v>
      </c>
    </row>
    <row r="50" spans="1:3" ht="51" x14ac:dyDescent="0.2">
      <c r="A50" s="204" t="s">
        <v>899</v>
      </c>
      <c r="B50" s="232" t="s">
        <v>900</v>
      </c>
      <c r="C50" s="191" t="s">
        <v>894</v>
      </c>
    </row>
    <row r="51" spans="1:3" ht="38.25" x14ac:dyDescent="0.2">
      <c r="A51" s="204" t="s">
        <v>901</v>
      </c>
      <c r="B51" s="232" t="s">
        <v>902</v>
      </c>
      <c r="C51" s="191" t="s">
        <v>894</v>
      </c>
    </row>
    <row r="52" spans="1:3" ht="25.5" x14ac:dyDescent="0.2">
      <c r="A52" s="204" t="s">
        <v>903</v>
      </c>
      <c r="B52" s="232" t="s">
        <v>904</v>
      </c>
      <c r="C52" s="191" t="s">
        <v>894</v>
      </c>
    </row>
    <row r="53" spans="1:3" ht="51" x14ac:dyDescent="0.2">
      <c r="A53" s="204" t="s">
        <v>905</v>
      </c>
      <c r="B53" s="232" t="s">
        <v>906</v>
      </c>
      <c r="C53" s="191" t="s">
        <v>894</v>
      </c>
    </row>
    <row r="54" spans="1:3" ht="38.25" x14ac:dyDescent="0.2">
      <c r="A54" s="204" t="s">
        <v>905</v>
      </c>
      <c r="B54" s="232" t="s">
        <v>907</v>
      </c>
      <c r="C54" s="191" t="s">
        <v>894</v>
      </c>
    </row>
    <row r="55" spans="1:3" ht="153" x14ac:dyDescent="0.2">
      <c r="A55" s="204" t="s">
        <v>905</v>
      </c>
      <c r="B55" s="232" t="s">
        <v>908</v>
      </c>
      <c r="C55" s="191" t="s">
        <v>894</v>
      </c>
    </row>
    <row r="56" spans="1:3" ht="25.5" x14ac:dyDescent="0.2">
      <c r="A56" s="204" t="s">
        <v>905</v>
      </c>
      <c r="B56" s="232" t="s">
        <v>909</v>
      </c>
      <c r="C56" s="191" t="s">
        <v>894</v>
      </c>
    </row>
    <row r="57" spans="1:3" ht="38.25" x14ac:dyDescent="0.2">
      <c r="A57" s="204" t="s">
        <v>905</v>
      </c>
      <c r="B57" s="232" t="s">
        <v>910</v>
      </c>
      <c r="C57" s="191" t="s">
        <v>894</v>
      </c>
    </row>
    <row r="58" spans="1:3" ht="76.5" x14ac:dyDescent="0.2">
      <c r="A58" s="204" t="s">
        <v>911</v>
      </c>
      <c r="B58" s="232" t="s">
        <v>912</v>
      </c>
      <c r="C58" s="191" t="s">
        <v>894</v>
      </c>
    </row>
    <row r="59" spans="1:3" ht="76.5" x14ac:dyDescent="0.2">
      <c r="A59" s="204" t="s">
        <v>913</v>
      </c>
      <c r="B59" s="232" t="s">
        <v>914</v>
      </c>
      <c r="C59" s="191" t="s">
        <v>894</v>
      </c>
    </row>
    <row r="60" spans="1:3" ht="51" x14ac:dyDescent="0.2">
      <c r="A60" s="204" t="s">
        <v>915</v>
      </c>
      <c r="B60" s="232" t="s">
        <v>916</v>
      </c>
      <c r="C60" s="191" t="s">
        <v>894</v>
      </c>
    </row>
    <row r="61" spans="1:3" ht="25.5" x14ac:dyDescent="0.2">
      <c r="A61" s="204" t="s">
        <v>917</v>
      </c>
      <c r="B61" s="232" t="s">
        <v>918</v>
      </c>
      <c r="C61" s="191" t="s">
        <v>894</v>
      </c>
    </row>
    <row r="62" spans="1:3" ht="25.5" x14ac:dyDescent="0.2">
      <c r="A62" s="204" t="s">
        <v>919</v>
      </c>
      <c r="B62" s="232" t="s">
        <v>920</v>
      </c>
      <c r="C62" s="191" t="s">
        <v>894</v>
      </c>
    </row>
    <row r="63" spans="1:3" ht="25.5" x14ac:dyDescent="0.2">
      <c r="A63" s="204" t="s">
        <v>921</v>
      </c>
      <c r="B63" s="232" t="s">
        <v>922</v>
      </c>
      <c r="C63" s="191" t="s">
        <v>894</v>
      </c>
    </row>
    <row r="64" spans="1:3" ht="25.5" x14ac:dyDescent="0.2">
      <c r="A64" s="204" t="s">
        <v>923</v>
      </c>
      <c r="B64" s="232" t="s">
        <v>924</v>
      </c>
      <c r="C64" s="191" t="s">
        <v>894</v>
      </c>
    </row>
    <row r="65" spans="1:3" ht="25.5" x14ac:dyDescent="0.2">
      <c r="A65" s="204" t="s">
        <v>925</v>
      </c>
      <c r="B65" s="232" t="s">
        <v>926</v>
      </c>
      <c r="C65" s="191" t="s">
        <v>894</v>
      </c>
    </row>
    <row r="66" spans="1:3" ht="63.75" x14ac:dyDescent="0.2">
      <c r="A66" s="204" t="s">
        <v>927</v>
      </c>
      <c r="B66" s="232" t="s">
        <v>928</v>
      </c>
      <c r="C66" s="191" t="s">
        <v>894</v>
      </c>
    </row>
    <row r="67" spans="1:3" ht="76.5" x14ac:dyDescent="0.2">
      <c r="A67" s="204" t="s">
        <v>929</v>
      </c>
      <c r="B67" s="232" t="s">
        <v>930</v>
      </c>
      <c r="C67" s="191" t="s">
        <v>894</v>
      </c>
    </row>
    <row r="68" spans="1:3" ht="25.5" x14ac:dyDescent="0.2">
      <c r="A68" s="204" t="s">
        <v>931</v>
      </c>
      <c r="B68" s="232" t="s">
        <v>932</v>
      </c>
      <c r="C68" s="191" t="s">
        <v>894</v>
      </c>
    </row>
    <row r="69" spans="1:3" ht="51" x14ac:dyDescent="0.2">
      <c r="A69" s="204" t="s">
        <v>933</v>
      </c>
      <c r="B69" s="232" t="s">
        <v>934</v>
      </c>
      <c r="C69" s="191" t="s">
        <v>894</v>
      </c>
    </row>
    <row r="70" spans="1:3" ht="38.25" x14ac:dyDescent="0.2">
      <c r="A70" s="204" t="s">
        <v>935</v>
      </c>
      <c r="B70" s="232" t="s">
        <v>936</v>
      </c>
      <c r="C70" s="191" t="s">
        <v>894</v>
      </c>
    </row>
    <row r="71" spans="1:3" ht="25.5" x14ac:dyDescent="0.2">
      <c r="A71" s="204" t="s">
        <v>937</v>
      </c>
      <c r="B71" s="232" t="s">
        <v>938</v>
      </c>
      <c r="C71" s="191" t="s">
        <v>894</v>
      </c>
    </row>
    <row r="72" spans="1:3" ht="38.25" x14ac:dyDescent="0.2">
      <c r="A72" s="204" t="s">
        <v>939</v>
      </c>
      <c r="B72" s="232" t="s">
        <v>940</v>
      </c>
      <c r="C72" s="191" t="s">
        <v>894</v>
      </c>
    </row>
    <row r="73" spans="1:3" ht="25.5" x14ac:dyDescent="0.2">
      <c r="A73" s="204" t="s">
        <v>941</v>
      </c>
      <c r="B73" s="232" t="s">
        <v>942</v>
      </c>
      <c r="C73" s="191" t="s">
        <v>894</v>
      </c>
    </row>
    <row r="74" spans="1:3" ht="25.5" x14ac:dyDescent="0.2">
      <c r="A74" s="204" t="s">
        <v>943</v>
      </c>
      <c r="B74" s="232" t="s">
        <v>944</v>
      </c>
      <c r="C74" s="191" t="s">
        <v>945</v>
      </c>
    </row>
    <row r="75" spans="1:3" ht="38.25" x14ac:dyDescent="0.2">
      <c r="A75" s="204" t="s">
        <v>946</v>
      </c>
      <c r="B75" s="232" t="s">
        <v>947</v>
      </c>
      <c r="C75" s="191" t="s">
        <v>894</v>
      </c>
    </row>
    <row r="76" spans="1:3" ht="25.5" x14ac:dyDescent="0.2">
      <c r="A76" s="204" t="s">
        <v>948</v>
      </c>
      <c r="B76" s="232" t="s">
        <v>949</v>
      </c>
      <c r="C76" s="191" t="s">
        <v>894</v>
      </c>
    </row>
    <row r="77" spans="1:3" ht="25.5" x14ac:dyDescent="0.2">
      <c r="A77" s="204" t="s">
        <v>950</v>
      </c>
      <c r="B77" s="232" t="s">
        <v>951</v>
      </c>
      <c r="C77" s="191" t="s">
        <v>894</v>
      </c>
    </row>
    <row r="78" spans="1:3" ht="38.25" x14ac:dyDescent="0.2">
      <c r="A78" s="204" t="s">
        <v>952</v>
      </c>
      <c r="B78" s="232" t="s">
        <v>953</v>
      </c>
      <c r="C78" s="191" t="s">
        <v>894</v>
      </c>
    </row>
    <row r="79" spans="1:3" ht="63.75" x14ac:dyDescent="0.2">
      <c r="A79" s="204" t="s">
        <v>954</v>
      </c>
      <c r="B79" s="232" t="s">
        <v>955</v>
      </c>
      <c r="C79" s="191" t="s">
        <v>894</v>
      </c>
    </row>
    <row r="80" spans="1:3" ht="51" x14ac:dyDescent="0.2">
      <c r="A80" s="204" t="s">
        <v>956</v>
      </c>
      <c r="B80" s="232" t="s">
        <v>957</v>
      </c>
      <c r="C80" s="191" t="s">
        <v>894</v>
      </c>
    </row>
    <row r="81" spans="1:3" ht="25.5" x14ac:dyDescent="0.2">
      <c r="A81" s="204" t="s">
        <v>958</v>
      </c>
      <c r="B81" s="232" t="s">
        <v>959</v>
      </c>
      <c r="C81" s="191" t="s">
        <v>894</v>
      </c>
    </row>
    <row r="82" spans="1:3" ht="25.5" x14ac:dyDescent="0.2">
      <c r="A82" s="204" t="s">
        <v>960</v>
      </c>
      <c r="B82" s="232" t="s">
        <v>961</v>
      </c>
      <c r="C82" s="191" t="s">
        <v>894</v>
      </c>
    </row>
    <row r="83" spans="1:3" ht="25.5" x14ac:dyDescent="0.2">
      <c r="A83" s="204" t="s">
        <v>962</v>
      </c>
      <c r="B83" s="232" t="s">
        <v>963</v>
      </c>
      <c r="C83" s="191" t="s">
        <v>894</v>
      </c>
    </row>
    <row r="84" spans="1:3" ht="38.25" x14ac:dyDescent="0.2">
      <c r="A84" s="204" t="s">
        <v>964</v>
      </c>
      <c r="B84" s="232" t="s">
        <v>965</v>
      </c>
      <c r="C84" s="191" t="s">
        <v>894</v>
      </c>
    </row>
    <row r="85" spans="1:3" ht="25.5" x14ac:dyDescent="0.2">
      <c r="A85" s="204" t="s">
        <v>966</v>
      </c>
      <c r="B85" s="232" t="s">
        <v>967</v>
      </c>
      <c r="C85" s="191" t="s">
        <v>894</v>
      </c>
    </row>
    <row r="86" spans="1:3" ht="25.5" x14ac:dyDescent="0.2">
      <c r="A86" s="204" t="s">
        <v>968</v>
      </c>
      <c r="B86" s="232" t="s">
        <v>969</v>
      </c>
      <c r="C86" s="191" t="s">
        <v>894</v>
      </c>
    </row>
    <row r="87" spans="1:3" ht="25.5" x14ac:dyDescent="0.2">
      <c r="A87" s="204" t="s">
        <v>970</v>
      </c>
      <c r="B87" s="232" t="s">
        <v>971</v>
      </c>
      <c r="C87" s="191" t="s">
        <v>894</v>
      </c>
    </row>
    <row r="88" spans="1:3" ht="30.75" customHeight="1" x14ac:dyDescent="0.2">
      <c r="A88" s="204" t="s">
        <v>972</v>
      </c>
      <c r="B88" s="232" t="s">
        <v>973</v>
      </c>
      <c r="C88" s="191" t="s">
        <v>894</v>
      </c>
    </row>
    <row r="89" spans="1:3" ht="38.25" x14ac:dyDescent="0.2">
      <c r="A89" s="204" t="s">
        <v>974</v>
      </c>
      <c r="B89" s="232" t="s">
        <v>975</v>
      </c>
      <c r="C89" s="191" t="s">
        <v>894</v>
      </c>
    </row>
    <row r="90" spans="1:3" ht="38.25" x14ac:dyDescent="0.2">
      <c r="A90" s="204" t="s">
        <v>976</v>
      </c>
      <c r="B90" s="236" t="s">
        <v>977</v>
      </c>
      <c r="C90" s="191" t="s">
        <v>978</v>
      </c>
    </row>
    <row r="91" spans="1:3" ht="25.5" x14ac:dyDescent="0.2">
      <c r="A91" s="204" t="s">
        <v>979</v>
      </c>
      <c r="B91" s="236" t="s">
        <v>980</v>
      </c>
      <c r="C91" s="191" t="s">
        <v>978</v>
      </c>
    </row>
    <row r="92" spans="1:3" ht="38.25" x14ac:dyDescent="0.2">
      <c r="A92" s="204" t="s">
        <v>981</v>
      </c>
      <c r="B92" s="236" t="s">
        <v>982</v>
      </c>
      <c r="C92" s="191" t="s">
        <v>978</v>
      </c>
    </row>
    <row r="93" spans="1:3" ht="38.25" x14ac:dyDescent="0.2">
      <c r="A93" s="204" t="s">
        <v>983</v>
      </c>
      <c r="B93" s="236" t="s">
        <v>984</v>
      </c>
      <c r="C93" s="191" t="s">
        <v>978</v>
      </c>
    </row>
    <row r="94" spans="1:3" ht="76.5" x14ac:dyDescent="0.2">
      <c r="A94" s="204" t="s">
        <v>985</v>
      </c>
      <c r="B94" s="236" t="s">
        <v>986</v>
      </c>
      <c r="C94" s="191" t="s">
        <v>978</v>
      </c>
    </row>
    <row r="95" spans="1:3" ht="63.75" x14ac:dyDescent="0.2">
      <c r="A95" s="204" t="s">
        <v>987</v>
      </c>
      <c r="B95" s="236" t="s">
        <v>988</v>
      </c>
      <c r="C95" s="191" t="s">
        <v>978</v>
      </c>
    </row>
    <row r="96" spans="1:3" ht="25.5" x14ac:dyDescent="0.2">
      <c r="A96" s="204" t="s">
        <v>989</v>
      </c>
      <c r="B96" s="232" t="s">
        <v>990</v>
      </c>
      <c r="C96" s="191" t="s">
        <v>978</v>
      </c>
    </row>
    <row r="97" spans="1:3" ht="25.5" x14ac:dyDescent="0.2">
      <c r="A97" s="204" t="s">
        <v>991</v>
      </c>
      <c r="B97" s="232" t="s">
        <v>992</v>
      </c>
      <c r="C97" s="191" t="s">
        <v>978</v>
      </c>
    </row>
    <row r="98" spans="1:3" ht="38.25" x14ac:dyDescent="0.2">
      <c r="A98" s="204" t="s">
        <v>993</v>
      </c>
      <c r="B98" s="232" t="s">
        <v>994</v>
      </c>
      <c r="C98" s="191" t="s">
        <v>995</v>
      </c>
    </row>
    <row r="99" spans="1:3" ht="38.25" x14ac:dyDescent="0.2">
      <c r="A99" s="204" t="s">
        <v>393</v>
      </c>
      <c r="B99" s="232" t="s">
        <v>1022</v>
      </c>
      <c r="C99" s="191" t="s">
        <v>1023</v>
      </c>
    </row>
    <row r="100" spans="1:3" ht="12.75" hidden="1" customHeight="1" x14ac:dyDescent="0.2">
      <c r="A100" s="203"/>
      <c r="B100" t="s">
        <v>996</v>
      </c>
    </row>
    <row r="101" spans="1:3" ht="12.75" hidden="1" customHeight="1" x14ac:dyDescent="0.2">
      <c r="A101" s="203"/>
    </row>
  </sheetData>
  <sheetProtection algorithmName="SHA-512" hashValue="iaaxe+qTSlJU9cWtadJZbGsJSm4xiR6yDIlylGCf+RCJKQ5UKWxebu1AxceTxsnK8Qcz7yhqI8GTNdqlQpyuRg==" saltValue="GZlW57ZlyKd8y08edio3NA==" spinCount="100000" sheet="1" objects="1" scenarios="1" formatCells="0" formatColumns="0" formatRows="0" autoFilter="0"/>
  <mergeCells count="1">
    <mergeCell ref="A35:A37"/>
  </mergeCells>
  <phoneticPr fontId="22" type="noConversion"/>
  <pageMargins left="0.74791666666666667" right="0.74791666666666667" top="0.98402777777777772" bottom="0.98402777777777772" header="0.51180555555555551" footer="0.51180555555555551"/>
  <pageSetup paperSize="9" scale="76" firstPageNumber="0" orientation="landscape"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B20"/>
  <sheetViews>
    <sheetView showGridLines="0" workbookViewId="0">
      <selection activeCell="A3" sqref="A3"/>
    </sheetView>
  </sheetViews>
  <sheetFormatPr defaultColWidth="0" defaultRowHeight="12.75" zeroHeight="1" x14ac:dyDescent="0.2"/>
  <cols>
    <col min="1" max="1" width="9.140625" customWidth="1"/>
    <col min="2" max="2" width="94.85546875" customWidth="1"/>
    <col min="3" max="3" width="9.140625" customWidth="1"/>
  </cols>
  <sheetData>
    <row r="1" spans="1:2" ht="15.75" x14ac:dyDescent="0.25">
      <c r="A1" s="466" t="s">
        <v>997</v>
      </c>
      <c r="B1" s="466"/>
    </row>
    <row r="2" spans="1:2" x14ac:dyDescent="0.2">
      <c r="A2" s="894"/>
      <c r="B2" s="894"/>
    </row>
    <row r="3" spans="1:2" x14ac:dyDescent="0.2">
      <c r="A3" s="47"/>
      <c r="B3" s="48" t="s">
        <v>998</v>
      </c>
    </row>
    <row r="4" spans="1:2" ht="25.5" x14ac:dyDescent="0.2">
      <c r="A4" s="49" t="s">
        <v>237</v>
      </c>
      <c r="B4" s="50" t="s">
        <v>999</v>
      </c>
    </row>
    <row r="5" spans="1:2" ht="38.25" x14ac:dyDescent="0.2">
      <c r="A5" s="49" t="s">
        <v>239</v>
      </c>
      <c r="B5" s="50" t="s">
        <v>1000</v>
      </c>
    </row>
    <row r="6" spans="1:2" x14ac:dyDescent="0.2">
      <c r="A6" s="49" t="s">
        <v>1001</v>
      </c>
      <c r="B6" s="50" t="s">
        <v>1002</v>
      </c>
    </row>
    <row r="7" spans="1:2" ht="25.5" x14ac:dyDescent="0.2">
      <c r="A7" s="49" t="s">
        <v>1003</v>
      </c>
      <c r="B7" s="50" t="s">
        <v>1004</v>
      </c>
    </row>
    <row r="8" spans="1:2" ht="63.75" x14ac:dyDescent="0.2">
      <c r="A8" s="49" t="s">
        <v>242</v>
      </c>
      <c r="B8" s="50" t="s">
        <v>1005</v>
      </c>
    </row>
    <row r="9" spans="1:2" x14ac:dyDescent="0.2">
      <c r="A9" s="49" t="s">
        <v>1006</v>
      </c>
      <c r="B9" s="51" t="s">
        <v>1007</v>
      </c>
    </row>
    <row r="10" spans="1:2" ht="25.5" x14ac:dyDescent="0.2">
      <c r="A10" s="49" t="s">
        <v>240</v>
      </c>
      <c r="B10" s="50" t="s">
        <v>1008</v>
      </c>
    </row>
    <row r="11" spans="1:2" ht="25.5" x14ac:dyDescent="0.2">
      <c r="A11" s="47" t="s">
        <v>1009</v>
      </c>
      <c r="B11" s="48" t="s">
        <v>1010</v>
      </c>
    </row>
    <row r="12" spans="1:2" ht="25.5" x14ac:dyDescent="0.2">
      <c r="A12" s="47" t="s">
        <v>1011</v>
      </c>
      <c r="B12" s="48" t="s">
        <v>1012</v>
      </c>
    </row>
    <row r="13" spans="1:2" x14ac:dyDescent="0.2">
      <c r="A13" s="49" t="s">
        <v>104</v>
      </c>
      <c r="B13" s="51" t="s">
        <v>1013</v>
      </c>
    </row>
    <row r="14" spans="1:2" x14ac:dyDescent="0.2">
      <c r="A14" s="49" t="s">
        <v>1014</v>
      </c>
      <c r="B14" s="51" t="s">
        <v>1015</v>
      </c>
    </row>
    <row r="15" spans="1:2" ht="25.5" x14ac:dyDescent="0.2">
      <c r="A15" s="49" t="s">
        <v>241</v>
      </c>
      <c r="B15" s="50" t="s">
        <v>1016</v>
      </c>
    </row>
    <row r="16" spans="1:2" x14ac:dyDescent="0.2">
      <c r="A16" s="47" t="s">
        <v>102</v>
      </c>
      <c r="B16" s="52" t="s">
        <v>1017</v>
      </c>
    </row>
    <row r="17" spans="1:2" ht="25.5" x14ac:dyDescent="0.2">
      <c r="A17" s="49" t="s">
        <v>101</v>
      </c>
      <c r="B17" s="50" t="s">
        <v>1018</v>
      </c>
    </row>
    <row r="18" spans="1:2" ht="38.25" x14ac:dyDescent="0.2">
      <c r="A18" s="49" t="s">
        <v>115</v>
      </c>
      <c r="B18" s="50" t="s">
        <v>1019</v>
      </c>
    </row>
    <row r="19" spans="1:2" ht="51" x14ac:dyDescent="0.2">
      <c r="A19" s="49" t="s">
        <v>1020</v>
      </c>
      <c r="B19" s="51" t="s">
        <v>1021</v>
      </c>
    </row>
    <row r="20" spans="1:2" x14ac:dyDescent="0.2"/>
  </sheetData>
  <sheetProtection password="FB4B" sheet="1"/>
  <mergeCells count="2">
    <mergeCell ref="A1:B1"/>
    <mergeCell ref="A2:B2"/>
  </mergeCells>
  <phoneticPr fontId="22" type="noConversion"/>
  <pageMargins left="0.74791666666666667" right="0.74791666666666667" top="0.98402777777777772" bottom="0.98402777777777772" header="0.51180555555555551" footer="0.51180555555555551"/>
  <pageSetup firstPageNumber="0" orientation="landscape" horizontalDpi="300"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0227F0BE77840499D38C0B6FB4682B7" ma:contentTypeVersion="13" ma:contentTypeDescription="Crie um novo documento." ma:contentTypeScope="" ma:versionID="21678aa2607ba8debd9c0d246918edd8">
  <xsd:schema xmlns:xsd="http://www.w3.org/2001/XMLSchema" xmlns:xs="http://www.w3.org/2001/XMLSchema" xmlns:p="http://schemas.microsoft.com/office/2006/metadata/properties" xmlns:ns1="http://schemas.microsoft.com/sharepoint/v3" xmlns:ns2="95a45431-a830-452d-8b5d-88fff973ba27" xmlns:ns3="ff7f7b52-4908-48db-a7b8-5012ac4f8b61" targetNamespace="http://schemas.microsoft.com/office/2006/metadata/properties" ma:root="true" ma:fieldsID="9e3aa83d73a6b61d4756c25988c5d718" ns1:_="" ns2:_="" ns3:_="">
    <xsd:import namespace="http://schemas.microsoft.com/sharepoint/v3"/>
    <xsd:import namespace="95a45431-a830-452d-8b5d-88fff973ba27"/>
    <xsd:import namespace="ff7f7b52-4908-48db-a7b8-5012ac4f8b6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Propriedades da Política de Conformidade Unificada" ma:hidden="true" ma:internalName="_ip_UnifiedCompliancePolicyProperties">
      <xsd:simpleType>
        <xsd:restriction base="dms:Note"/>
      </xsd:simpleType>
    </xsd:element>
    <xsd:element name="_ip_UnifiedCompliancePolicyUIAction" ma:index="17" nillable="true" ma:displayName="Ação de Interface do Usuário da Política de Conformidade Unificada"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5a45431-a830-452d-8b5d-88fff973ba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Marcações de imagem" ma:readOnly="false" ma:fieldId="{5cf76f15-5ced-4ddc-b409-7134ff3c332f}" ma:taxonomyMulti="true" ma:sspId="4faff722-0fb5-4c44-9338-8716c1879395"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f7f7b52-4908-48db-a7b8-5012ac4f8b61"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20" nillable="true" ma:displayName="Taxonomy Catch All Column" ma:hidden="true" ma:list="{5d389041-7a2d-47fa-82c6-b7d66623d73f}" ma:internalName="TaxCatchAll" ma:showField="CatchAllData" ma:web="ff7f7b52-4908-48db-a7b8-5012ac4f8b6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95a45431-a830-452d-8b5d-88fff973ba27">
      <Terms xmlns="http://schemas.microsoft.com/office/infopath/2007/PartnerControls"/>
    </lcf76f155ced4ddcb4097134ff3c332f>
    <TaxCatchAll xmlns="ff7f7b52-4908-48db-a7b8-5012ac4f8b61" xsi:nil="true"/>
  </documentManagement>
</p:properties>
</file>

<file path=customXml/itemProps1.xml><?xml version="1.0" encoding="utf-8"?>
<ds:datastoreItem xmlns:ds="http://schemas.openxmlformats.org/officeDocument/2006/customXml" ds:itemID="{9B40733F-DF92-476D-ACA0-5E5F1AC2BA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5a45431-a830-452d-8b5d-88fff973ba27"/>
    <ds:schemaRef ds:uri="ff7f7b52-4908-48db-a7b8-5012ac4f8b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765A327-9775-4FD8-B7D3-A3F722A186EC}">
  <ds:schemaRefs>
    <ds:schemaRef ds:uri="http://schemas.microsoft.com/sharepoint/v3/contenttype/forms"/>
  </ds:schemaRefs>
</ds:datastoreItem>
</file>

<file path=customXml/itemProps3.xml><?xml version="1.0" encoding="utf-8"?>
<ds:datastoreItem xmlns:ds="http://schemas.openxmlformats.org/officeDocument/2006/customXml" ds:itemID="{82484C59-19B3-47CC-BB4B-9FCB437595DD}">
  <ds:schemaRefs>
    <ds:schemaRef ds:uri="http://schemas.microsoft.com/sharepoint/v3"/>
    <ds:schemaRef ds:uri="http://purl.org/dc/terms/"/>
    <ds:schemaRef ds:uri="http://schemas.openxmlformats.org/package/2006/metadata/core-properties"/>
    <ds:schemaRef ds:uri="http://schemas.microsoft.com/office/2006/documentManagement/types"/>
    <ds:schemaRef ds:uri="95a45431-a830-452d-8b5d-88fff973ba27"/>
    <ds:schemaRef ds:uri="ff7f7b52-4908-48db-a7b8-5012ac4f8b61"/>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42</vt:i4>
      </vt:variant>
    </vt:vector>
  </HeadingPairs>
  <TitlesOfParts>
    <vt:vector size="56" baseType="lpstr">
      <vt:lpstr>FSDMS</vt:lpstr>
      <vt:lpstr>Funções Dados</vt:lpstr>
      <vt:lpstr>Funções Transação</vt:lpstr>
      <vt:lpstr>SNAP</vt:lpstr>
      <vt:lpstr>Funções X RTC</vt:lpstr>
      <vt:lpstr>Resumo</vt:lpstr>
      <vt:lpstr>Parâmetros</vt:lpstr>
      <vt:lpstr>PERSPECTIVA_NAO_FUNCIONAL_UST</vt:lpstr>
      <vt:lpstr>Itens_não_Mensuraveis</vt:lpstr>
      <vt:lpstr>INM_WEB_CMS</vt:lpstr>
      <vt:lpstr>INM_WEB_EXO</vt:lpstr>
      <vt:lpstr>Formulário Divergência</vt:lpstr>
      <vt:lpstr>Controle de Versões</vt:lpstr>
      <vt:lpstr>Glossário</vt:lpstr>
      <vt:lpstr>_abc1</vt:lpstr>
      <vt:lpstr>_jh1</vt:lpstr>
      <vt:lpstr>_zz1</vt:lpstr>
      <vt:lpstr>AIE</vt:lpstr>
      <vt:lpstr>ALI</vt:lpstr>
      <vt:lpstr>ALI_AIE</vt:lpstr>
      <vt:lpstr>ALI_AIE_CODE</vt:lpstr>
      <vt:lpstr>FSDMS!Area_de_impressao</vt:lpstr>
      <vt:lpstr>'Funções Dados'!Area_de_impressao</vt:lpstr>
      <vt:lpstr>'Funções Transação'!Area_de_impressao</vt:lpstr>
      <vt:lpstr>INM_WEB_CMS!Area_de_impressao</vt:lpstr>
      <vt:lpstr>INM_WEB_EXO!Area_de_impressao</vt:lpstr>
      <vt:lpstr>Itens_não_Mensuraveis!Area_de_impressao</vt:lpstr>
      <vt:lpstr>PERSPECTIVA_NAO_FUNCIONAL_UST!Area_de_impressao</vt:lpstr>
      <vt:lpstr>SNAP!Area_de_impressao</vt:lpstr>
      <vt:lpstr>CE</vt:lpstr>
      <vt:lpstr>Detalhada</vt:lpstr>
      <vt:lpstr>EE_SE_CE</vt:lpstr>
      <vt:lpstr>EE_SE_CE_CODE</vt:lpstr>
      <vt:lpstr>Estimada</vt:lpstr>
      <vt:lpstr>FABRICAS</vt:lpstr>
      <vt:lpstr>Fases</vt:lpstr>
      <vt:lpstr>Fases049</vt:lpstr>
      <vt:lpstr>Fases151</vt:lpstr>
      <vt:lpstr>FSW</vt:lpstr>
      <vt:lpstr>FSW_DADOS</vt:lpstr>
      <vt:lpstr>FUNCOES_DADOS</vt:lpstr>
      <vt:lpstr>IAE</vt:lpstr>
      <vt:lpstr>Indicativa</vt:lpstr>
      <vt:lpstr>Melhoria</vt:lpstr>
      <vt:lpstr>Metodologias</vt:lpstr>
      <vt:lpstr>Produtividade</vt:lpstr>
      <vt:lpstr>SE</vt:lpstr>
      <vt:lpstr>SubCategoria_SNAP</vt:lpstr>
      <vt:lpstr>Tipo_Contagem</vt:lpstr>
      <vt:lpstr>Tipo_Contagem_SNAP</vt:lpstr>
      <vt:lpstr>Tipos</vt:lpstr>
      <vt:lpstr>Todas_Funcoes</vt:lpstr>
      <vt:lpstr>TOTAL_PF_DADOS</vt:lpstr>
      <vt:lpstr>TOTAL_PF_TRANSACAO</vt:lpstr>
      <vt:lpstr>VAF</vt:lpstr>
      <vt:lpstr>VUST_CPM_MOB</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 Métricas 61</dc:creator>
  <cp:keywords/>
  <dc:description/>
  <cp:lastModifiedBy>Elizete Abadia Ferreira</cp:lastModifiedBy>
  <cp:revision/>
  <dcterms:created xsi:type="dcterms:W3CDTF">2010-04-20T15:28:29Z</dcterms:created>
  <dcterms:modified xsi:type="dcterms:W3CDTF">2025-09-23T14:33:33Z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LPManualFileClassification">
    <vt:lpwstr>{3131F30E-CEF7-4906-8699-1199CBBF1F1B}</vt:lpwstr>
  </property>
  <property fmtid="{D5CDD505-2E9C-101B-9397-08002B2CF9AE}" pid="3" name="DLPManualFileClassificationLastModifiedBy">
    <vt:lpwstr>CORPCAIXA\f941111</vt:lpwstr>
  </property>
  <property fmtid="{D5CDD505-2E9C-101B-9397-08002B2CF9AE}" pid="4" name="DLPManualFileClassificationLastModificationDate">
    <vt:lpwstr>1603116925</vt:lpwstr>
  </property>
  <property fmtid="{D5CDD505-2E9C-101B-9397-08002B2CF9AE}" pid="5" name="DLPManualFileClassificationVersion">
    <vt:lpwstr>11.5.0.60</vt:lpwstr>
  </property>
  <property fmtid="{D5CDD505-2E9C-101B-9397-08002B2CF9AE}" pid="6" name="ContentTypeId">
    <vt:lpwstr>0x01010060227F0BE77840499D38C0B6FB4682B7</vt:lpwstr>
  </property>
  <property fmtid="{D5CDD505-2E9C-101B-9397-08002B2CF9AE}" pid="7" name="MSIP_Label_7b56d300-f888-4f70-a891-a1fe8a6ebcb0_Enabled">
    <vt:lpwstr>true</vt:lpwstr>
  </property>
  <property fmtid="{D5CDD505-2E9C-101B-9397-08002B2CF9AE}" pid="8" name="MSIP_Label_7b56d300-f888-4f70-a891-a1fe8a6ebcb0_SetDate">
    <vt:lpwstr>2023-03-21T14:03:13Z</vt:lpwstr>
  </property>
  <property fmtid="{D5CDD505-2E9C-101B-9397-08002B2CF9AE}" pid="9" name="MSIP_Label_7b56d300-f888-4f70-a891-a1fe8a6ebcb0_Method">
    <vt:lpwstr>Privileged</vt:lpwstr>
  </property>
  <property fmtid="{D5CDD505-2E9C-101B-9397-08002B2CF9AE}" pid="10" name="MSIP_Label_7b56d300-f888-4f70-a891-a1fe8a6ebcb0_Name">
    <vt:lpwstr>#INTERNO.TODOS</vt:lpwstr>
  </property>
  <property fmtid="{D5CDD505-2E9C-101B-9397-08002B2CF9AE}" pid="11" name="MSIP_Label_7b56d300-f888-4f70-a891-a1fe8a6ebcb0_SiteId">
    <vt:lpwstr>ab9bba98-684a-43fb-add8-9c2bebede229</vt:lpwstr>
  </property>
  <property fmtid="{D5CDD505-2E9C-101B-9397-08002B2CF9AE}" pid="12" name="MSIP_Label_7b56d300-f888-4f70-a891-a1fe8a6ebcb0_ActionId">
    <vt:lpwstr>d1a3d2a0-5e32-4bac-8ca6-0e67be0873dd</vt:lpwstr>
  </property>
  <property fmtid="{D5CDD505-2E9C-101B-9397-08002B2CF9AE}" pid="13" name="MSIP_Label_7b56d300-f888-4f70-a891-a1fe8a6ebcb0_ContentBits">
    <vt:lpwstr>1</vt:lpwstr>
  </property>
  <property fmtid="{D5CDD505-2E9C-101B-9397-08002B2CF9AE}" pid="14" name="MediaServiceImageTags">
    <vt:lpwstr/>
  </property>
</Properties>
</file>